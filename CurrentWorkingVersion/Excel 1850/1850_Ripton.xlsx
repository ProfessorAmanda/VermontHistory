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obert Ambat\Documents\Gregg_Local\Code\Gregg Version Spring 2024\Ag Census Summer 2024\"/>
    </mc:Choice>
  </mc:AlternateContent>
  <xr:revisionPtr revIDLastSave="0" documentId="13_ncr:1_{A8CD2ECC-9580-4D35-A962-8A0EDD1BA9A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<sst xmlns="http://schemas.openxmlformats.org/spreadsheetml/2006/main" count="1697" uniqueCount="115">
  <si>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</si>
  <si>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</si>
  <si>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</si>
  <si>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</si>
  <si>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</si>
  <si>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</si>
  <si>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</si>
  <si>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</si>
  <si>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</si>
  <si>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</si>
  <si>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</si>
  <si>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</si>
  <si>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</si>
  <si>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</si>
  <si>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</si>
  <si>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</si>
  <si>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</si>
  <si>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</si>
  <si>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</si>
  <si>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</si>
  <si>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</si>
  <si>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</si>
  <si>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</si>
  <si>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</si>
  <si>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</si>
  <si>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</si>
  <si>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</si>
  <si>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</si>
  <si>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</si>
  <si>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</si>
  <si>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</si>
  <si>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</si>
  <si>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</si>
  <si>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</si>
  <si>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</si>
  <si>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</si>
  <si>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</si>
  <si>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</si>
  <si>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</si>
  <si>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</si>
  <si>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</si>
  <si>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</si>
  <si>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</si>
  <si>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</si>
  <si>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</si>
  <si>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</si>
  <si>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</si>
  <si>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</si>
  <si>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</si>
  <si>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</si>
  <si>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</si>
  <si>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</si>
  <si>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</si>
  <si>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Elijah Brown</t>
  </si>
  <si>
    <t/>
  </si>
  <si>
    <t>Ripton</t>
  </si>
  <si>
    <t>John Brand</t>
  </si>
  <si>
    <t>James Miles</t>
  </si>
  <si>
    <t>George Chipman</t>
  </si>
  <si>
    <t>Samuel W. Hendrick</t>
  </si>
  <si>
    <t>Stephen Meadison</t>
  </si>
  <si>
    <t>Jonathan Ferris</t>
  </si>
  <si>
    <t>Asa Dow</t>
  </si>
  <si>
    <t>Lophionia Fisher</t>
  </si>
  <si>
    <t>Timothy Fisher</t>
  </si>
  <si>
    <t>Aldrin Flower</t>
  </si>
  <si>
    <t>Jonathan D. Gina</t>
  </si>
  <si>
    <t>Seth Headgen</t>
  </si>
  <si>
    <t>John Nellon</t>
  </si>
  <si>
    <t>John Kelton Jr.</t>
  </si>
  <si>
    <t>Amos Madin</t>
  </si>
  <si>
    <t>Stephen G. Colby</t>
  </si>
  <si>
    <t>Azariah N. Goor</t>
  </si>
  <si>
    <t>John Bruh</t>
  </si>
  <si>
    <t>Norman Furr</t>
  </si>
  <si>
    <t>William N. Carb</t>
  </si>
  <si>
    <t>Thomas Fuller</t>
  </si>
  <si>
    <t>Willard Ripley</t>
  </si>
  <si>
    <t>Andrew Me Main</t>
  </si>
  <si>
    <t>Amin A. Atwood</t>
  </si>
  <si>
    <t>digutte K.</t>
  </si>
  <si>
    <t>Katherine M. Turing</t>
  </si>
  <si>
    <t>Nathan M. Turing</t>
  </si>
  <si>
    <t>Henny Downer</t>
  </si>
  <si>
    <t>Bery H. Bacon</t>
  </si>
  <si>
    <t>Jonathan K. Fanal</t>
  </si>
  <si>
    <t>Solomon B. Howard</t>
  </si>
  <si>
    <t>Norman Lewis</t>
  </si>
  <si>
    <t>Riley Addison</t>
  </si>
  <si>
    <t>Gunter P. Ripley</t>
  </si>
  <si>
    <t>Noble King</t>
  </si>
  <si>
    <t>William Godnian</t>
  </si>
  <si>
    <t>Parsons Billings</t>
  </si>
  <si>
    <t>Alonzo Chatfield</t>
  </si>
  <si>
    <t>Abrahm Falsom</t>
  </si>
  <si>
    <t>North Dow</t>
  </si>
  <si>
    <t>Charles Adams</t>
  </si>
  <si>
    <t>Arcibald Platt</t>
  </si>
  <si>
    <t>Angil Long</t>
  </si>
  <si>
    <t>John G. Skirky</t>
  </si>
  <si>
    <t>Lewis Hennttey</t>
  </si>
  <si>
    <t>Charles N. Linsky</t>
  </si>
  <si>
    <t xml:space="preserve">John R. </t>
  </si>
  <si>
    <t>Washington Cook</t>
  </si>
  <si>
    <t>Reuben A. Damon</t>
  </si>
  <si>
    <t>John I. Chandler</t>
  </si>
  <si>
    <t>Jobbner Persons</t>
  </si>
  <si>
    <t>Firschniel Smith</t>
  </si>
  <si>
    <t>John Robbins</t>
  </si>
  <si>
    <t xml:space="preserve">Gardner </t>
  </si>
  <si>
    <t>L.N.E. Chatham</t>
  </si>
  <si>
    <t>Khan Brown</t>
  </si>
  <si>
    <t>Millican I. Bentley</t>
  </si>
  <si>
    <t>Benjamin Neale Jr.</t>
  </si>
  <si>
    <t>John M.  Gonthry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</si>
</sst>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iddleburycollege-my.sharepoint.com/personal/agregg_middlebury_edu/Documents/Gregg%20Summer%20Research%202024/Vermont%20Data%20Summer%202024%20Version/1850%20Agricultural%20Data/Textract%20Digitization/VT%201850%20Agri%20Census%20Digitization.xlsx" TargetMode="External"/><Relationship Id="rId2" Type="http://schemas.microsoft.com/office/2019/04/relationships/externalLinkLongPath" Target="https://middleburycollege-my.sharepoint.com/personal/agregg_middlebury_edu/Documents/Gregg%20Summer%20Research%202024/Vermont%20Data%20Summer%202024%20Version/1850%20Agricultural%20Data/Textract%20Digitization/VT%201850%20Agri%20Census%20Digitization.xlsx?0D1FE1FD" TargetMode="External"/><Relationship Id="rId1" Type="http://schemas.openxmlformats.org/officeDocument/2006/relationships/externalLinkPath" Target="file:///\\0D1FE1FD\VT%201850%20Agri%20Census%20Digit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leaned_Sample_1850"/>
      <sheetName val="Cleaned_Addison_1850"/>
      <sheetName val="Final_ Sample_1850 "/>
      <sheetName val="Sample"/>
      <sheetName val="Raw_Shoreham_1850"/>
      <sheetName val="Cleaned_Shoreham_1850"/>
      <sheetName val="Revised_Shoreham_1850"/>
      <sheetName val="Final_Shoreham_1850"/>
      <sheetName val="Raw_Vergennes_1850"/>
      <sheetName val="Cleaned_Vergennes_1850"/>
      <sheetName val="Revised_Vergennes_1850"/>
      <sheetName val="Final_Vergennes_1850"/>
      <sheetName val="Raw_Bridport_1850"/>
      <sheetName val="Cleaned_Bridport_1850"/>
      <sheetName val="Revised_Bridport_1850"/>
      <sheetName val="Final_ Bridport_1850"/>
      <sheetName val="Raw_Hancock_1850"/>
      <sheetName val="Raw_Ripton_1850"/>
      <sheetName val="Raw_Addison_1850"/>
      <sheetName val="Cleaned_Hancock_1850"/>
      <sheetName val="Cleaned_Ripton_1850"/>
      <sheetName val="Revised_Hancock_1850"/>
      <sheetName val="Revised_Ripton_1850"/>
      <sheetName val="Revised_Addison_1850"/>
      <sheetName val="Raw_Granville_1850"/>
      <sheetName val="Cleaned_Granville_1850"/>
      <sheetName val="Final_ Ripton_1850"/>
      <sheetName val="Final_ Granville_1850"/>
      <sheetName val="Final_ Hancock_1850"/>
      <sheetName val="Final_ Addison_1850"/>
      <sheetName val="Raw_Bristol_1850"/>
      <sheetName val="Cleaned_Bristol_1850"/>
      <sheetName val="Cleaned_Ferrisburgh_1850"/>
      <sheetName val="Cleaned_Cornwall_1850"/>
      <sheetName val="Cleaned_Goshen_1850"/>
      <sheetName val="Raw_Cornwall_1850"/>
      <sheetName val="Raw_Ferrisburgh_1850"/>
      <sheetName val="Raw_Goshen_1850"/>
      <sheetName val="Revised_Cornwall_1850"/>
      <sheetName val="Revised_Bristol_1850"/>
      <sheetName val="Revised_Goshen_1850"/>
      <sheetName val="Revised_Ferrisburgh_1850"/>
      <sheetName val="Revised_Granville_1850"/>
      <sheetName val="Cleaned_50"/>
      <sheetName val="Consolidated_50"/>
      <sheetName val="Raw_50"/>
      <sheetName val="Consolidated_51"/>
      <sheetName val="Cleaned_51"/>
      <sheetName val="Raw_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B5" t="str">
            <v>'Kolyeh Phone</v>
          </cell>
        </row>
        <row r="6">
          <cell r="B6" t="str">
            <v>'John Bind</v>
          </cell>
        </row>
        <row r="7">
          <cell r="B7" t="str">
            <v>'James Miles</v>
          </cell>
        </row>
        <row r="8">
          <cell r="B8" t="str">
            <v>'Guorger Whipper</v>
          </cell>
        </row>
        <row r="9">
          <cell r="B9" t="str">
            <v>'Jamml72 Herndrick</v>
          </cell>
        </row>
        <row r="10">
          <cell r="B10" t="str">
            <v>'Tuphm Meadison</v>
          </cell>
        </row>
        <row r="11">
          <cell r="B11" t="str">
            <v>'Inathan Firris</v>
          </cell>
        </row>
        <row r="12">
          <cell r="B12" t="str">
            <v>'Asa Dow</v>
          </cell>
        </row>
        <row r="13">
          <cell r="B13" t="str">
            <v>'Lophionia Fisher</v>
          </cell>
        </row>
        <row r="14">
          <cell r="B14" t="str">
            <v>'Timisthy Fisher</v>
          </cell>
        </row>
        <row r="15">
          <cell r="B15" t="str">
            <v>'Aldru Shown</v>
          </cell>
        </row>
        <row r="16">
          <cell r="B16" t="str">
            <v>'I onother Q Gin</v>
          </cell>
        </row>
        <row r="17">
          <cell r="B17" t="str">
            <v>'Firth Headgin</v>
          </cell>
        </row>
        <row r="18">
          <cell r="B18" t="str">
            <v>'John Nillow</v>
          </cell>
        </row>
        <row r="19">
          <cell r="B19" t="str">
            <v>'John Kilton dr.</v>
          </cell>
        </row>
        <row r="20">
          <cell r="B20" t="str">
            <v>'amon Mrader</v>
          </cell>
        </row>
        <row r="21">
          <cell r="B21" t="str">
            <v>'John 4. beabby</v>
          </cell>
        </row>
        <row r="22">
          <cell r="B22" t="str">
            <v>'Azaman N. you</v>
          </cell>
        </row>
        <row r="23">
          <cell r="B23" t="str">
            <v>'John But</v>
          </cell>
        </row>
        <row r="24">
          <cell r="B24" t="str">
            <v>'Moneal Fun</v>
          </cell>
        </row>
        <row r="25">
          <cell r="B25" t="str">
            <v>'Willium n leafs</v>
          </cell>
        </row>
        <row r="26">
          <cell r="B26" t="str">
            <v>'Thomas Fullis</v>
          </cell>
        </row>
        <row r="27">
          <cell r="B27" t="str">
            <v>'Milland Replay</v>
          </cell>
        </row>
        <row r="28">
          <cell r="B28" t="str">
            <v>'Andrew me Main</v>
          </cell>
        </row>
        <row r="29">
          <cell r="B29" t="str">
            <v>'amin a atwood</v>
          </cell>
        </row>
        <row r="30">
          <cell r="B30" t="str">
            <v>'digutte K.</v>
          </cell>
        </row>
        <row r="31">
          <cell r="B31" t="str">
            <v>'Nethernise M 'Ining</v>
          </cell>
        </row>
        <row r="32">
          <cell r="B32" t="str">
            <v>'Nathan Me Justry</v>
          </cell>
        </row>
        <row r="33">
          <cell r="B33" t="str">
            <v>'Henny Downs</v>
          </cell>
        </row>
        <row r="34">
          <cell r="B34" t="str">
            <v>'Buy H. Bacon</v>
          </cell>
        </row>
        <row r="35">
          <cell r="B35" t="str">
            <v>'Jonashan Funal</v>
          </cell>
        </row>
        <row r="36">
          <cell r="B36" t="str">
            <v>'Johnson B.</v>
          </cell>
        </row>
        <row r="37">
          <cell r="B37" t="str">
            <v>'Norman Isnin</v>
          </cell>
        </row>
        <row r="38">
          <cell r="B38" t="str">
            <v>'Riley adumes</v>
          </cell>
        </row>
        <row r="39">
          <cell r="B39" t="str">
            <v>'burtis PRophy</v>
          </cell>
        </row>
        <row r="40">
          <cell r="B40" t="str">
            <v>'Noble King</v>
          </cell>
        </row>
        <row r="41">
          <cell r="B41" t="str">
            <v>'William hadman</v>
          </cell>
        </row>
        <row r="42">
          <cell r="B42" t="str">
            <v>'Parsons Billings</v>
          </cell>
        </row>
        <row r="43">
          <cell r="B43" t="str">
            <v>'Alongs beatfield</v>
          </cell>
        </row>
        <row r="44">
          <cell r="B44" t="str">
            <v>'Abraham Falsom</v>
          </cell>
        </row>
        <row r="45">
          <cell r="B45" t="str">
            <v>'North Dow</v>
          </cell>
        </row>
        <row r="46">
          <cell r="B46" t="str">
            <v>'bhailer bdams</v>
          </cell>
        </row>
        <row r="47">
          <cell r="B47" t="str">
            <v>'Arabols Platt</v>
          </cell>
        </row>
        <row r="48">
          <cell r="B48" t="str">
            <v>'Angil long</v>
          </cell>
        </row>
        <row r="49">
          <cell r="B49" t="str">
            <v>'Jhu le. frishy</v>
          </cell>
        </row>
        <row r="50">
          <cell r="B50" t="str">
            <v>'Inis Hearthy</v>
          </cell>
        </row>
        <row r="51">
          <cell r="B51" t="str">
            <v>'bhacks n. Linaby</v>
          </cell>
        </row>
        <row r="52">
          <cell r="B52" t="str">
            <v>'Jhon R Am</v>
          </cell>
        </row>
        <row r="53">
          <cell r="B53" t="str">
            <v>'book</v>
          </cell>
        </row>
        <row r="54">
          <cell r="B54" t="str">
            <v>'Washington Roubin a. Damon</v>
          </cell>
        </row>
        <row r="55">
          <cell r="B55" t="str">
            <v>'The I. bhandler</v>
          </cell>
        </row>
        <row r="56">
          <cell r="B56" t="str">
            <v>'Libbur Persons</v>
          </cell>
        </row>
        <row r="57">
          <cell r="B57" t="str">
            <v>'Smith</v>
          </cell>
        </row>
        <row r="58">
          <cell r="B58" t="str">
            <v>'John Robbins</v>
          </cell>
        </row>
        <row r="59">
          <cell r="B59" t="str">
            <v>'Gardhan Ipomn</v>
          </cell>
        </row>
        <row r="60">
          <cell r="B60" t="str">
            <v>'L.N.E. bhekman</v>
          </cell>
        </row>
        <row r="61">
          <cell r="B61" t="str">
            <v>'Ihas Brown</v>
          </cell>
        </row>
        <row r="62">
          <cell r="B62" t="str">
            <v>'William T. Brithy</v>
          </cell>
        </row>
        <row r="63">
          <cell r="B63" t="str">
            <v>'Prejumin Value In</v>
          </cell>
        </row>
        <row r="64">
          <cell r="B64" t="str">
            <v>'John m e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1"/>
  <sheetViews>
    <sheetView tabSelected="1" topLeftCell="A28" workbookViewId="0">
      <selection activeCell="F36" sqref="F36"/>
    </sheetView>
  </sheetViews>
  <sheetFormatPr defaultRowHeight="14.25" x14ac:dyDescent="0.45"/>
  <sheetData>
    <row r="1" spans="1:5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45">
      <c r="A2">
        <v>1</v>
      </c>
      <c r="C2" t="str">
        <f>RIGHT([1]Raw_Ripton_1850!B5,LEN([1]Raw_Ripton_1850!B5)-1)</f>
        <v>Kolyeh Phone</v>
      </c>
      <c r="D2" t="s">
        <v>53</v>
      </c>
      <c r="F2">
        <v>95</v>
      </c>
      <c r="G2">
        <v>5</v>
      </c>
      <c r="H2">
        <v>1000</v>
      </c>
      <c r="I2">
        <v>50</v>
      </c>
      <c r="J2">
        <v>3</v>
      </c>
      <c r="K2" t="s">
        <v>54</v>
      </c>
      <c r="L2">
        <v>3</v>
      </c>
      <c r="M2" t="s">
        <v>54</v>
      </c>
      <c r="N2">
        <v>8</v>
      </c>
      <c r="O2">
        <v>27</v>
      </c>
      <c r="P2">
        <v>3</v>
      </c>
      <c r="Q2">
        <v>350</v>
      </c>
      <c r="R2">
        <v>12</v>
      </c>
      <c r="S2">
        <v>35</v>
      </c>
      <c r="T2">
        <v>80</v>
      </c>
      <c r="U2">
        <v>25</v>
      </c>
      <c r="V2" t="s">
        <v>54</v>
      </c>
      <c r="W2" t="s">
        <v>54</v>
      </c>
      <c r="X2" t="s">
        <v>54</v>
      </c>
      <c r="Y2">
        <v>100</v>
      </c>
      <c r="Z2">
        <v>17</v>
      </c>
      <c r="AA2">
        <v>160</v>
      </c>
      <c r="AB2" t="s">
        <v>54</v>
      </c>
      <c r="AC2" t="s">
        <v>54</v>
      </c>
      <c r="AD2" t="s">
        <v>54</v>
      </c>
      <c r="AE2">
        <v>5</v>
      </c>
      <c r="AF2" t="s">
        <v>54</v>
      </c>
      <c r="AG2" t="s">
        <v>54</v>
      </c>
      <c r="AH2">
        <v>350</v>
      </c>
      <c r="AI2" t="s">
        <v>54</v>
      </c>
      <c r="AJ2">
        <v>35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>
        <v>200</v>
      </c>
      <c r="AT2" t="s">
        <v>54</v>
      </c>
      <c r="AU2" t="s">
        <v>54</v>
      </c>
      <c r="AV2" t="s">
        <v>54</v>
      </c>
      <c r="AW2">
        <v>2</v>
      </c>
      <c r="AX2">
        <v>35</v>
      </c>
      <c r="AZ2">
        <v>1850</v>
      </c>
      <c r="BA2" t="s">
        <v>55</v>
      </c>
    </row>
    <row r="3" spans="1:53" x14ac:dyDescent="0.45">
      <c r="A3">
        <v>2</v>
      </c>
      <c r="C3" t="str">
        <f>RIGHT([1]Raw_Ripton_1850!B6,LEN([1]Raw_Ripton_1850!B6)-1)</f>
        <v>John Bind</v>
      </c>
      <c r="D3" t="s">
        <v>56</v>
      </c>
      <c r="F3">
        <v>15</v>
      </c>
      <c r="G3">
        <v>169</v>
      </c>
      <c r="H3">
        <v>700</v>
      </c>
      <c r="I3">
        <v>50</v>
      </c>
      <c r="J3">
        <v>2</v>
      </c>
      <c r="K3" t="s">
        <v>54</v>
      </c>
      <c r="L3">
        <v>3</v>
      </c>
      <c r="M3">
        <v>2</v>
      </c>
      <c r="N3">
        <v>4</v>
      </c>
      <c r="O3">
        <v>9</v>
      </c>
      <c r="P3">
        <v>2</v>
      </c>
      <c r="Q3">
        <v>200</v>
      </c>
      <c r="R3">
        <v>20</v>
      </c>
      <c r="S3" t="s">
        <v>54</v>
      </c>
      <c r="T3">
        <v>50</v>
      </c>
      <c r="U3" t="s">
        <v>54</v>
      </c>
      <c r="V3" t="s">
        <v>54</v>
      </c>
      <c r="W3" t="s">
        <v>54</v>
      </c>
      <c r="X3" t="s">
        <v>54</v>
      </c>
      <c r="Y3">
        <v>30</v>
      </c>
      <c r="Z3" t="s">
        <v>54</v>
      </c>
      <c r="AA3">
        <v>200</v>
      </c>
      <c r="AB3" t="s">
        <v>54</v>
      </c>
      <c r="AC3" t="s">
        <v>54</v>
      </c>
      <c r="AD3">
        <v>10</v>
      </c>
      <c r="AE3" t="s">
        <v>54</v>
      </c>
      <c r="AF3" t="s">
        <v>54</v>
      </c>
      <c r="AG3" t="s">
        <v>54</v>
      </c>
      <c r="AH3">
        <v>300</v>
      </c>
      <c r="AI3" t="s">
        <v>54</v>
      </c>
      <c r="AJ3">
        <v>15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>
        <v>300</v>
      </c>
      <c r="AT3" t="s">
        <v>54</v>
      </c>
      <c r="AU3" t="s">
        <v>54</v>
      </c>
      <c r="AV3" t="s">
        <v>54</v>
      </c>
      <c r="AW3" t="s">
        <v>54</v>
      </c>
      <c r="AX3">
        <v>40</v>
      </c>
      <c r="AZ3">
        <v>1850</v>
      </c>
      <c r="BA3" t="s">
        <v>55</v>
      </c>
    </row>
    <row r="4" spans="1:53" x14ac:dyDescent="0.45">
      <c r="A4">
        <v>3</v>
      </c>
      <c r="C4" t="str">
        <f>RIGHT([1]Raw_Ripton_1850!B7,LEN([1]Raw_Ripton_1850!B7)-1)</f>
        <v>James Miles</v>
      </c>
      <c r="D4" t="s">
        <v>57</v>
      </c>
      <c r="F4">
        <v>50</v>
      </c>
      <c r="G4">
        <v>1300</v>
      </c>
      <c r="H4">
        <v>1800</v>
      </c>
      <c r="I4">
        <v>50</v>
      </c>
      <c r="J4">
        <v>1</v>
      </c>
      <c r="K4" t="s">
        <v>54</v>
      </c>
      <c r="L4">
        <v>2</v>
      </c>
      <c r="M4" t="s">
        <v>54</v>
      </c>
      <c r="N4" t="s">
        <v>54</v>
      </c>
      <c r="O4">
        <v>30</v>
      </c>
      <c r="P4">
        <v>1</v>
      </c>
      <c r="Q4">
        <v>180</v>
      </c>
      <c r="R4">
        <v>15</v>
      </c>
      <c r="S4" t="s">
        <v>54</v>
      </c>
      <c r="T4">
        <v>20</v>
      </c>
      <c r="U4">
        <v>50</v>
      </c>
      <c r="V4" t="s">
        <v>54</v>
      </c>
      <c r="W4" t="s">
        <v>54</v>
      </c>
      <c r="X4" t="s">
        <v>54</v>
      </c>
      <c r="Y4">
        <v>100</v>
      </c>
      <c r="Z4">
        <v>10</v>
      </c>
      <c r="AA4">
        <v>100</v>
      </c>
      <c r="AB4" t="s">
        <v>54</v>
      </c>
      <c r="AC4" t="s">
        <v>54</v>
      </c>
      <c r="AD4" t="s">
        <v>54</v>
      </c>
      <c r="AE4">
        <v>20</v>
      </c>
      <c r="AF4" t="s">
        <v>54</v>
      </c>
      <c r="AG4" t="s">
        <v>54</v>
      </c>
      <c r="AH4">
        <v>200</v>
      </c>
      <c r="AI4" t="s">
        <v>54</v>
      </c>
      <c r="AJ4">
        <v>30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>
        <v>200</v>
      </c>
      <c r="AT4" t="s">
        <v>54</v>
      </c>
      <c r="AU4" t="s">
        <v>54</v>
      </c>
      <c r="AV4" t="s">
        <v>54</v>
      </c>
      <c r="AW4" t="s">
        <v>54</v>
      </c>
      <c r="AX4">
        <v>15</v>
      </c>
      <c r="AZ4">
        <v>1850</v>
      </c>
      <c r="BA4" t="s">
        <v>55</v>
      </c>
    </row>
    <row r="5" spans="1:53" x14ac:dyDescent="0.45">
      <c r="A5">
        <v>4</v>
      </c>
      <c r="C5" t="str">
        <f>RIGHT([1]Raw_Ripton_1850!B8,LEN([1]Raw_Ripton_1850!B8)-1)</f>
        <v>Guorger Whipper</v>
      </c>
      <c r="D5" t="s">
        <v>58</v>
      </c>
      <c r="F5">
        <v>350</v>
      </c>
      <c r="G5">
        <v>450</v>
      </c>
      <c r="H5">
        <v>10500</v>
      </c>
      <c r="I5">
        <v>225</v>
      </c>
      <c r="J5">
        <v>3</v>
      </c>
      <c r="K5" t="s">
        <v>54</v>
      </c>
      <c r="L5">
        <v>6</v>
      </c>
      <c r="M5">
        <v>2</v>
      </c>
      <c r="N5">
        <v>6</v>
      </c>
      <c r="O5">
        <v>60</v>
      </c>
      <c r="P5">
        <v>4</v>
      </c>
      <c r="Q5">
        <v>625</v>
      </c>
      <c r="R5" t="s">
        <v>54</v>
      </c>
      <c r="S5">
        <v>30</v>
      </c>
      <c r="T5">
        <v>155</v>
      </c>
      <c r="U5" t="s">
        <v>54</v>
      </c>
      <c r="V5" t="s">
        <v>54</v>
      </c>
      <c r="W5" t="s">
        <v>54</v>
      </c>
      <c r="X5" t="s">
        <v>54</v>
      </c>
      <c r="Y5">
        <v>180</v>
      </c>
      <c r="Z5" t="s">
        <v>54</v>
      </c>
      <c r="AA5">
        <v>350</v>
      </c>
      <c r="AB5" t="s">
        <v>54</v>
      </c>
      <c r="AC5" t="s">
        <v>54</v>
      </c>
      <c r="AD5">
        <v>50</v>
      </c>
      <c r="AE5">
        <v>50</v>
      </c>
      <c r="AF5" t="s">
        <v>54</v>
      </c>
      <c r="AG5" t="s">
        <v>54</v>
      </c>
      <c r="AH5">
        <v>600</v>
      </c>
      <c r="AI5" t="s">
        <v>54</v>
      </c>
      <c r="AJ5">
        <v>80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>
        <v>5</v>
      </c>
      <c r="AX5">
        <v>100</v>
      </c>
      <c r="AZ5">
        <v>1850</v>
      </c>
      <c r="BA5" t="s">
        <v>55</v>
      </c>
    </row>
    <row r="6" spans="1:53" x14ac:dyDescent="0.45">
      <c r="A6">
        <v>5</v>
      </c>
      <c r="C6" t="str">
        <f>RIGHT([1]Raw_Ripton_1850!B9,LEN([1]Raw_Ripton_1850!B9)-1)</f>
        <v>Jamml72 Herndrick</v>
      </c>
      <c r="D6" t="s">
        <v>59</v>
      </c>
      <c r="F6">
        <v>30</v>
      </c>
      <c r="G6">
        <v>170</v>
      </c>
      <c r="H6">
        <v>700</v>
      </c>
      <c r="I6">
        <v>65</v>
      </c>
      <c r="J6" t="s">
        <v>54</v>
      </c>
      <c r="K6" t="s">
        <v>54</v>
      </c>
      <c r="L6">
        <v>4</v>
      </c>
      <c r="M6">
        <v>2</v>
      </c>
      <c r="N6">
        <v>1</v>
      </c>
      <c r="O6">
        <v>14</v>
      </c>
      <c r="P6">
        <v>9</v>
      </c>
      <c r="Q6">
        <v>200</v>
      </c>
      <c r="R6" t="s">
        <v>54</v>
      </c>
      <c r="S6">
        <v>14</v>
      </c>
      <c r="T6" t="s">
        <v>54</v>
      </c>
      <c r="U6">
        <v>50</v>
      </c>
      <c r="V6" t="s">
        <v>54</v>
      </c>
      <c r="W6" t="s">
        <v>54</v>
      </c>
      <c r="X6" t="s">
        <v>54</v>
      </c>
      <c r="Y6">
        <v>46</v>
      </c>
      <c r="Z6" t="s">
        <v>54</v>
      </c>
      <c r="AA6">
        <v>200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>
        <v>500</v>
      </c>
      <c r="AI6">
        <v>100</v>
      </c>
      <c r="AJ6">
        <v>14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>
        <v>100</v>
      </c>
      <c r="AT6" t="s">
        <v>54</v>
      </c>
      <c r="AU6" t="s">
        <v>54</v>
      </c>
      <c r="AV6" t="s">
        <v>54</v>
      </c>
      <c r="AW6" t="s">
        <v>54</v>
      </c>
      <c r="AX6">
        <v>36</v>
      </c>
      <c r="AZ6">
        <v>1850</v>
      </c>
      <c r="BA6" t="s">
        <v>55</v>
      </c>
    </row>
    <row r="7" spans="1:53" x14ac:dyDescent="0.45">
      <c r="A7">
        <v>6</v>
      </c>
      <c r="C7" t="str">
        <f>RIGHT([1]Raw_Ripton_1850!B10,LEN([1]Raw_Ripton_1850!B10)-1)</f>
        <v>Tuphm Meadison</v>
      </c>
      <c r="D7" t="s">
        <v>60</v>
      </c>
      <c r="F7">
        <v>17</v>
      </c>
      <c r="G7">
        <v>280</v>
      </c>
      <c r="H7">
        <v>800</v>
      </c>
      <c r="I7">
        <v>40</v>
      </c>
      <c r="J7" t="s">
        <v>54</v>
      </c>
      <c r="K7" t="s">
        <v>54</v>
      </c>
      <c r="L7">
        <v>1</v>
      </c>
      <c r="M7" t="s">
        <v>54</v>
      </c>
      <c r="N7" t="s">
        <v>54</v>
      </c>
      <c r="O7" t="s">
        <v>54</v>
      </c>
      <c r="P7" t="s">
        <v>54</v>
      </c>
      <c r="Q7">
        <v>25</v>
      </c>
      <c r="R7">
        <v>20</v>
      </c>
      <c r="S7" t="s">
        <v>54</v>
      </c>
      <c r="T7">
        <v>25</v>
      </c>
      <c r="U7">
        <v>20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>
        <v>150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>
        <v>150</v>
      </c>
      <c r="AI7" t="s">
        <v>54</v>
      </c>
      <c r="AJ7">
        <v>17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>
        <v>250</v>
      </c>
      <c r="AT7" t="s">
        <v>54</v>
      </c>
      <c r="AU7" t="s">
        <v>54</v>
      </c>
      <c r="AV7" t="s">
        <v>54</v>
      </c>
      <c r="AW7" t="s">
        <v>54</v>
      </c>
      <c r="AX7">
        <v>20</v>
      </c>
      <c r="AZ7">
        <v>1850</v>
      </c>
      <c r="BA7" t="s">
        <v>55</v>
      </c>
    </row>
    <row r="8" spans="1:53" x14ac:dyDescent="0.45">
      <c r="A8">
        <v>7</v>
      </c>
      <c r="C8" t="str">
        <f>RIGHT([1]Raw_Ripton_1850!B11,LEN([1]Raw_Ripton_1850!B11)-1)</f>
        <v>Inathan Firris</v>
      </c>
      <c r="D8" t="s">
        <v>61</v>
      </c>
      <c r="F8">
        <v>15</v>
      </c>
      <c r="G8">
        <v>85</v>
      </c>
      <c r="H8">
        <v>600</v>
      </c>
      <c r="I8">
        <v>50</v>
      </c>
      <c r="J8" t="s">
        <v>54</v>
      </c>
      <c r="K8" t="s">
        <v>54</v>
      </c>
      <c r="L8">
        <v>1</v>
      </c>
      <c r="M8">
        <v>2</v>
      </c>
      <c r="N8">
        <v>2</v>
      </c>
      <c r="O8">
        <v>1</v>
      </c>
      <c r="P8">
        <v>1</v>
      </c>
      <c r="Q8">
        <v>130</v>
      </c>
      <c r="R8">
        <v>10</v>
      </c>
      <c r="S8" t="s">
        <v>54</v>
      </c>
      <c r="T8">
        <v>10</v>
      </c>
      <c r="U8">
        <v>30</v>
      </c>
      <c r="V8" t="s">
        <v>54</v>
      </c>
      <c r="W8" t="s">
        <v>54</v>
      </c>
      <c r="X8" t="s">
        <v>54</v>
      </c>
      <c r="Y8">
        <v>4</v>
      </c>
      <c r="Z8" t="s">
        <v>54</v>
      </c>
      <c r="AA8">
        <v>200</v>
      </c>
      <c r="AB8" t="s">
        <v>54</v>
      </c>
      <c r="AC8" t="s">
        <v>54</v>
      </c>
      <c r="AD8">
        <v>15</v>
      </c>
      <c r="AE8" t="s">
        <v>54</v>
      </c>
      <c r="AF8" t="s">
        <v>54</v>
      </c>
      <c r="AG8" t="s">
        <v>54</v>
      </c>
      <c r="AH8">
        <v>200</v>
      </c>
      <c r="AI8" t="s">
        <v>54</v>
      </c>
      <c r="AJ8">
        <v>13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>
        <v>200</v>
      </c>
      <c r="AT8" t="s">
        <v>54</v>
      </c>
      <c r="AU8" t="s">
        <v>54</v>
      </c>
      <c r="AV8" t="s">
        <v>54</v>
      </c>
      <c r="AW8">
        <v>2</v>
      </c>
      <c r="AX8">
        <v>30</v>
      </c>
      <c r="AZ8">
        <v>1850</v>
      </c>
      <c r="BA8" t="s">
        <v>55</v>
      </c>
    </row>
    <row r="9" spans="1:53" x14ac:dyDescent="0.45">
      <c r="A9">
        <v>8</v>
      </c>
      <c r="C9" t="str">
        <f>RIGHT([1]Raw_Ripton_1850!B12,LEN([1]Raw_Ripton_1850!B12)-1)</f>
        <v>Asa Dow</v>
      </c>
      <c r="D9" t="s">
        <v>62</v>
      </c>
      <c r="F9">
        <v>10</v>
      </c>
      <c r="G9">
        <v>90</v>
      </c>
      <c r="H9">
        <v>400</v>
      </c>
      <c r="I9">
        <v>2</v>
      </c>
      <c r="J9" t="s">
        <v>54</v>
      </c>
      <c r="K9" t="s">
        <v>54</v>
      </c>
      <c r="L9">
        <v>1</v>
      </c>
      <c r="M9" t="s">
        <v>54</v>
      </c>
      <c r="N9" t="s">
        <v>54</v>
      </c>
      <c r="O9" t="s">
        <v>54</v>
      </c>
      <c r="P9" t="s">
        <v>54</v>
      </c>
      <c r="Q9">
        <v>20</v>
      </c>
      <c r="R9">
        <v>13</v>
      </c>
      <c r="S9">
        <v>3</v>
      </c>
      <c r="T9">
        <v>12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>
        <v>170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>
        <v>150</v>
      </c>
      <c r="AI9" t="s">
        <v>54</v>
      </c>
      <c r="AJ9">
        <v>20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>
        <v>300</v>
      </c>
      <c r="AT9" t="s">
        <v>54</v>
      </c>
      <c r="AU9" t="s">
        <v>54</v>
      </c>
      <c r="AV9" t="s">
        <v>54</v>
      </c>
      <c r="AW9" t="s">
        <v>54</v>
      </c>
      <c r="AX9">
        <v>40</v>
      </c>
      <c r="AZ9">
        <v>1850</v>
      </c>
      <c r="BA9" t="s">
        <v>55</v>
      </c>
    </row>
    <row r="10" spans="1:53" x14ac:dyDescent="0.45">
      <c r="A10">
        <v>9</v>
      </c>
      <c r="C10" t="str">
        <f>RIGHT([1]Raw_Ripton_1850!B13,LEN([1]Raw_Ripton_1850!B13)-1)</f>
        <v>Lophionia Fisher</v>
      </c>
      <c r="D10" t="s">
        <v>63</v>
      </c>
      <c r="F10">
        <v>50</v>
      </c>
      <c r="G10">
        <v>50</v>
      </c>
      <c r="H10">
        <v>600</v>
      </c>
      <c r="I10">
        <v>50</v>
      </c>
      <c r="J10" t="s">
        <v>54</v>
      </c>
      <c r="K10" t="s">
        <v>54</v>
      </c>
      <c r="L10">
        <v>2</v>
      </c>
      <c r="M10" t="s">
        <v>54</v>
      </c>
      <c r="N10">
        <v>2</v>
      </c>
      <c r="O10">
        <v>15</v>
      </c>
      <c r="P10">
        <v>1</v>
      </c>
      <c r="Q10">
        <v>40</v>
      </c>
      <c r="R10">
        <v>5</v>
      </c>
      <c r="S10" t="s">
        <v>54</v>
      </c>
      <c r="T10">
        <v>18</v>
      </c>
      <c r="U10" t="s">
        <v>54</v>
      </c>
      <c r="V10" t="s">
        <v>54</v>
      </c>
      <c r="W10" t="s">
        <v>54</v>
      </c>
      <c r="X10" t="s">
        <v>54</v>
      </c>
      <c r="Y10">
        <v>50</v>
      </c>
      <c r="Z10">
        <v>2</v>
      </c>
      <c r="AA10">
        <v>300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>
        <v>200</v>
      </c>
      <c r="AI10" t="s">
        <v>54</v>
      </c>
      <c r="AJ10">
        <v>16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>
        <v>60</v>
      </c>
      <c r="AT10" t="s">
        <v>54</v>
      </c>
      <c r="AU10" t="s">
        <v>54</v>
      </c>
      <c r="AV10" t="s">
        <v>54</v>
      </c>
      <c r="AW10">
        <v>25</v>
      </c>
      <c r="AX10">
        <v>20</v>
      </c>
      <c r="AZ10">
        <v>1850</v>
      </c>
      <c r="BA10" t="s">
        <v>55</v>
      </c>
    </row>
    <row r="11" spans="1:53" x14ac:dyDescent="0.45">
      <c r="A11">
        <v>10</v>
      </c>
      <c r="C11" t="str">
        <f>RIGHT([1]Raw_Ripton_1850!B14,LEN([1]Raw_Ripton_1850!B14)-1)</f>
        <v>Timisthy Fisher</v>
      </c>
      <c r="D11" t="s">
        <v>64</v>
      </c>
      <c r="F11">
        <v>20</v>
      </c>
      <c r="G11">
        <v>80</v>
      </c>
      <c r="H11">
        <v>400</v>
      </c>
      <c r="I11">
        <v>20</v>
      </c>
      <c r="J11" t="s">
        <v>54</v>
      </c>
      <c r="K11" t="s">
        <v>54</v>
      </c>
      <c r="L11">
        <v>1</v>
      </c>
      <c r="M11">
        <v>2</v>
      </c>
      <c r="N11">
        <v>3</v>
      </c>
      <c r="O11">
        <v>6</v>
      </c>
      <c r="P11">
        <v>2</v>
      </c>
      <c r="Q11">
        <v>150</v>
      </c>
      <c r="R11" t="s">
        <v>54</v>
      </c>
      <c r="S11">
        <v>10</v>
      </c>
      <c r="T11">
        <v>5</v>
      </c>
      <c r="U11">
        <v>12</v>
      </c>
      <c r="V11" t="s">
        <v>54</v>
      </c>
      <c r="W11" t="s">
        <v>54</v>
      </c>
      <c r="X11" t="s">
        <v>54</v>
      </c>
      <c r="Y11">
        <v>20</v>
      </c>
      <c r="Z11" t="s">
        <v>54</v>
      </c>
      <c r="AA11">
        <v>100</v>
      </c>
      <c r="AB11" t="s">
        <v>54</v>
      </c>
      <c r="AC11" t="s">
        <v>54</v>
      </c>
      <c r="AD11">
        <v>30</v>
      </c>
      <c r="AE11" t="s">
        <v>54</v>
      </c>
      <c r="AF11" t="s">
        <v>54</v>
      </c>
      <c r="AG11" t="s">
        <v>54</v>
      </c>
      <c r="AH11">
        <v>180</v>
      </c>
      <c r="AI11" t="s">
        <v>54</v>
      </c>
      <c r="AJ11">
        <v>15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>
        <v>20</v>
      </c>
      <c r="AZ11">
        <v>1850</v>
      </c>
      <c r="BA11" t="s">
        <v>55</v>
      </c>
    </row>
    <row r="12" spans="1:53" x14ac:dyDescent="0.45">
      <c r="A12">
        <v>11</v>
      </c>
      <c r="C12" t="str">
        <f>RIGHT([1]Raw_Ripton_1850!B15,LEN([1]Raw_Ripton_1850!B15)-1)</f>
        <v>Aldru Shown</v>
      </c>
      <c r="D12" t="s">
        <v>65</v>
      </c>
      <c r="F12">
        <v>25</v>
      </c>
      <c r="G12">
        <v>75</v>
      </c>
      <c r="H12">
        <v>450</v>
      </c>
      <c r="I12">
        <v>25</v>
      </c>
      <c r="J12" t="s">
        <v>54</v>
      </c>
      <c r="K12" t="s">
        <v>54</v>
      </c>
      <c r="L12">
        <v>1</v>
      </c>
      <c r="M12">
        <v>2</v>
      </c>
      <c r="N12" t="s">
        <v>54</v>
      </c>
      <c r="O12">
        <v>1</v>
      </c>
      <c r="P12">
        <v>1</v>
      </c>
      <c r="Q12">
        <v>130</v>
      </c>
      <c r="R12" t="s">
        <v>54</v>
      </c>
      <c r="S12">
        <v>16</v>
      </c>
      <c r="T12">
        <v>10</v>
      </c>
      <c r="U12" t="s">
        <v>54</v>
      </c>
      <c r="V12" t="s">
        <v>54</v>
      </c>
      <c r="W12" t="s">
        <v>54</v>
      </c>
      <c r="X12" t="s">
        <v>54</v>
      </c>
      <c r="Y12">
        <v>38</v>
      </c>
      <c r="Z12">
        <v>1</v>
      </c>
      <c r="AA12">
        <v>150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>
        <v>250</v>
      </c>
      <c r="AI12">
        <v>60</v>
      </c>
      <c r="AJ12">
        <v>25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>
        <v>200</v>
      </c>
      <c r="AT12" t="s">
        <v>54</v>
      </c>
      <c r="AU12" t="s">
        <v>54</v>
      </c>
      <c r="AV12" t="s">
        <v>54</v>
      </c>
      <c r="AW12">
        <v>5</v>
      </c>
      <c r="AX12">
        <v>55</v>
      </c>
      <c r="AZ12">
        <v>1850</v>
      </c>
      <c r="BA12" t="s">
        <v>55</v>
      </c>
    </row>
    <row r="13" spans="1:53" x14ac:dyDescent="0.45">
      <c r="A13">
        <v>12</v>
      </c>
      <c r="C13" t="str">
        <f>RIGHT([1]Raw_Ripton_1850!B16,LEN([1]Raw_Ripton_1850!B16)-1)</f>
        <v>I onother Q Gin</v>
      </c>
      <c r="D13" t="s">
        <v>66</v>
      </c>
      <c r="F13">
        <v>25</v>
      </c>
      <c r="G13">
        <v>75</v>
      </c>
      <c r="H13">
        <v>600</v>
      </c>
      <c r="I13">
        <v>100</v>
      </c>
      <c r="J13" t="s">
        <v>54</v>
      </c>
      <c r="K13" t="s">
        <v>54</v>
      </c>
      <c r="L13">
        <v>3</v>
      </c>
      <c r="M13">
        <v>2</v>
      </c>
      <c r="N13" t="s">
        <v>54</v>
      </c>
      <c r="O13">
        <v>18</v>
      </c>
      <c r="P13">
        <v>3</v>
      </c>
      <c r="Q13">
        <v>160</v>
      </c>
      <c r="R13">
        <v>25</v>
      </c>
      <c r="S13">
        <v>5</v>
      </c>
      <c r="T13">
        <v>15</v>
      </c>
      <c r="U13">
        <v>100</v>
      </c>
      <c r="V13" t="s">
        <v>54</v>
      </c>
      <c r="W13" t="s">
        <v>54</v>
      </c>
      <c r="X13" t="s">
        <v>54</v>
      </c>
      <c r="Y13">
        <v>60</v>
      </c>
      <c r="Z13" t="s">
        <v>54</v>
      </c>
      <c r="AA13">
        <v>100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>
        <v>300</v>
      </c>
      <c r="AI13" t="s">
        <v>54</v>
      </c>
      <c r="AJ13">
        <v>10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>
        <v>34</v>
      </c>
      <c r="AZ13">
        <v>1850</v>
      </c>
      <c r="BA13" t="s">
        <v>55</v>
      </c>
    </row>
    <row r="14" spans="1:53" x14ac:dyDescent="0.45">
      <c r="A14">
        <v>13</v>
      </c>
      <c r="C14" t="str">
        <f>RIGHT([1]Raw_Ripton_1850!B17,LEN([1]Raw_Ripton_1850!B17)-1)</f>
        <v>Firth Headgin</v>
      </c>
      <c r="D14" t="s">
        <v>67</v>
      </c>
      <c r="F14">
        <v>15</v>
      </c>
      <c r="G14">
        <v>50</v>
      </c>
      <c r="H14">
        <v>250</v>
      </c>
      <c r="I14">
        <v>50</v>
      </c>
      <c r="J14" t="s">
        <v>54</v>
      </c>
      <c r="K14" t="s">
        <v>54</v>
      </c>
      <c r="L14">
        <v>2</v>
      </c>
      <c r="M14" t="s">
        <v>54</v>
      </c>
      <c r="N14">
        <v>4</v>
      </c>
      <c r="O14">
        <v>3</v>
      </c>
      <c r="P14" t="s">
        <v>54</v>
      </c>
      <c r="Q14">
        <v>120</v>
      </c>
      <c r="R14">
        <v>7</v>
      </c>
      <c r="S14" t="s">
        <v>54</v>
      </c>
      <c r="T14">
        <v>20</v>
      </c>
      <c r="U14">
        <v>30</v>
      </c>
      <c r="V14" t="s">
        <v>54</v>
      </c>
      <c r="W14" t="s">
        <v>54</v>
      </c>
      <c r="X14" t="s">
        <v>54</v>
      </c>
      <c r="Y14">
        <v>20</v>
      </c>
      <c r="Z14">
        <v>2</v>
      </c>
      <c r="AA14">
        <v>150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>
        <v>200</v>
      </c>
      <c r="AI14" t="s">
        <v>54</v>
      </c>
      <c r="AJ14">
        <v>12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>
        <v>200</v>
      </c>
      <c r="AT14" t="s">
        <v>54</v>
      </c>
      <c r="AU14" t="s">
        <v>54</v>
      </c>
      <c r="AV14" t="s">
        <v>54</v>
      </c>
      <c r="AW14" t="s">
        <v>54</v>
      </c>
      <c r="AX14">
        <v>26</v>
      </c>
      <c r="AZ14">
        <v>1850</v>
      </c>
      <c r="BA14" t="s">
        <v>55</v>
      </c>
    </row>
    <row r="15" spans="1:53" x14ac:dyDescent="0.45">
      <c r="A15">
        <v>14</v>
      </c>
      <c r="C15" t="str">
        <f>RIGHT([1]Raw_Ripton_1850!B18,LEN([1]Raw_Ripton_1850!B18)-1)</f>
        <v>John Nillow</v>
      </c>
      <c r="D15" t="s">
        <v>68</v>
      </c>
      <c r="F15">
        <v>25</v>
      </c>
      <c r="G15">
        <v>75</v>
      </c>
      <c r="H15">
        <v>700</v>
      </c>
      <c r="I15">
        <v>60</v>
      </c>
      <c r="J15" t="s">
        <v>54</v>
      </c>
      <c r="K15" t="s">
        <v>54</v>
      </c>
      <c r="L15">
        <v>2</v>
      </c>
      <c r="M15">
        <v>3</v>
      </c>
      <c r="N15" t="s">
        <v>54</v>
      </c>
      <c r="O15">
        <v>11</v>
      </c>
      <c r="P15">
        <v>2</v>
      </c>
      <c r="Q15">
        <v>300</v>
      </c>
      <c r="R15">
        <v>20</v>
      </c>
      <c r="S15">
        <v>10</v>
      </c>
      <c r="T15">
        <v>40</v>
      </c>
      <c r="U15">
        <v>15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>
        <v>100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>
        <v>190</v>
      </c>
      <c r="AI15" t="s">
        <v>54</v>
      </c>
      <c r="AJ15">
        <v>16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>
        <v>10</v>
      </c>
      <c r="AW15" t="s">
        <v>54</v>
      </c>
      <c r="AX15">
        <v>24</v>
      </c>
      <c r="AZ15">
        <v>1850</v>
      </c>
      <c r="BA15" t="s">
        <v>55</v>
      </c>
    </row>
    <row r="16" spans="1:53" x14ac:dyDescent="0.45">
      <c r="A16">
        <v>15</v>
      </c>
      <c r="C16" t="str">
        <f>RIGHT([1]Raw_Ripton_1850!B19,LEN([1]Raw_Ripton_1850!B19)-1)</f>
        <v>John Kilton dr.</v>
      </c>
      <c r="D16" t="s">
        <v>69</v>
      </c>
      <c r="F16">
        <v>35</v>
      </c>
      <c r="G16">
        <v>65</v>
      </c>
      <c r="H16">
        <v>500</v>
      </c>
      <c r="I16">
        <v>50</v>
      </c>
      <c r="J16" t="s">
        <v>54</v>
      </c>
      <c r="K16" t="s">
        <v>54</v>
      </c>
      <c r="L16">
        <v>2</v>
      </c>
      <c r="M16" t="s">
        <v>54</v>
      </c>
      <c r="N16">
        <v>2</v>
      </c>
      <c r="O16" t="s">
        <v>54</v>
      </c>
      <c r="P16">
        <v>1</v>
      </c>
      <c r="Q16">
        <v>70</v>
      </c>
      <c r="R16">
        <v>20</v>
      </c>
      <c r="S16" t="s">
        <v>54</v>
      </c>
      <c r="T16">
        <v>30</v>
      </c>
      <c r="U16">
        <v>40</v>
      </c>
      <c r="V16" t="s">
        <v>54</v>
      </c>
      <c r="W16" t="s">
        <v>54</v>
      </c>
      <c r="X16" t="s">
        <v>54</v>
      </c>
      <c r="Y16">
        <v>160</v>
      </c>
      <c r="Z16">
        <v>4</v>
      </c>
      <c r="AA16">
        <v>300</v>
      </c>
      <c r="AB16" t="s">
        <v>54</v>
      </c>
      <c r="AC16" t="s">
        <v>54</v>
      </c>
      <c r="AD16">
        <v>15</v>
      </c>
      <c r="AE16" t="s">
        <v>54</v>
      </c>
      <c r="AF16" t="s">
        <v>54</v>
      </c>
      <c r="AG16" t="s">
        <v>54</v>
      </c>
      <c r="AH16">
        <v>300</v>
      </c>
      <c r="AI16" t="s">
        <v>54</v>
      </c>
      <c r="AJ16">
        <v>40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>
        <v>450</v>
      </c>
      <c r="AT16" t="s">
        <v>54</v>
      </c>
      <c r="AU16" t="s">
        <v>54</v>
      </c>
      <c r="AV16">
        <v>10</v>
      </c>
      <c r="AW16">
        <v>20</v>
      </c>
      <c r="AX16">
        <v>100</v>
      </c>
      <c r="AZ16">
        <v>1850</v>
      </c>
      <c r="BA16" t="s">
        <v>55</v>
      </c>
    </row>
    <row r="17" spans="1:53" x14ac:dyDescent="0.45">
      <c r="A17">
        <v>16</v>
      </c>
      <c r="C17" t="str">
        <f>RIGHT([1]Raw_Ripton_1850!B20,LEN([1]Raw_Ripton_1850!B20)-1)</f>
        <v>amon Mrader</v>
      </c>
      <c r="D17" t="s">
        <v>70</v>
      </c>
      <c r="F17">
        <v>50</v>
      </c>
      <c r="G17">
        <v>100</v>
      </c>
      <c r="H17">
        <v>575</v>
      </c>
      <c r="I17">
        <v>60</v>
      </c>
      <c r="J17" t="s">
        <v>54</v>
      </c>
      <c r="K17" t="s">
        <v>54</v>
      </c>
      <c r="L17">
        <v>2</v>
      </c>
      <c r="M17">
        <v>2</v>
      </c>
      <c r="N17">
        <v>6</v>
      </c>
      <c r="O17">
        <v>15</v>
      </c>
      <c r="P17">
        <v>1</v>
      </c>
      <c r="Q17">
        <v>244</v>
      </c>
      <c r="R17">
        <v>30</v>
      </c>
      <c r="S17" t="s">
        <v>54</v>
      </c>
      <c r="T17">
        <v>50</v>
      </c>
      <c r="U17">
        <v>100</v>
      </c>
      <c r="V17" t="s">
        <v>54</v>
      </c>
      <c r="W17" t="s">
        <v>54</v>
      </c>
      <c r="X17" t="s">
        <v>54</v>
      </c>
      <c r="Y17">
        <v>50</v>
      </c>
      <c r="Z17" t="s">
        <v>54</v>
      </c>
      <c r="AA17">
        <v>180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>
        <v>170</v>
      </c>
      <c r="AI17" t="s">
        <v>54</v>
      </c>
      <c r="AJ17">
        <v>12</v>
      </c>
      <c r="AK17" t="s">
        <v>54</v>
      </c>
      <c r="AL17">
        <v>14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>
        <v>100</v>
      </c>
      <c r="AT17" t="s">
        <v>54</v>
      </c>
      <c r="AU17" t="s">
        <v>54</v>
      </c>
      <c r="AV17" t="s">
        <v>54</v>
      </c>
      <c r="AW17">
        <v>100</v>
      </c>
      <c r="AX17">
        <v>13</v>
      </c>
      <c r="AZ17">
        <v>1850</v>
      </c>
      <c r="BA17" t="s">
        <v>55</v>
      </c>
    </row>
    <row r="18" spans="1:53" x14ac:dyDescent="0.45">
      <c r="A18">
        <v>17</v>
      </c>
      <c r="C18" t="str">
        <f>RIGHT([1]Raw_Ripton_1850!B21,LEN([1]Raw_Ripton_1850!B21)-1)</f>
        <v>John 4. beabby</v>
      </c>
      <c r="D18" t="s">
        <v>71</v>
      </c>
      <c r="F18">
        <v>20</v>
      </c>
      <c r="G18">
        <v>30</v>
      </c>
      <c r="H18">
        <v>500</v>
      </c>
      <c r="I18">
        <v>20</v>
      </c>
      <c r="J18" t="s">
        <v>54</v>
      </c>
      <c r="K18" t="s">
        <v>54</v>
      </c>
      <c r="L18">
        <v>1</v>
      </c>
      <c r="M18" t="s">
        <v>54</v>
      </c>
      <c r="N18">
        <v>2</v>
      </c>
      <c r="O18" t="s">
        <v>54</v>
      </c>
      <c r="P18">
        <v>1</v>
      </c>
      <c r="Q18">
        <v>50</v>
      </c>
      <c r="R18" t="s">
        <v>54</v>
      </c>
      <c r="S18" t="s">
        <v>54</v>
      </c>
      <c r="T18">
        <v>15</v>
      </c>
      <c r="U18">
        <v>100</v>
      </c>
      <c r="V18" t="s">
        <v>54</v>
      </c>
      <c r="W18" t="s">
        <v>54</v>
      </c>
      <c r="X18" t="s">
        <v>54</v>
      </c>
      <c r="Y18">
        <v>5</v>
      </c>
      <c r="Z18" t="s">
        <v>54</v>
      </c>
      <c r="AA18">
        <v>50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>
        <v>300</v>
      </c>
      <c r="AI18">
        <v>125</v>
      </c>
      <c r="AJ18">
        <v>20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>
        <v>20</v>
      </c>
      <c r="AZ18">
        <v>1850</v>
      </c>
      <c r="BA18" t="s">
        <v>55</v>
      </c>
    </row>
    <row r="19" spans="1:53" x14ac:dyDescent="0.45">
      <c r="A19">
        <v>18</v>
      </c>
      <c r="C19" t="str">
        <f>RIGHT([1]Raw_Ripton_1850!B22,LEN([1]Raw_Ripton_1850!B22)-1)</f>
        <v>Azaman N. you</v>
      </c>
      <c r="D19" t="s">
        <v>72</v>
      </c>
      <c r="F19">
        <v>10</v>
      </c>
      <c r="G19">
        <v>290</v>
      </c>
      <c r="H19">
        <v>1000</v>
      </c>
      <c r="I19">
        <v>20</v>
      </c>
      <c r="J19" t="s">
        <v>54</v>
      </c>
      <c r="K19" t="s">
        <v>54</v>
      </c>
      <c r="L19">
        <v>2</v>
      </c>
      <c r="M19" t="s">
        <v>54</v>
      </c>
      <c r="N19">
        <v>6</v>
      </c>
      <c r="O19">
        <v>15</v>
      </c>
      <c r="P19">
        <v>2</v>
      </c>
      <c r="Q19">
        <v>125</v>
      </c>
      <c r="R19">
        <v>15</v>
      </c>
      <c r="S19" t="s">
        <v>54</v>
      </c>
      <c r="T19">
        <v>12</v>
      </c>
      <c r="U19">
        <v>30</v>
      </c>
      <c r="V19" t="s">
        <v>54</v>
      </c>
      <c r="W19" t="s">
        <v>54</v>
      </c>
      <c r="X19" t="s">
        <v>54</v>
      </c>
      <c r="Y19">
        <v>50</v>
      </c>
      <c r="Z19" t="s">
        <v>54</v>
      </c>
      <c r="AA19">
        <v>100</v>
      </c>
      <c r="AB19" t="s">
        <v>54</v>
      </c>
      <c r="AC19" t="s">
        <v>54</v>
      </c>
      <c r="AD19">
        <v>10</v>
      </c>
      <c r="AE19" t="s">
        <v>54</v>
      </c>
      <c r="AF19" t="s">
        <v>54</v>
      </c>
      <c r="AG19" t="s">
        <v>54</v>
      </c>
      <c r="AH19">
        <v>200</v>
      </c>
      <c r="AI19" t="s">
        <v>54</v>
      </c>
      <c r="AJ19">
        <v>10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>
        <v>350</v>
      </c>
      <c r="AT19" t="s">
        <v>54</v>
      </c>
      <c r="AU19" t="s">
        <v>54</v>
      </c>
      <c r="AV19" t="s">
        <v>54</v>
      </c>
      <c r="AW19" t="s">
        <v>54</v>
      </c>
      <c r="AX19">
        <v>40</v>
      </c>
      <c r="AZ19">
        <v>1850</v>
      </c>
      <c r="BA19" t="s">
        <v>55</v>
      </c>
    </row>
    <row r="20" spans="1:53" x14ac:dyDescent="0.45">
      <c r="A20">
        <v>19</v>
      </c>
      <c r="C20" t="str">
        <f>RIGHT([1]Raw_Ripton_1850!B23,LEN([1]Raw_Ripton_1850!B23)-1)</f>
        <v>John But</v>
      </c>
      <c r="D20" t="s">
        <v>73</v>
      </c>
      <c r="F20">
        <v>15</v>
      </c>
      <c r="G20">
        <v>167</v>
      </c>
      <c r="H20">
        <v>700</v>
      </c>
      <c r="I20">
        <v>50</v>
      </c>
      <c r="J20" t="s">
        <v>54</v>
      </c>
      <c r="K20" t="s">
        <v>54</v>
      </c>
      <c r="L20">
        <v>3</v>
      </c>
      <c r="M20">
        <v>2</v>
      </c>
      <c r="N20">
        <v>4</v>
      </c>
      <c r="O20">
        <v>9</v>
      </c>
      <c r="P20">
        <v>2</v>
      </c>
      <c r="Q20">
        <v>200</v>
      </c>
      <c r="R20" t="s">
        <v>54</v>
      </c>
      <c r="S20">
        <v>20</v>
      </c>
      <c r="T20">
        <v>50</v>
      </c>
      <c r="U20" t="s">
        <v>54</v>
      </c>
      <c r="V20" t="s">
        <v>54</v>
      </c>
      <c r="W20" t="s">
        <v>54</v>
      </c>
      <c r="X20" t="s">
        <v>54</v>
      </c>
      <c r="Y20">
        <v>30</v>
      </c>
      <c r="Z20">
        <v>10</v>
      </c>
      <c r="AA20">
        <v>200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>
        <v>300</v>
      </c>
      <c r="AI20" t="s">
        <v>54</v>
      </c>
      <c r="AJ20">
        <v>16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>
        <v>400</v>
      </c>
      <c r="AT20" t="s">
        <v>54</v>
      </c>
      <c r="AU20" t="s">
        <v>54</v>
      </c>
      <c r="AV20" t="s">
        <v>54</v>
      </c>
      <c r="AW20">
        <v>12</v>
      </c>
      <c r="AX20">
        <v>50</v>
      </c>
      <c r="AZ20">
        <v>1850</v>
      </c>
      <c r="BA20" t="s">
        <v>55</v>
      </c>
    </row>
    <row r="21" spans="1:53" x14ac:dyDescent="0.45">
      <c r="A21">
        <v>20</v>
      </c>
      <c r="C21" t="str">
        <f>RIGHT([1]Raw_Ripton_1850!B24,LEN([1]Raw_Ripton_1850!B24)-1)</f>
        <v>Moneal Fun</v>
      </c>
      <c r="D21" t="s">
        <v>74</v>
      </c>
      <c r="F21">
        <v>40</v>
      </c>
      <c r="G21">
        <v>39</v>
      </c>
      <c r="H21">
        <v>700</v>
      </c>
      <c r="I21">
        <v>80</v>
      </c>
      <c r="J21" t="s">
        <v>54</v>
      </c>
      <c r="K21" t="s">
        <v>54</v>
      </c>
      <c r="L21">
        <v>3</v>
      </c>
      <c r="M21">
        <v>2</v>
      </c>
      <c r="N21">
        <v>2</v>
      </c>
      <c r="O21">
        <v>8</v>
      </c>
      <c r="P21">
        <v>4</v>
      </c>
      <c r="Q21">
        <v>200</v>
      </c>
      <c r="R21">
        <v>5</v>
      </c>
      <c r="S21">
        <v>10</v>
      </c>
      <c r="T21">
        <v>15</v>
      </c>
      <c r="U21">
        <v>20</v>
      </c>
      <c r="V21" t="s">
        <v>54</v>
      </c>
      <c r="W21" t="s">
        <v>54</v>
      </c>
      <c r="X21" t="s">
        <v>54</v>
      </c>
      <c r="Y21">
        <v>16</v>
      </c>
      <c r="Z21">
        <v>1</v>
      </c>
      <c r="AA21">
        <v>250</v>
      </c>
      <c r="AB21" t="s">
        <v>54</v>
      </c>
      <c r="AC21" t="s">
        <v>54</v>
      </c>
      <c r="AD21">
        <v>33</v>
      </c>
      <c r="AE21" t="s">
        <v>54</v>
      </c>
      <c r="AF21" t="s">
        <v>54</v>
      </c>
      <c r="AG21" t="s">
        <v>54</v>
      </c>
      <c r="AH21">
        <v>200</v>
      </c>
      <c r="AI21" t="s">
        <v>54</v>
      </c>
      <c r="AJ21">
        <v>15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>
        <v>50</v>
      </c>
      <c r="AT21" t="s">
        <v>54</v>
      </c>
      <c r="AU21" t="s">
        <v>54</v>
      </c>
      <c r="AV21" t="s">
        <v>54</v>
      </c>
      <c r="AW21">
        <v>20</v>
      </c>
      <c r="AX21">
        <v>20</v>
      </c>
      <c r="AZ21">
        <v>1850</v>
      </c>
      <c r="BA21" t="s">
        <v>55</v>
      </c>
    </row>
    <row r="22" spans="1:53" x14ac:dyDescent="0.45">
      <c r="A22">
        <v>21</v>
      </c>
      <c r="C22" t="str">
        <f>RIGHT([1]Raw_Ripton_1850!B25,LEN([1]Raw_Ripton_1850!B25)-1)</f>
        <v>Willium n leafs</v>
      </c>
      <c r="D22" t="s">
        <v>75</v>
      </c>
      <c r="F22">
        <v>60</v>
      </c>
      <c r="G22">
        <v>90</v>
      </c>
      <c r="H22">
        <v>700</v>
      </c>
      <c r="I22">
        <v>50</v>
      </c>
      <c r="J22">
        <v>1</v>
      </c>
      <c r="K22" t="s">
        <v>54</v>
      </c>
      <c r="L22">
        <v>2</v>
      </c>
      <c r="M22">
        <v>2</v>
      </c>
      <c r="N22">
        <v>1</v>
      </c>
      <c r="O22">
        <v>1</v>
      </c>
      <c r="P22">
        <v>3</v>
      </c>
      <c r="Q22">
        <v>210</v>
      </c>
      <c r="R22" t="s">
        <v>54</v>
      </c>
      <c r="S22">
        <v>25</v>
      </c>
      <c r="U22">
        <v>60</v>
      </c>
      <c r="V22" t="s">
        <v>54</v>
      </c>
      <c r="W22" t="s">
        <v>54</v>
      </c>
      <c r="X22" t="s">
        <v>54</v>
      </c>
      <c r="Y22">
        <v>3</v>
      </c>
      <c r="Z22" t="s">
        <v>54</v>
      </c>
      <c r="AA22">
        <v>215</v>
      </c>
      <c r="AB22" t="s">
        <v>54</v>
      </c>
      <c r="AC22" t="s">
        <v>54</v>
      </c>
      <c r="AD22">
        <v>40</v>
      </c>
      <c r="AE22" t="s">
        <v>54</v>
      </c>
      <c r="AF22" t="s">
        <v>54</v>
      </c>
      <c r="AG22" t="s">
        <v>54</v>
      </c>
      <c r="AH22">
        <v>250</v>
      </c>
      <c r="AI22" t="s">
        <v>54</v>
      </c>
      <c r="AJ22">
        <v>17</v>
      </c>
      <c r="AK22" t="s">
        <v>54</v>
      </c>
      <c r="AL22">
        <v>3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>
        <v>38</v>
      </c>
      <c r="AW22" t="s">
        <v>54</v>
      </c>
      <c r="AX22">
        <v>36</v>
      </c>
      <c r="AZ22">
        <v>1850</v>
      </c>
      <c r="BA22" t="s">
        <v>55</v>
      </c>
    </row>
    <row r="23" spans="1:53" x14ac:dyDescent="0.45">
      <c r="A23">
        <v>22</v>
      </c>
      <c r="C23" t="str">
        <f>RIGHT([1]Raw_Ripton_1850!B26,LEN([1]Raw_Ripton_1850!B26)-1)</f>
        <v>Thomas Fullis</v>
      </c>
      <c r="D23" t="s">
        <v>76</v>
      </c>
      <c r="F23">
        <v>50</v>
      </c>
      <c r="G23">
        <v>50</v>
      </c>
      <c r="H23">
        <v>1000</v>
      </c>
      <c r="I23">
        <v>40</v>
      </c>
      <c r="J23" t="s">
        <v>54</v>
      </c>
      <c r="K23" t="s">
        <v>54</v>
      </c>
      <c r="L23">
        <v>5</v>
      </c>
      <c r="M23">
        <v>2</v>
      </c>
      <c r="N23">
        <v>5</v>
      </c>
      <c r="O23">
        <v>10</v>
      </c>
      <c r="P23">
        <v>3</v>
      </c>
      <c r="Q23">
        <v>200</v>
      </c>
      <c r="R23">
        <v>20</v>
      </c>
      <c r="S23" t="s">
        <v>54</v>
      </c>
      <c r="T23">
        <v>25</v>
      </c>
      <c r="U23">
        <v>125</v>
      </c>
      <c r="V23" t="s">
        <v>54</v>
      </c>
      <c r="W23" t="s">
        <v>54</v>
      </c>
      <c r="X23" t="s">
        <v>54</v>
      </c>
      <c r="Y23">
        <v>42</v>
      </c>
      <c r="Z23" t="s">
        <v>54</v>
      </c>
      <c r="AA23">
        <v>150</v>
      </c>
      <c r="AB23" t="s">
        <v>54</v>
      </c>
      <c r="AC23" t="s">
        <v>54</v>
      </c>
      <c r="AD23">
        <v>40</v>
      </c>
      <c r="AE23">
        <v>4</v>
      </c>
      <c r="AF23" t="s">
        <v>54</v>
      </c>
      <c r="AG23" t="s">
        <v>54</v>
      </c>
      <c r="AH23">
        <v>300</v>
      </c>
      <c r="AI23" t="s">
        <v>54</v>
      </c>
      <c r="AJ23">
        <v>20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>
        <v>200</v>
      </c>
      <c r="AT23" t="s">
        <v>54</v>
      </c>
      <c r="AU23" t="s">
        <v>54</v>
      </c>
      <c r="AV23" t="s">
        <v>54</v>
      </c>
      <c r="AW23" t="s">
        <v>54</v>
      </c>
      <c r="AX23">
        <v>45</v>
      </c>
      <c r="AZ23">
        <v>1850</v>
      </c>
      <c r="BA23" t="s">
        <v>55</v>
      </c>
    </row>
    <row r="24" spans="1:53" x14ac:dyDescent="0.45">
      <c r="A24">
        <v>23</v>
      </c>
      <c r="C24" t="str">
        <f>RIGHT([1]Raw_Ripton_1850!B27,LEN([1]Raw_Ripton_1850!B27)-1)</f>
        <v>Milland Replay</v>
      </c>
      <c r="D24" t="s">
        <v>77</v>
      </c>
      <c r="F24">
        <v>60</v>
      </c>
      <c r="G24">
        <v>50</v>
      </c>
      <c r="H24">
        <v>1500</v>
      </c>
      <c r="I24">
        <v>65</v>
      </c>
      <c r="J24">
        <v>2</v>
      </c>
      <c r="K24" t="s">
        <v>54</v>
      </c>
      <c r="L24">
        <v>4</v>
      </c>
      <c r="M24" t="s">
        <v>54</v>
      </c>
      <c r="N24" t="s">
        <v>54</v>
      </c>
      <c r="O24" t="s">
        <v>54</v>
      </c>
      <c r="P24">
        <v>1</v>
      </c>
      <c r="Q24">
        <v>170</v>
      </c>
      <c r="R24">
        <v>12</v>
      </c>
      <c r="S24">
        <v>25</v>
      </c>
      <c r="T24">
        <v>10</v>
      </c>
      <c r="U24">
        <v>250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>
        <v>150</v>
      </c>
      <c r="AB24" t="s">
        <v>54</v>
      </c>
      <c r="AC24" t="s">
        <v>54</v>
      </c>
      <c r="AD24">
        <v>37</v>
      </c>
      <c r="AE24" t="s">
        <v>54</v>
      </c>
      <c r="AF24" t="s">
        <v>54</v>
      </c>
      <c r="AG24" t="s">
        <v>54</v>
      </c>
      <c r="AH24">
        <v>400</v>
      </c>
      <c r="AI24" t="s">
        <v>54</v>
      </c>
      <c r="AJ24">
        <v>20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>
        <v>40</v>
      </c>
      <c r="AT24" t="s">
        <v>54</v>
      </c>
      <c r="AU24" t="s">
        <v>54</v>
      </c>
      <c r="AV24" t="s">
        <v>54</v>
      </c>
      <c r="AW24">
        <v>10</v>
      </c>
      <c r="AX24">
        <v>42</v>
      </c>
      <c r="AZ24">
        <v>1850</v>
      </c>
      <c r="BA24" t="s">
        <v>55</v>
      </c>
    </row>
    <row r="25" spans="1:53" x14ac:dyDescent="0.45">
      <c r="A25">
        <v>24</v>
      </c>
      <c r="C25" t="str">
        <f>RIGHT([1]Raw_Ripton_1850!B28,LEN([1]Raw_Ripton_1850!B28)-1)</f>
        <v>Andrew me Main</v>
      </c>
      <c r="D25" t="s">
        <v>78</v>
      </c>
      <c r="F25">
        <v>13</v>
      </c>
      <c r="G25">
        <v>35</v>
      </c>
      <c r="H25">
        <v>200</v>
      </c>
      <c r="I25" t="s">
        <v>54</v>
      </c>
      <c r="J25" t="s">
        <v>54</v>
      </c>
      <c r="K25" t="s">
        <v>54</v>
      </c>
      <c r="L25">
        <v>3</v>
      </c>
      <c r="M25">
        <v>2</v>
      </c>
      <c r="N25">
        <v>1</v>
      </c>
      <c r="O25" t="s">
        <v>54</v>
      </c>
      <c r="P25" t="s">
        <v>54</v>
      </c>
      <c r="Q25">
        <v>150</v>
      </c>
      <c r="R25" t="s">
        <v>54</v>
      </c>
      <c r="S25" t="s">
        <v>54</v>
      </c>
      <c r="T25">
        <v>15</v>
      </c>
      <c r="U25">
        <v>20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>
        <v>150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>
        <v>350</v>
      </c>
      <c r="AI25" t="s">
        <v>54</v>
      </c>
      <c r="AJ25">
        <v>14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>
        <v>45</v>
      </c>
      <c r="AZ25">
        <v>1850</v>
      </c>
      <c r="BA25" t="s">
        <v>55</v>
      </c>
    </row>
    <row r="26" spans="1:53" x14ac:dyDescent="0.45">
      <c r="A26">
        <v>25</v>
      </c>
      <c r="C26" t="str">
        <f>RIGHT([1]Raw_Ripton_1850!B29,LEN([1]Raw_Ripton_1850!B29)-1)</f>
        <v>amin a atwood</v>
      </c>
      <c r="D26" t="s">
        <v>79</v>
      </c>
      <c r="F26">
        <v>90</v>
      </c>
      <c r="G26">
        <v>260</v>
      </c>
      <c r="H26">
        <v>2000</v>
      </c>
      <c r="I26">
        <v>100</v>
      </c>
      <c r="J26">
        <v>1</v>
      </c>
      <c r="K26" t="s">
        <v>54</v>
      </c>
      <c r="L26">
        <v>3</v>
      </c>
      <c r="M26">
        <v>2</v>
      </c>
      <c r="N26">
        <v>1</v>
      </c>
      <c r="O26">
        <v>85</v>
      </c>
      <c r="P26">
        <v>2</v>
      </c>
      <c r="Q26">
        <v>300</v>
      </c>
      <c r="R26">
        <v>50</v>
      </c>
      <c r="S26" t="s">
        <v>54</v>
      </c>
      <c r="T26">
        <v>30</v>
      </c>
      <c r="U26">
        <v>200</v>
      </c>
      <c r="V26" t="s">
        <v>54</v>
      </c>
      <c r="W26" t="s">
        <v>54</v>
      </c>
      <c r="X26" t="s">
        <v>54</v>
      </c>
      <c r="Y26">
        <v>350</v>
      </c>
      <c r="Z26" t="s">
        <v>54</v>
      </c>
      <c r="AA26">
        <v>500</v>
      </c>
      <c r="AB26" t="s">
        <v>54</v>
      </c>
      <c r="AC26" t="s">
        <v>54</v>
      </c>
      <c r="AD26">
        <v>90</v>
      </c>
      <c r="AE26" t="s">
        <v>54</v>
      </c>
      <c r="AF26" t="s">
        <v>54</v>
      </c>
      <c r="AG26" t="s">
        <v>54</v>
      </c>
      <c r="AH26">
        <v>500</v>
      </c>
      <c r="AI26" t="s">
        <v>54</v>
      </c>
      <c r="AJ26">
        <v>30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>
        <v>35</v>
      </c>
      <c r="AZ26">
        <v>1850</v>
      </c>
      <c r="BA26" t="s">
        <v>55</v>
      </c>
    </row>
    <row r="27" spans="1:53" x14ac:dyDescent="0.45">
      <c r="A27">
        <v>26</v>
      </c>
      <c r="C27" t="str">
        <f>RIGHT([1]Raw_Ripton_1850!B30,LEN([1]Raw_Ripton_1850!B30)-1)</f>
        <v>digutte K.</v>
      </c>
      <c r="D27" t="s">
        <v>80</v>
      </c>
      <c r="F27">
        <v>20</v>
      </c>
      <c r="G27">
        <v>80</v>
      </c>
      <c r="H27">
        <v>400</v>
      </c>
      <c r="I27">
        <v>10</v>
      </c>
      <c r="J27" t="s">
        <v>54</v>
      </c>
      <c r="K27" t="s">
        <v>54</v>
      </c>
      <c r="L27">
        <v>1</v>
      </c>
      <c r="M27">
        <v>2</v>
      </c>
      <c r="N27" t="s">
        <v>54</v>
      </c>
      <c r="O27" t="s">
        <v>54</v>
      </c>
      <c r="P27">
        <v>1</v>
      </c>
      <c r="Q27">
        <v>100</v>
      </c>
      <c r="R27">
        <v>13</v>
      </c>
      <c r="S27" t="s">
        <v>54</v>
      </c>
      <c r="T27">
        <v>10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>
        <v>150</v>
      </c>
      <c r="AB27" t="s">
        <v>54</v>
      </c>
      <c r="AC27" t="s">
        <v>54</v>
      </c>
      <c r="AD27">
        <v>50</v>
      </c>
      <c r="AE27" t="s">
        <v>54</v>
      </c>
      <c r="AF27" t="s">
        <v>54</v>
      </c>
      <c r="AG27" t="s">
        <v>54</v>
      </c>
      <c r="AH27">
        <v>200</v>
      </c>
      <c r="AI27" t="s">
        <v>54</v>
      </c>
      <c r="AJ27">
        <v>8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 t="s">
        <v>54</v>
      </c>
      <c r="AX27">
        <v>65</v>
      </c>
      <c r="AZ27">
        <v>1850</v>
      </c>
      <c r="BA27" t="s">
        <v>55</v>
      </c>
    </row>
    <row r="28" spans="1:53" x14ac:dyDescent="0.45">
      <c r="A28">
        <v>27</v>
      </c>
      <c r="C28" t="str">
        <f>RIGHT([1]Raw_Ripton_1850!B31,LEN([1]Raw_Ripton_1850!B31)-1)</f>
        <v>Nethernise M 'Ining</v>
      </c>
      <c r="D28" t="s">
        <v>81</v>
      </c>
      <c r="F28">
        <v>60</v>
      </c>
      <c r="G28">
        <v>110</v>
      </c>
      <c r="H28">
        <v>800</v>
      </c>
      <c r="I28">
        <v>65</v>
      </c>
      <c r="J28" t="s">
        <v>54</v>
      </c>
      <c r="K28" t="s">
        <v>54</v>
      </c>
      <c r="L28">
        <v>3</v>
      </c>
      <c r="M28" t="s">
        <v>54</v>
      </c>
      <c r="N28">
        <v>3</v>
      </c>
      <c r="O28">
        <v>34</v>
      </c>
      <c r="P28">
        <v>1</v>
      </c>
      <c r="Q28">
        <v>130</v>
      </c>
      <c r="R28" t="s">
        <v>54</v>
      </c>
      <c r="S28" t="s">
        <v>54</v>
      </c>
      <c r="T28">
        <v>40</v>
      </c>
      <c r="U28">
        <v>80</v>
      </c>
      <c r="V28" t="s">
        <v>54</v>
      </c>
      <c r="W28" t="s">
        <v>54</v>
      </c>
      <c r="X28" t="s">
        <v>54</v>
      </c>
      <c r="Y28">
        <v>100</v>
      </c>
      <c r="Z28" t="s">
        <v>54</v>
      </c>
      <c r="AA28">
        <v>150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>
        <v>300</v>
      </c>
      <c r="AI28">
        <v>200</v>
      </c>
      <c r="AJ28">
        <v>15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>
        <v>200</v>
      </c>
      <c r="AT28" t="s">
        <v>54</v>
      </c>
      <c r="AU28" t="s">
        <v>54</v>
      </c>
      <c r="AV28" t="s">
        <v>54</v>
      </c>
      <c r="AW28" t="s">
        <v>54</v>
      </c>
      <c r="AX28">
        <v>24</v>
      </c>
      <c r="AZ28">
        <v>1850</v>
      </c>
      <c r="BA28" t="s">
        <v>55</v>
      </c>
    </row>
    <row r="29" spans="1:53" x14ac:dyDescent="0.45">
      <c r="A29">
        <v>28</v>
      </c>
      <c r="C29" t="str">
        <f>RIGHT([1]Raw_Ripton_1850!B32,LEN([1]Raw_Ripton_1850!B32)-1)</f>
        <v>Nathan Me Justry</v>
      </c>
      <c r="D29" t="s">
        <v>82</v>
      </c>
      <c r="F29">
        <v>100</v>
      </c>
      <c r="G29">
        <v>300</v>
      </c>
      <c r="H29">
        <v>1300</v>
      </c>
      <c r="I29">
        <v>60</v>
      </c>
      <c r="J29">
        <v>2</v>
      </c>
      <c r="K29" t="s">
        <v>54</v>
      </c>
      <c r="L29">
        <v>1</v>
      </c>
      <c r="M29">
        <v>2</v>
      </c>
      <c r="N29" t="s">
        <v>54</v>
      </c>
      <c r="O29" t="s">
        <v>54</v>
      </c>
      <c r="P29">
        <v>4</v>
      </c>
      <c r="Q29">
        <v>220</v>
      </c>
      <c r="R29">
        <v>50</v>
      </c>
      <c r="S29" t="s">
        <v>54</v>
      </c>
      <c r="T29" t="s">
        <v>54</v>
      </c>
      <c r="U29">
        <v>30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>
        <v>150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>
        <v>140</v>
      </c>
      <c r="AI29" t="s">
        <v>54</v>
      </c>
      <c r="AJ29">
        <v>12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>
        <v>400</v>
      </c>
      <c r="AT29" t="s">
        <v>54</v>
      </c>
      <c r="AU29" t="s">
        <v>54</v>
      </c>
      <c r="AV29" t="s">
        <v>54</v>
      </c>
      <c r="AW29">
        <v>6</v>
      </c>
      <c r="AX29">
        <v>20</v>
      </c>
      <c r="AZ29">
        <v>1850</v>
      </c>
      <c r="BA29" t="s">
        <v>55</v>
      </c>
    </row>
    <row r="30" spans="1:53" x14ac:dyDescent="0.45">
      <c r="A30">
        <v>29</v>
      </c>
      <c r="C30" t="str">
        <f>RIGHT([1]Raw_Ripton_1850!B33,LEN([1]Raw_Ripton_1850!B33)-1)</f>
        <v>Henny Downs</v>
      </c>
      <c r="D30" t="s">
        <v>83</v>
      </c>
      <c r="F30">
        <v>125</v>
      </c>
      <c r="G30">
        <v>125</v>
      </c>
      <c r="H30">
        <v>1500</v>
      </c>
      <c r="I30">
        <v>50</v>
      </c>
      <c r="J30">
        <v>1</v>
      </c>
      <c r="K30" t="s">
        <v>54</v>
      </c>
      <c r="L30">
        <v>3</v>
      </c>
      <c r="M30">
        <v>3</v>
      </c>
      <c r="N30">
        <v>2</v>
      </c>
      <c r="O30">
        <v>51</v>
      </c>
      <c r="P30">
        <v>3</v>
      </c>
      <c r="Q30">
        <v>300</v>
      </c>
      <c r="R30">
        <v>15</v>
      </c>
      <c r="S30" t="s">
        <v>54</v>
      </c>
      <c r="T30" t="s">
        <v>54</v>
      </c>
      <c r="U30">
        <v>100</v>
      </c>
      <c r="V30" t="s">
        <v>54</v>
      </c>
      <c r="W30" t="s">
        <v>54</v>
      </c>
      <c r="X30" t="s">
        <v>54</v>
      </c>
      <c r="Y30">
        <v>160</v>
      </c>
      <c r="Z30">
        <v>3</v>
      </c>
      <c r="AA30">
        <v>300</v>
      </c>
      <c r="AB30" t="s">
        <v>54</v>
      </c>
      <c r="AC30" t="s">
        <v>54</v>
      </c>
      <c r="AD30">
        <v>65</v>
      </c>
      <c r="AE30" t="s">
        <v>54</v>
      </c>
      <c r="AF30" t="s">
        <v>54</v>
      </c>
      <c r="AG30" t="s">
        <v>54</v>
      </c>
      <c r="AH30">
        <v>300</v>
      </c>
      <c r="AI30" t="s">
        <v>54</v>
      </c>
      <c r="AJ30">
        <v>30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 t="s">
        <v>54</v>
      </c>
      <c r="AX30">
        <v>25</v>
      </c>
      <c r="AZ30">
        <v>1850</v>
      </c>
      <c r="BA30" t="s">
        <v>55</v>
      </c>
    </row>
    <row r="31" spans="1:53" x14ac:dyDescent="0.45">
      <c r="A31">
        <v>30</v>
      </c>
      <c r="C31" t="str">
        <f>RIGHT([1]Raw_Ripton_1850!B34,LEN([1]Raw_Ripton_1850!B34)-1)</f>
        <v>Buy H. Bacon</v>
      </c>
      <c r="D31" t="s">
        <v>84</v>
      </c>
      <c r="F31">
        <v>3</v>
      </c>
      <c r="G31">
        <v>200</v>
      </c>
      <c r="H31">
        <v>1000</v>
      </c>
      <c r="I31">
        <v>50</v>
      </c>
      <c r="J31">
        <v>1</v>
      </c>
      <c r="K31" t="s">
        <v>54</v>
      </c>
      <c r="L31">
        <v>1</v>
      </c>
      <c r="M31" t="s">
        <v>54</v>
      </c>
      <c r="N31" t="s">
        <v>54</v>
      </c>
      <c r="O31" t="s">
        <v>54</v>
      </c>
      <c r="P31">
        <v>1</v>
      </c>
      <c r="Q31">
        <v>100</v>
      </c>
      <c r="R31">
        <v>20</v>
      </c>
      <c r="S31" t="s">
        <v>54</v>
      </c>
      <c r="T31">
        <v>8</v>
      </c>
      <c r="U31">
        <v>50</v>
      </c>
      <c r="V31" t="s">
        <v>54</v>
      </c>
      <c r="W31" t="s">
        <v>54</v>
      </c>
      <c r="Y31" t="s">
        <v>54</v>
      </c>
      <c r="Z31">
        <v>1</v>
      </c>
      <c r="AA31">
        <v>35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>
        <v>100</v>
      </c>
      <c r="AI31" t="s">
        <v>54</v>
      </c>
      <c r="AJ31">
        <v>8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>
        <v>300</v>
      </c>
      <c r="AT31" t="s">
        <v>54</v>
      </c>
      <c r="AU31" t="s">
        <v>54</v>
      </c>
      <c r="AW31">
        <v>4</v>
      </c>
      <c r="AX31">
        <v>68</v>
      </c>
      <c r="AZ31">
        <v>1850</v>
      </c>
      <c r="BA31" t="s">
        <v>55</v>
      </c>
    </row>
    <row r="32" spans="1:53" x14ac:dyDescent="0.45">
      <c r="A32">
        <v>31</v>
      </c>
      <c r="C32" t="str">
        <f>RIGHT([1]Raw_Ripton_1850!B35,LEN([1]Raw_Ripton_1850!B35)-1)</f>
        <v>Jonashan Funal</v>
      </c>
      <c r="D32" t="s">
        <v>85</v>
      </c>
      <c r="F32">
        <v>40</v>
      </c>
      <c r="G32">
        <v>160</v>
      </c>
      <c r="H32">
        <v>800</v>
      </c>
      <c r="I32">
        <v>25</v>
      </c>
      <c r="J32" t="s">
        <v>54</v>
      </c>
      <c r="K32" t="s">
        <v>54</v>
      </c>
      <c r="L32">
        <v>2</v>
      </c>
      <c r="M32">
        <v>2</v>
      </c>
      <c r="N32">
        <v>2</v>
      </c>
      <c r="O32">
        <v>14</v>
      </c>
      <c r="P32" t="s">
        <v>54</v>
      </c>
      <c r="Q32">
        <v>130</v>
      </c>
      <c r="R32">
        <v>5</v>
      </c>
      <c r="S32">
        <v>20</v>
      </c>
      <c r="T32" t="s">
        <v>54</v>
      </c>
      <c r="U32">
        <v>30</v>
      </c>
      <c r="V32" t="s">
        <v>54</v>
      </c>
      <c r="W32" t="s">
        <v>54</v>
      </c>
      <c r="Y32">
        <v>40</v>
      </c>
      <c r="Z32" t="s">
        <v>54</v>
      </c>
      <c r="AA32">
        <v>120</v>
      </c>
      <c r="AB32" t="s">
        <v>54</v>
      </c>
      <c r="AC32" t="s">
        <v>54</v>
      </c>
      <c r="AD32">
        <v>4</v>
      </c>
      <c r="AE32" t="s">
        <v>54</v>
      </c>
      <c r="AG32" t="s">
        <v>54</v>
      </c>
      <c r="AH32">
        <v>200</v>
      </c>
      <c r="AI32" t="s">
        <v>54</v>
      </c>
      <c r="AJ32">
        <v>15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>
        <v>80</v>
      </c>
      <c r="AW32" t="s">
        <v>54</v>
      </c>
      <c r="AX32">
        <v>20</v>
      </c>
      <c r="AZ32">
        <v>1850</v>
      </c>
      <c r="BA32" t="s">
        <v>55</v>
      </c>
    </row>
    <row r="33" spans="1:53" x14ac:dyDescent="0.45">
      <c r="A33">
        <v>32</v>
      </c>
      <c r="C33" t="str">
        <f>RIGHT([1]Raw_Ripton_1850!B36,LEN([1]Raw_Ripton_1850!B36)-1)</f>
        <v>Johnson B.</v>
      </c>
      <c r="D33" t="s">
        <v>86</v>
      </c>
      <c r="F33">
        <v>35</v>
      </c>
      <c r="G33">
        <v>25</v>
      </c>
      <c r="H33">
        <v>450</v>
      </c>
      <c r="I33">
        <v>150</v>
      </c>
      <c r="J33">
        <v>2</v>
      </c>
      <c r="K33" t="s">
        <v>54</v>
      </c>
      <c r="L33">
        <v>2</v>
      </c>
      <c r="M33" t="s">
        <v>54</v>
      </c>
      <c r="N33">
        <v>4</v>
      </c>
      <c r="O33">
        <v>7</v>
      </c>
      <c r="P33">
        <v>2</v>
      </c>
      <c r="Q33">
        <v>200</v>
      </c>
      <c r="R33">
        <v>6</v>
      </c>
      <c r="S33">
        <v>15</v>
      </c>
      <c r="T33" t="s">
        <v>54</v>
      </c>
      <c r="U33">
        <v>50</v>
      </c>
      <c r="V33" t="s">
        <v>54</v>
      </c>
      <c r="W33" t="s">
        <v>54</v>
      </c>
      <c r="Y33">
        <v>26</v>
      </c>
      <c r="Z33" t="s">
        <v>54</v>
      </c>
      <c r="AA33">
        <v>300</v>
      </c>
      <c r="AB33" t="s">
        <v>54</v>
      </c>
      <c r="AC33" t="s">
        <v>54</v>
      </c>
      <c r="AD33">
        <v>16</v>
      </c>
      <c r="AE33">
        <v>2</v>
      </c>
      <c r="AF33" t="s">
        <v>54</v>
      </c>
      <c r="AG33" t="s">
        <v>54</v>
      </c>
      <c r="AH33">
        <v>250</v>
      </c>
      <c r="AI33" t="s">
        <v>54</v>
      </c>
      <c r="AJ33">
        <v>30</v>
      </c>
      <c r="AK33" t="s">
        <v>54</v>
      </c>
      <c r="AL33">
        <v>2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>
        <v>190</v>
      </c>
      <c r="AT33" t="s">
        <v>54</v>
      </c>
      <c r="AU33" t="s">
        <v>54</v>
      </c>
      <c r="AV33" t="s">
        <v>54</v>
      </c>
      <c r="AW33" t="s">
        <v>54</v>
      </c>
      <c r="AX33">
        <v>25</v>
      </c>
      <c r="AZ33">
        <v>1850</v>
      </c>
      <c r="BA33" t="s">
        <v>55</v>
      </c>
    </row>
    <row r="34" spans="1:53" x14ac:dyDescent="0.45">
      <c r="A34">
        <v>33</v>
      </c>
      <c r="C34" t="str">
        <f>RIGHT([1]Raw_Ripton_1850!B37,LEN([1]Raw_Ripton_1850!B37)-1)</f>
        <v>Norman Isnin</v>
      </c>
      <c r="D34" t="s">
        <v>87</v>
      </c>
      <c r="F34">
        <v>40</v>
      </c>
      <c r="G34">
        <v>130</v>
      </c>
      <c r="H34">
        <v>1500</v>
      </c>
      <c r="I34">
        <v>90</v>
      </c>
      <c r="J34">
        <v>2</v>
      </c>
      <c r="K34" t="s">
        <v>54</v>
      </c>
      <c r="L34">
        <v>3</v>
      </c>
      <c r="M34">
        <v>4</v>
      </c>
      <c r="N34" t="s">
        <v>54</v>
      </c>
      <c r="O34">
        <v>5</v>
      </c>
      <c r="P34">
        <v>3</v>
      </c>
      <c r="Q34">
        <v>300</v>
      </c>
      <c r="R34" t="s">
        <v>54</v>
      </c>
      <c r="S34" t="s">
        <v>54</v>
      </c>
      <c r="T34" t="s">
        <v>54</v>
      </c>
      <c r="U34">
        <v>60</v>
      </c>
      <c r="V34" t="s">
        <v>54</v>
      </c>
      <c r="W34" t="s">
        <v>54</v>
      </c>
      <c r="Y34">
        <v>9</v>
      </c>
      <c r="Z34" t="s">
        <v>54</v>
      </c>
      <c r="AA34">
        <v>50</v>
      </c>
      <c r="AB34" t="s">
        <v>54</v>
      </c>
      <c r="AC34" t="s">
        <v>54</v>
      </c>
      <c r="AD34" t="s">
        <v>54</v>
      </c>
      <c r="AE34">
        <v>4</v>
      </c>
      <c r="AF34" t="s">
        <v>54</v>
      </c>
      <c r="AG34" t="s">
        <v>54</v>
      </c>
      <c r="AH34">
        <v>200</v>
      </c>
      <c r="AI34" t="s">
        <v>54</v>
      </c>
      <c r="AJ34">
        <v>15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>
        <v>25</v>
      </c>
      <c r="AT34" t="s">
        <v>54</v>
      </c>
      <c r="AU34" t="s">
        <v>54</v>
      </c>
      <c r="AV34" t="s">
        <v>54</v>
      </c>
      <c r="AW34">
        <v>10</v>
      </c>
      <c r="AX34">
        <v>30</v>
      </c>
      <c r="AZ34">
        <v>1850</v>
      </c>
      <c r="BA34" t="s">
        <v>55</v>
      </c>
    </row>
    <row r="35" spans="1:53" x14ac:dyDescent="0.45">
      <c r="A35">
        <v>34</v>
      </c>
      <c r="C35" t="str">
        <f>RIGHT([1]Raw_Ripton_1850!B38,LEN([1]Raw_Ripton_1850!B38)-1)</f>
        <v>Riley adumes</v>
      </c>
      <c r="D35" t="s">
        <v>88</v>
      </c>
      <c r="F35">
        <v>40</v>
      </c>
      <c r="G35">
        <v>60</v>
      </c>
      <c r="H35">
        <v>500</v>
      </c>
      <c r="I35">
        <v>40</v>
      </c>
      <c r="J35" t="s">
        <v>54</v>
      </c>
      <c r="K35" t="s">
        <v>54</v>
      </c>
      <c r="L35">
        <v>3</v>
      </c>
      <c r="M35">
        <v>2</v>
      </c>
      <c r="N35">
        <v>6</v>
      </c>
      <c r="O35" t="s">
        <v>54</v>
      </c>
      <c r="P35">
        <v>1</v>
      </c>
      <c r="Q35">
        <v>200</v>
      </c>
      <c r="R35" t="s">
        <v>54</v>
      </c>
      <c r="S35" t="s">
        <v>54</v>
      </c>
      <c r="T35">
        <v>25</v>
      </c>
      <c r="U35">
        <v>50</v>
      </c>
      <c r="V35" t="s">
        <v>54</v>
      </c>
      <c r="W35" t="s">
        <v>54</v>
      </c>
      <c r="Y35" t="s">
        <v>54</v>
      </c>
      <c r="Z35">
        <v>5</v>
      </c>
      <c r="AA35">
        <v>100</v>
      </c>
      <c r="AB35" t="s">
        <v>54</v>
      </c>
      <c r="AC35" t="s">
        <v>54</v>
      </c>
      <c r="AD35">
        <v>22</v>
      </c>
      <c r="AE35" t="s">
        <v>54</v>
      </c>
      <c r="AF35" t="s">
        <v>54</v>
      </c>
      <c r="AG35" t="s">
        <v>54</v>
      </c>
      <c r="AH35">
        <v>250</v>
      </c>
      <c r="AI35" t="s">
        <v>54</v>
      </c>
      <c r="AJ35">
        <v>15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>
        <v>250</v>
      </c>
      <c r="AT35" t="s">
        <v>54</v>
      </c>
      <c r="AU35" t="s">
        <v>54</v>
      </c>
      <c r="AV35" t="s">
        <v>54</v>
      </c>
      <c r="AW35" t="s">
        <v>54</v>
      </c>
      <c r="AX35">
        <v>25</v>
      </c>
      <c r="AZ35">
        <v>1850</v>
      </c>
      <c r="BA35" t="s">
        <v>55</v>
      </c>
    </row>
    <row r="36" spans="1:53" x14ac:dyDescent="0.45">
      <c r="A36">
        <v>35</v>
      </c>
      <c r="C36" t="str">
        <f>RIGHT([1]Raw_Ripton_1850!B39,LEN([1]Raw_Ripton_1850!B39)-1)</f>
        <v>burtis PRophy</v>
      </c>
      <c r="D36" t="s">
        <v>89</v>
      </c>
      <c r="F36">
        <v>50</v>
      </c>
      <c r="G36">
        <v>90</v>
      </c>
      <c r="H36">
        <v>1500</v>
      </c>
      <c r="I36">
        <v>175</v>
      </c>
      <c r="J36">
        <v>2</v>
      </c>
      <c r="K36" t="s">
        <v>54</v>
      </c>
      <c r="L36">
        <v>4</v>
      </c>
      <c r="M36">
        <v>1</v>
      </c>
      <c r="N36">
        <v>3</v>
      </c>
      <c r="O36">
        <v>39</v>
      </c>
      <c r="P36">
        <v>2</v>
      </c>
      <c r="Q36">
        <v>500</v>
      </c>
      <c r="R36" t="s">
        <v>54</v>
      </c>
      <c r="S36">
        <v>50</v>
      </c>
      <c r="T36">
        <v>25</v>
      </c>
      <c r="U36">
        <v>50</v>
      </c>
      <c r="V36" t="s">
        <v>54</v>
      </c>
      <c r="W36" t="s">
        <v>54</v>
      </c>
      <c r="Y36">
        <v>158</v>
      </c>
      <c r="Z36" t="s">
        <v>54</v>
      </c>
      <c r="AA36">
        <v>200</v>
      </c>
      <c r="AB36" t="s">
        <v>54</v>
      </c>
      <c r="AC36" t="s">
        <v>54</v>
      </c>
      <c r="AD36">
        <v>50</v>
      </c>
      <c r="AE36" t="s">
        <v>54</v>
      </c>
      <c r="AF36" t="s">
        <v>54</v>
      </c>
      <c r="AG36" t="s">
        <v>54</v>
      </c>
      <c r="AH36">
        <v>400</v>
      </c>
      <c r="AI36">
        <v>100</v>
      </c>
      <c r="AJ36">
        <v>30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 t="s">
        <v>54</v>
      </c>
      <c r="AW36" t="s">
        <v>54</v>
      </c>
      <c r="AX36">
        <v>10</v>
      </c>
      <c r="AZ36">
        <v>1850</v>
      </c>
      <c r="BA36" t="s">
        <v>55</v>
      </c>
    </row>
    <row r="37" spans="1:53" x14ac:dyDescent="0.45">
      <c r="A37">
        <v>36</v>
      </c>
      <c r="C37" t="str">
        <f>RIGHT([1]Raw_Ripton_1850!B40,LEN([1]Raw_Ripton_1850!B40)-1)</f>
        <v>Noble King</v>
      </c>
      <c r="D37" t="s">
        <v>90</v>
      </c>
      <c r="F37">
        <v>40</v>
      </c>
      <c r="G37">
        <v>50</v>
      </c>
      <c r="H37">
        <v>900</v>
      </c>
      <c r="I37">
        <v>75</v>
      </c>
      <c r="J37">
        <v>2</v>
      </c>
      <c r="K37" t="s">
        <v>54</v>
      </c>
      <c r="L37">
        <v>2</v>
      </c>
      <c r="M37" t="s">
        <v>54</v>
      </c>
      <c r="N37" t="s">
        <v>54</v>
      </c>
      <c r="O37">
        <v>6</v>
      </c>
      <c r="P37">
        <v>1</v>
      </c>
      <c r="Q37">
        <v>150</v>
      </c>
      <c r="R37" t="s">
        <v>54</v>
      </c>
      <c r="S37" t="s">
        <v>54</v>
      </c>
      <c r="T37">
        <v>10</v>
      </c>
      <c r="U37">
        <v>50</v>
      </c>
      <c r="V37" t="s">
        <v>54</v>
      </c>
      <c r="W37" t="s">
        <v>54</v>
      </c>
      <c r="Y37">
        <v>25</v>
      </c>
      <c r="Z37" t="s">
        <v>54</v>
      </c>
      <c r="AA37">
        <v>140</v>
      </c>
      <c r="AB37" t="s">
        <v>54</v>
      </c>
      <c r="AC37" t="s">
        <v>54</v>
      </c>
      <c r="AD37">
        <v>8</v>
      </c>
      <c r="AE37" t="s">
        <v>54</v>
      </c>
      <c r="AF37" t="s">
        <v>54</v>
      </c>
      <c r="AG37" t="s">
        <v>54</v>
      </c>
      <c r="AH37">
        <v>300</v>
      </c>
      <c r="AI37" t="s">
        <v>54</v>
      </c>
      <c r="AJ37">
        <v>17</v>
      </c>
      <c r="AK37" t="s">
        <v>54</v>
      </c>
      <c r="AL37">
        <v>1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>
        <v>60</v>
      </c>
      <c r="AW37">
        <v>6</v>
      </c>
      <c r="AX37">
        <v>87</v>
      </c>
      <c r="AZ37">
        <v>1850</v>
      </c>
      <c r="BA37" t="s">
        <v>55</v>
      </c>
    </row>
    <row r="38" spans="1:53" x14ac:dyDescent="0.45">
      <c r="A38">
        <v>37</v>
      </c>
      <c r="C38" t="str">
        <f>RIGHT([1]Raw_Ripton_1850!B41,LEN([1]Raw_Ripton_1850!B41)-1)</f>
        <v>William hadman</v>
      </c>
      <c r="D38" t="s">
        <v>91</v>
      </c>
      <c r="F38">
        <v>35</v>
      </c>
      <c r="G38">
        <v>30</v>
      </c>
      <c r="H38">
        <v>600</v>
      </c>
      <c r="I38">
        <v>60</v>
      </c>
      <c r="J38" t="s">
        <v>54</v>
      </c>
      <c r="K38" t="s">
        <v>54</v>
      </c>
      <c r="L38">
        <v>1</v>
      </c>
      <c r="M38">
        <v>2</v>
      </c>
      <c r="N38">
        <v>3</v>
      </c>
      <c r="O38" t="s">
        <v>54</v>
      </c>
      <c r="P38">
        <v>2</v>
      </c>
      <c r="Q38">
        <v>130</v>
      </c>
      <c r="R38">
        <v>5</v>
      </c>
      <c r="S38">
        <v>9</v>
      </c>
      <c r="T38">
        <v>6</v>
      </c>
      <c r="U38">
        <v>120</v>
      </c>
      <c r="V38" t="s">
        <v>54</v>
      </c>
      <c r="W38" t="s">
        <v>54</v>
      </c>
      <c r="Y38" t="s">
        <v>54</v>
      </c>
      <c r="Z38" t="s">
        <v>54</v>
      </c>
      <c r="AA38">
        <v>200</v>
      </c>
      <c r="AB38" t="s">
        <v>54</v>
      </c>
      <c r="AC38" t="s">
        <v>54</v>
      </c>
      <c r="AD38">
        <v>30</v>
      </c>
      <c r="AE38" t="s">
        <v>54</v>
      </c>
      <c r="AF38" t="s">
        <v>54</v>
      </c>
      <c r="AG38" t="s">
        <v>54</v>
      </c>
      <c r="AH38">
        <v>131</v>
      </c>
      <c r="AI38" t="s">
        <v>54</v>
      </c>
      <c r="AJ38">
        <v>16</v>
      </c>
      <c r="AK38">
        <v>1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  <c r="AV38" t="s">
        <v>54</v>
      </c>
      <c r="AW38">
        <v>15</v>
      </c>
      <c r="AX38">
        <v>35</v>
      </c>
      <c r="AZ38">
        <v>1850</v>
      </c>
      <c r="BA38" t="s">
        <v>55</v>
      </c>
    </row>
    <row r="39" spans="1:53" x14ac:dyDescent="0.45">
      <c r="A39">
        <v>38</v>
      </c>
      <c r="C39" t="str">
        <f>RIGHT([1]Raw_Ripton_1850!B42,LEN([1]Raw_Ripton_1850!B42)-1)</f>
        <v>Parsons Billings</v>
      </c>
      <c r="D39" t="s">
        <v>92</v>
      </c>
      <c r="F39">
        <v>34</v>
      </c>
      <c r="G39">
        <v>16</v>
      </c>
      <c r="H39">
        <v>600</v>
      </c>
      <c r="I39">
        <v>50</v>
      </c>
      <c r="J39">
        <v>2</v>
      </c>
      <c r="K39" t="s">
        <v>54</v>
      </c>
      <c r="L39">
        <v>2</v>
      </c>
      <c r="M39" t="s">
        <v>54</v>
      </c>
      <c r="N39">
        <v>1</v>
      </c>
      <c r="O39">
        <v>30</v>
      </c>
      <c r="P39">
        <v>2</v>
      </c>
      <c r="Q39">
        <v>200</v>
      </c>
      <c r="R39">
        <v>20</v>
      </c>
      <c r="S39" t="s">
        <v>54</v>
      </c>
      <c r="T39">
        <v>15</v>
      </c>
      <c r="U39">
        <v>20</v>
      </c>
      <c r="V39" t="s">
        <v>54</v>
      </c>
      <c r="W39" t="s">
        <v>54</v>
      </c>
      <c r="Y39">
        <v>70</v>
      </c>
      <c r="Z39">
        <v>2</v>
      </c>
      <c r="AA39">
        <v>230</v>
      </c>
      <c r="AB39" t="s">
        <v>54</v>
      </c>
      <c r="AC39" t="s">
        <v>54</v>
      </c>
      <c r="AD39">
        <v>32</v>
      </c>
      <c r="AE39">
        <v>4</v>
      </c>
      <c r="AF39" t="s">
        <v>54</v>
      </c>
      <c r="AG39" t="s">
        <v>54</v>
      </c>
      <c r="AH39">
        <v>300</v>
      </c>
      <c r="AI39" t="s">
        <v>54</v>
      </c>
      <c r="AJ39">
        <v>15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>
        <v>200</v>
      </c>
      <c r="AT39" t="s">
        <v>54</v>
      </c>
      <c r="AU39" t="s">
        <v>54</v>
      </c>
      <c r="AV39" t="s">
        <v>54</v>
      </c>
      <c r="AW39" t="s">
        <v>54</v>
      </c>
      <c r="AX39">
        <v>15</v>
      </c>
      <c r="AZ39">
        <v>1850</v>
      </c>
      <c r="BA39" t="s">
        <v>55</v>
      </c>
    </row>
    <row r="40" spans="1:53" x14ac:dyDescent="0.45">
      <c r="A40">
        <v>39</v>
      </c>
      <c r="C40" t="str">
        <f>RIGHT([1]Raw_Ripton_1850!B43,LEN([1]Raw_Ripton_1850!B43)-1)</f>
        <v>Alongs beatfield</v>
      </c>
      <c r="D40" t="s">
        <v>93</v>
      </c>
      <c r="F40">
        <v>12</v>
      </c>
      <c r="G40">
        <v>128</v>
      </c>
      <c r="H40">
        <v>500</v>
      </c>
      <c r="I40">
        <v>20</v>
      </c>
      <c r="J40" t="s">
        <v>54</v>
      </c>
      <c r="K40" t="s">
        <v>54</v>
      </c>
      <c r="L40">
        <v>4</v>
      </c>
      <c r="M40">
        <v>2</v>
      </c>
      <c r="N40">
        <v>1</v>
      </c>
      <c r="O40" t="s">
        <v>54</v>
      </c>
      <c r="P40" t="s">
        <v>54</v>
      </c>
      <c r="Q40">
        <v>150</v>
      </c>
      <c r="R40">
        <v>10</v>
      </c>
      <c r="S40" t="s">
        <v>54</v>
      </c>
      <c r="T40">
        <v>20</v>
      </c>
      <c r="U40">
        <v>80</v>
      </c>
      <c r="V40" t="s">
        <v>54</v>
      </c>
      <c r="W40" t="s">
        <v>54</v>
      </c>
      <c r="Z40" t="s">
        <v>54</v>
      </c>
      <c r="AA40">
        <v>150</v>
      </c>
      <c r="AB40" t="s">
        <v>54</v>
      </c>
      <c r="AC40" t="s">
        <v>54</v>
      </c>
      <c r="AD40">
        <v>16</v>
      </c>
      <c r="AE40" t="s">
        <v>54</v>
      </c>
      <c r="AF40" t="s">
        <v>54</v>
      </c>
      <c r="AG40" t="s">
        <v>54</v>
      </c>
      <c r="AH40">
        <v>130</v>
      </c>
      <c r="AI40" t="s">
        <v>54</v>
      </c>
      <c r="AJ40">
        <v>16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>
        <v>100</v>
      </c>
      <c r="AT40" t="s">
        <v>54</v>
      </c>
      <c r="AU40" t="s">
        <v>54</v>
      </c>
      <c r="AV40" t="s">
        <v>54</v>
      </c>
      <c r="AW40">
        <v>2</v>
      </c>
      <c r="AX40">
        <v>10</v>
      </c>
      <c r="AZ40">
        <v>1850</v>
      </c>
      <c r="BA40" t="s">
        <v>55</v>
      </c>
    </row>
    <row r="41" spans="1:53" x14ac:dyDescent="0.45">
      <c r="A41">
        <v>40</v>
      </c>
      <c r="B41" s="2"/>
      <c r="C41" s="2" t="str">
        <f>RIGHT([1]Raw_Ripton_1850!B44,LEN([1]Raw_Ripton_1850!B44)-1)</f>
        <v>Abraham Falsom</v>
      </c>
      <c r="D41" t="s">
        <v>94</v>
      </c>
      <c r="F41">
        <v>10</v>
      </c>
      <c r="G41">
        <v>40</v>
      </c>
      <c r="H41">
        <v>200</v>
      </c>
      <c r="I41">
        <v>10</v>
      </c>
      <c r="J41" t="s">
        <v>54</v>
      </c>
      <c r="K41" t="s">
        <v>54</v>
      </c>
      <c r="L41">
        <v>1</v>
      </c>
      <c r="M41">
        <v>2</v>
      </c>
      <c r="N41">
        <v>1</v>
      </c>
      <c r="O41" t="s">
        <v>54</v>
      </c>
      <c r="P41" t="s">
        <v>54</v>
      </c>
      <c r="Q41">
        <v>100</v>
      </c>
      <c r="R41">
        <v>20</v>
      </c>
      <c r="S41" t="s">
        <v>54</v>
      </c>
      <c r="T41">
        <v>30</v>
      </c>
      <c r="U41">
        <v>50</v>
      </c>
      <c r="V41" t="s">
        <v>54</v>
      </c>
      <c r="W41" t="s">
        <v>54</v>
      </c>
      <c r="Y41" t="s">
        <v>54</v>
      </c>
      <c r="Z41" t="s">
        <v>54</v>
      </c>
      <c r="AA41">
        <v>75</v>
      </c>
      <c r="AB41" t="s">
        <v>54</v>
      </c>
      <c r="AC41" t="s">
        <v>54</v>
      </c>
      <c r="AD41">
        <v>400</v>
      </c>
      <c r="AE41" t="s">
        <v>54</v>
      </c>
      <c r="AF41" t="s">
        <v>54</v>
      </c>
      <c r="AG41" t="s">
        <v>54</v>
      </c>
      <c r="AH41">
        <v>125</v>
      </c>
      <c r="AI41" t="s">
        <v>54</v>
      </c>
      <c r="AJ41">
        <v>24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  <c r="AV41" t="s">
        <v>54</v>
      </c>
      <c r="AW41" t="s">
        <v>54</v>
      </c>
      <c r="AX41" t="s">
        <v>54</v>
      </c>
      <c r="AZ41">
        <v>1850</v>
      </c>
      <c r="BA41" t="s">
        <v>55</v>
      </c>
    </row>
    <row r="42" spans="1:53" x14ac:dyDescent="0.45">
      <c r="A42">
        <v>41</v>
      </c>
      <c r="B42" s="3"/>
      <c r="C42" s="3" t="str">
        <f>RIGHT([1]Raw_Ripton_1850!B45,LEN([1]Raw_Ripton_1850!B45)-1)</f>
        <v>North Dow</v>
      </c>
      <c r="D42" s="3" t="s">
        <v>95</v>
      </c>
      <c r="E42" s="3"/>
      <c r="F42" s="3">
        <v>10</v>
      </c>
      <c r="G42" s="3">
        <v>40</v>
      </c>
      <c r="H42" s="3">
        <v>200</v>
      </c>
      <c r="I42" s="3">
        <v>25</v>
      </c>
      <c r="J42" s="3" t="s">
        <v>54</v>
      </c>
      <c r="K42" s="3" t="s">
        <v>54</v>
      </c>
      <c r="L42" s="3">
        <v>1</v>
      </c>
      <c r="M42" s="3">
        <v>2</v>
      </c>
      <c r="N42" s="3" t="s">
        <v>54</v>
      </c>
      <c r="O42" s="3" t="s">
        <v>54</v>
      </c>
      <c r="P42" s="3">
        <v>1</v>
      </c>
      <c r="Q42" s="3">
        <v>100</v>
      </c>
      <c r="R42" s="3" t="s">
        <v>54</v>
      </c>
      <c r="S42" s="3">
        <v>30</v>
      </c>
      <c r="T42" s="3">
        <v>10</v>
      </c>
      <c r="U42" s="3">
        <v>80</v>
      </c>
      <c r="V42" s="3" t="s">
        <v>54</v>
      </c>
      <c r="W42" s="3" t="s">
        <v>54</v>
      </c>
      <c r="X42" s="3" t="s">
        <v>54</v>
      </c>
      <c r="Y42" s="3" t="s">
        <v>54</v>
      </c>
      <c r="Z42" s="3" t="s">
        <v>54</v>
      </c>
      <c r="AA42" s="3">
        <v>100</v>
      </c>
      <c r="AB42" s="3" t="s">
        <v>54</v>
      </c>
      <c r="AC42" s="3" t="s">
        <v>54</v>
      </c>
      <c r="AD42" s="3">
        <v>8</v>
      </c>
      <c r="AE42" s="3" t="s">
        <v>54</v>
      </c>
      <c r="AF42" s="3" t="s">
        <v>54</v>
      </c>
      <c r="AG42" s="3" t="s">
        <v>54</v>
      </c>
      <c r="AH42" s="3">
        <v>130</v>
      </c>
      <c r="AI42" s="3" t="s">
        <v>54</v>
      </c>
      <c r="AJ42" s="3">
        <v>7</v>
      </c>
      <c r="AK42" s="3" t="s">
        <v>54</v>
      </c>
      <c r="AL42" s="3" t="s">
        <v>54</v>
      </c>
      <c r="AM42" s="3" t="s">
        <v>54</v>
      </c>
      <c r="AN42" s="3" t="s">
        <v>54</v>
      </c>
      <c r="AO42" s="3" t="s">
        <v>54</v>
      </c>
      <c r="AP42" s="3" t="s">
        <v>54</v>
      </c>
      <c r="AQ42" s="3" t="s">
        <v>54</v>
      </c>
      <c r="AR42" s="3" t="s">
        <v>54</v>
      </c>
      <c r="AS42" s="3">
        <v>150</v>
      </c>
      <c r="AT42" s="3" t="s">
        <v>54</v>
      </c>
      <c r="AU42" s="3" t="s">
        <v>54</v>
      </c>
      <c r="AV42" s="3" t="s">
        <v>54</v>
      </c>
      <c r="AW42" s="3" t="s">
        <v>54</v>
      </c>
      <c r="AX42" s="3">
        <v>20</v>
      </c>
      <c r="AZ42">
        <v>1850</v>
      </c>
      <c r="BA42" t="s">
        <v>55</v>
      </c>
    </row>
    <row r="43" spans="1:53" x14ac:dyDescent="0.45">
      <c r="A43">
        <v>1</v>
      </c>
      <c r="C43" t="str">
        <f>RIGHT([1]Raw_Ripton_1850!B46,LEN([1]Raw_Ripton_1850!B46)-1)</f>
        <v>bhailer bdams</v>
      </c>
      <c r="D43" t="s">
        <v>96</v>
      </c>
      <c r="F43">
        <v>50</v>
      </c>
      <c r="G43">
        <v>50</v>
      </c>
      <c r="H43">
        <v>700</v>
      </c>
      <c r="I43">
        <v>50</v>
      </c>
      <c r="J43">
        <v>1</v>
      </c>
      <c r="K43" t="s">
        <v>54</v>
      </c>
      <c r="L43">
        <v>3</v>
      </c>
      <c r="M43">
        <v>2</v>
      </c>
      <c r="N43">
        <v>6</v>
      </c>
      <c r="O43" t="s">
        <v>54</v>
      </c>
      <c r="P43">
        <v>2</v>
      </c>
      <c r="Q43">
        <v>200</v>
      </c>
      <c r="R43">
        <v>15</v>
      </c>
      <c r="S43" t="s">
        <v>54</v>
      </c>
      <c r="T43">
        <v>20</v>
      </c>
      <c r="U43">
        <v>100</v>
      </c>
      <c r="V43" t="s">
        <v>54</v>
      </c>
      <c r="W43" t="s">
        <v>54</v>
      </c>
      <c r="X43" t="s">
        <v>54</v>
      </c>
      <c r="Y43" t="s">
        <v>54</v>
      </c>
      <c r="Z43">
        <v>6</v>
      </c>
      <c r="AA43">
        <v>160</v>
      </c>
      <c r="AB43" t="s">
        <v>54</v>
      </c>
      <c r="AC43" t="s">
        <v>54</v>
      </c>
      <c r="AD43">
        <v>12</v>
      </c>
      <c r="AE43" t="s">
        <v>54</v>
      </c>
      <c r="AF43" t="s">
        <v>54</v>
      </c>
      <c r="AG43" t="s">
        <v>54</v>
      </c>
      <c r="AH43">
        <v>200</v>
      </c>
      <c r="AI43" t="s">
        <v>54</v>
      </c>
      <c r="AJ43">
        <v>20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  <c r="AW43" t="s">
        <v>54</v>
      </c>
      <c r="AX43">
        <v>50</v>
      </c>
      <c r="AZ43">
        <v>1850</v>
      </c>
      <c r="BA43" t="s">
        <v>55</v>
      </c>
    </row>
    <row r="44" spans="1:53" x14ac:dyDescent="0.45">
      <c r="A44">
        <v>2</v>
      </c>
      <c r="C44" t="str">
        <f>RIGHT([1]Raw_Ripton_1850!B47,LEN([1]Raw_Ripton_1850!B47)-1)</f>
        <v>Arabols Platt</v>
      </c>
      <c r="D44" t="s">
        <v>97</v>
      </c>
      <c r="F44">
        <v>25</v>
      </c>
      <c r="G44">
        <v>50</v>
      </c>
      <c r="H44">
        <v>450</v>
      </c>
      <c r="I44">
        <v>45</v>
      </c>
      <c r="J44">
        <v>2</v>
      </c>
      <c r="K44" t="s">
        <v>54</v>
      </c>
      <c r="L44">
        <v>3</v>
      </c>
      <c r="M44" t="s">
        <v>54</v>
      </c>
      <c r="N44">
        <v>1</v>
      </c>
      <c r="O44" t="s">
        <v>54</v>
      </c>
      <c r="P44">
        <v>1</v>
      </c>
      <c r="Q44">
        <v>165</v>
      </c>
      <c r="R44">
        <v>16</v>
      </c>
      <c r="S44" t="s">
        <v>54</v>
      </c>
      <c r="T44">
        <v>25</v>
      </c>
      <c r="U44">
        <v>30</v>
      </c>
      <c r="V44" t="s">
        <v>54</v>
      </c>
      <c r="W44" t="s">
        <v>54</v>
      </c>
      <c r="X44" t="s">
        <v>54</v>
      </c>
      <c r="Y44" t="s">
        <v>54</v>
      </c>
      <c r="Z44">
        <v>2</v>
      </c>
      <c r="AA44" t="s">
        <v>54</v>
      </c>
      <c r="AB44" t="s">
        <v>54</v>
      </c>
      <c r="AC44" t="s">
        <v>54</v>
      </c>
      <c r="AD44" t="s">
        <v>54</v>
      </c>
      <c r="AE44" t="s">
        <v>54</v>
      </c>
      <c r="AF44" t="s">
        <v>54</v>
      </c>
      <c r="AG44" t="s">
        <v>54</v>
      </c>
      <c r="AH44">
        <v>280</v>
      </c>
      <c r="AI44" t="s">
        <v>54</v>
      </c>
      <c r="AJ44">
        <v>14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  <c r="AV44" t="s">
        <v>54</v>
      </c>
      <c r="AW44">
        <v>5</v>
      </c>
      <c r="AX44" t="s">
        <v>54</v>
      </c>
      <c r="AZ44">
        <v>1850</v>
      </c>
      <c r="BA44" t="s">
        <v>55</v>
      </c>
    </row>
    <row r="45" spans="1:53" x14ac:dyDescent="0.45">
      <c r="A45">
        <v>3</v>
      </c>
      <c r="C45" t="str">
        <f>RIGHT([1]Raw_Ripton_1850!B48,LEN([1]Raw_Ripton_1850!B48)-1)</f>
        <v>Angil long</v>
      </c>
      <c r="D45" t="s">
        <v>98</v>
      </c>
      <c r="F45">
        <v>40</v>
      </c>
      <c r="G45">
        <v>60</v>
      </c>
      <c r="H45">
        <v>600</v>
      </c>
      <c r="I45">
        <v>100</v>
      </c>
      <c r="J45">
        <v>2</v>
      </c>
      <c r="K45" t="s">
        <v>54</v>
      </c>
      <c r="L45">
        <v>2</v>
      </c>
      <c r="M45" t="s">
        <v>54</v>
      </c>
      <c r="N45" t="s">
        <v>54</v>
      </c>
      <c r="O45" t="s">
        <v>54</v>
      </c>
      <c r="P45" t="s">
        <v>54</v>
      </c>
      <c r="Q45">
        <v>190</v>
      </c>
      <c r="R45">
        <v>25</v>
      </c>
      <c r="S45" t="s">
        <v>54</v>
      </c>
      <c r="T45">
        <v>20</v>
      </c>
      <c r="U45">
        <v>40</v>
      </c>
      <c r="V45" t="s">
        <v>54</v>
      </c>
      <c r="W45" t="s">
        <v>54</v>
      </c>
      <c r="X45" t="s">
        <v>54</v>
      </c>
      <c r="Y45" t="s">
        <v>54</v>
      </c>
      <c r="Z45">
        <v>10</v>
      </c>
      <c r="AA45">
        <v>30</v>
      </c>
      <c r="AB45" t="s">
        <v>54</v>
      </c>
      <c r="AC45" t="s">
        <v>54</v>
      </c>
      <c r="AD45">
        <v>20</v>
      </c>
      <c r="AE45">
        <v>5</v>
      </c>
      <c r="AF45" t="s">
        <v>54</v>
      </c>
      <c r="AG45" t="s">
        <v>54</v>
      </c>
      <c r="AH45">
        <v>200</v>
      </c>
      <c r="AI45" t="s">
        <v>54</v>
      </c>
      <c r="AJ45">
        <v>12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  <c r="AV45" t="s">
        <v>54</v>
      </c>
      <c r="AW45" t="s">
        <v>54</v>
      </c>
      <c r="AX45">
        <v>20</v>
      </c>
      <c r="AZ45">
        <v>1850</v>
      </c>
      <c r="BA45" t="s">
        <v>55</v>
      </c>
    </row>
    <row r="46" spans="1:53" x14ac:dyDescent="0.45">
      <c r="A46">
        <v>4</v>
      </c>
      <c r="C46" t="str">
        <f>RIGHT([1]Raw_Ripton_1850!B49,LEN([1]Raw_Ripton_1850!B49)-1)</f>
        <v>Jhu le. frishy</v>
      </c>
      <c r="D46" t="s">
        <v>99</v>
      </c>
      <c r="F46">
        <v>75</v>
      </c>
      <c r="G46">
        <v>75</v>
      </c>
      <c r="H46">
        <v>1000</v>
      </c>
      <c r="I46">
        <v>75</v>
      </c>
      <c r="J46">
        <v>2</v>
      </c>
      <c r="K46" t="s">
        <v>54</v>
      </c>
      <c r="L46">
        <v>3</v>
      </c>
      <c r="M46" t="s">
        <v>54</v>
      </c>
      <c r="N46">
        <v>2</v>
      </c>
      <c r="O46">
        <v>18</v>
      </c>
      <c r="P46">
        <v>1</v>
      </c>
      <c r="Q46">
        <v>175</v>
      </c>
      <c r="R46">
        <v>40</v>
      </c>
      <c r="S46" t="s">
        <v>54</v>
      </c>
      <c r="T46">
        <v>10</v>
      </c>
      <c r="U46">
        <v>25</v>
      </c>
      <c r="V46" t="s">
        <v>54</v>
      </c>
      <c r="W46" t="s">
        <v>54</v>
      </c>
      <c r="X46" t="s">
        <v>54</v>
      </c>
      <c r="Y46">
        <v>60</v>
      </c>
      <c r="Z46">
        <v>20</v>
      </c>
      <c r="AA46">
        <v>130</v>
      </c>
      <c r="AB46" t="s">
        <v>54</v>
      </c>
      <c r="AC46" t="s">
        <v>54</v>
      </c>
      <c r="AD46" t="s">
        <v>54</v>
      </c>
      <c r="AE46" t="s">
        <v>54</v>
      </c>
      <c r="AF46" t="s">
        <v>54</v>
      </c>
      <c r="AG46" t="s">
        <v>54</v>
      </c>
      <c r="AH46">
        <v>250</v>
      </c>
      <c r="AI46" t="s">
        <v>54</v>
      </c>
      <c r="AJ46">
        <v>16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>
        <v>40</v>
      </c>
      <c r="AT46" t="s">
        <v>54</v>
      </c>
      <c r="AU46" t="s">
        <v>54</v>
      </c>
      <c r="AV46" t="s">
        <v>54</v>
      </c>
      <c r="AW46" t="s">
        <v>54</v>
      </c>
      <c r="AX46">
        <v>35</v>
      </c>
      <c r="AZ46">
        <v>1850</v>
      </c>
      <c r="BA46" t="s">
        <v>55</v>
      </c>
    </row>
    <row r="47" spans="1:53" x14ac:dyDescent="0.45">
      <c r="A47">
        <v>5</v>
      </c>
      <c r="C47" t="str">
        <f>RIGHT([1]Raw_Ripton_1850!B50,LEN([1]Raw_Ripton_1850!B50)-1)</f>
        <v>Inis Hearthy</v>
      </c>
      <c r="D47" t="s">
        <v>100</v>
      </c>
      <c r="F47">
        <v>30</v>
      </c>
      <c r="G47">
        <v>75</v>
      </c>
      <c r="H47">
        <v>900</v>
      </c>
      <c r="I47">
        <v>70</v>
      </c>
      <c r="J47">
        <v>1</v>
      </c>
      <c r="K47" t="s">
        <v>54</v>
      </c>
      <c r="L47">
        <v>3</v>
      </c>
      <c r="M47" t="s">
        <v>54</v>
      </c>
      <c r="N47">
        <v>1</v>
      </c>
      <c r="O47">
        <v>10</v>
      </c>
      <c r="P47">
        <v>2</v>
      </c>
      <c r="Q47">
        <v>150</v>
      </c>
      <c r="R47">
        <v>20</v>
      </c>
      <c r="S47" t="s">
        <v>54</v>
      </c>
      <c r="T47">
        <v>12</v>
      </c>
      <c r="U47">
        <v>30</v>
      </c>
      <c r="V47" t="s">
        <v>54</v>
      </c>
      <c r="W47" t="s">
        <v>54</v>
      </c>
      <c r="X47" t="s">
        <v>54</v>
      </c>
      <c r="Y47">
        <v>38</v>
      </c>
      <c r="Z47">
        <v>10</v>
      </c>
      <c r="AA47">
        <v>75</v>
      </c>
      <c r="AB47" t="s">
        <v>54</v>
      </c>
      <c r="AC47" t="s">
        <v>54</v>
      </c>
      <c r="AD47">
        <v>20</v>
      </c>
      <c r="AE47">
        <v>6</v>
      </c>
      <c r="AF47" t="s">
        <v>54</v>
      </c>
      <c r="AG47" t="s">
        <v>54</v>
      </c>
      <c r="AH47">
        <v>500</v>
      </c>
      <c r="AI47" t="s">
        <v>54</v>
      </c>
      <c r="AJ47">
        <v>17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  <c r="AV47" t="s">
        <v>54</v>
      </c>
      <c r="AW47">
        <v>4</v>
      </c>
      <c r="AX47">
        <v>30</v>
      </c>
      <c r="AZ47">
        <v>1850</v>
      </c>
      <c r="BA47" t="s">
        <v>55</v>
      </c>
    </row>
    <row r="48" spans="1:53" x14ac:dyDescent="0.45">
      <c r="A48">
        <v>6</v>
      </c>
      <c r="C48" t="str">
        <f>RIGHT([1]Raw_Ripton_1850!B51,LEN([1]Raw_Ripton_1850!B51)-1)</f>
        <v>bhacks n. Linaby</v>
      </c>
      <c r="D48" t="s">
        <v>101</v>
      </c>
      <c r="F48">
        <v>35</v>
      </c>
      <c r="G48">
        <v>30</v>
      </c>
      <c r="H48">
        <v>550</v>
      </c>
      <c r="I48">
        <v>100</v>
      </c>
      <c r="J48">
        <v>2</v>
      </c>
      <c r="K48" t="s">
        <v>54</v>
      </c>
      <c r="L48">
        <v>4</v>
      </c>
      <c r="M48" t="s">
        <v>54</v>
      </c>
      <c r="N48">
        <v>8</v>
      </c>
      <c r="O48">
        <v>50</v>
      </c>
      <c r="P48">
        <v>2</v>
      </c>
      <c r="Q48">
        <v>350</v>
      </c>
      <c r="R48">
        <v>30</v>
      </c>
      <c r="S48">
        <v>20</v>
      </c>
      <c r="T48">
        <v>40</v>
      </c>
      <c r="U48">
        <v>100</v>
      </c>
      <c r="V48" t="s">
        <v>54</v>
      </c>
      <c r="W48" t="s">
        <v>54</v>
      </c>
      <c r="X48" t="s">
        <v>54</v>
      </c>
      <c r="Y48">
        <v>150</v>
      </c>
      <c r="Z48" t="s">
        <v>54</v>
      </c>
      <c r="AA48">
        <v>180</v>
      </c>
      <c r="AB48" t="s">
        <v>54</v>
      </c>
      <c r="AC48" t="s">
        <v>54</v>
      </c>
      <c r="AD48">
        <v>10</v>
      </c>
      <c r="AE48">
        <v>5</v>
      </c>
      <c r="AF48" t="s">
        <v>54</v>
      </c>
      <c r="AG48" t="s">
        <v>54</v>
      </c>
      <c r="AH48">
        <v>400</v>
      </c>
      <c r="AI48" t="s">
        <v>54</v>
      </c>
      <c r="AJ48">
        <v>25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>
        <v>100</v>
      </c>
      <c r="AT48" t="s">
        <v>54</v>
      </c>
      <c r="AU48" t="s">
        <v>54</v>
      </c>
      <c r="AV48" t="s">
        <v>54</v>
      </c>
      <c r="AW48" t="s">
        <v>54</v>
      </c>
      <c r="AX48">
        <v>25</v>
      </c>
      <c r="AZ48">
        <v>1850</v>
      </c>
      <c r="BA48" t="s">
        <v>55</v>
      </c>
    </row>
    <row r="49" spans="1:53" x14ac:dyDescent="0.45">
      <c r="A49">
        <v>7</v>
      </c>
      <c r="C49" t="str">
        <f>RIGHT([1]Raw_Ripton_1850!B52,LEN([1]Raw_Ripton_1850!B52)-1)</f>
        <v>Jhon R Am</v>
      </c>
      <c r="D49" t="s">
        <v>102</v>
      </c>
      <c r="F49">
        <v>30</v>
      </c>
      <c r="G49">
        <v>30</v>
      </c>
      <c r="H49">
        <v>700</v>
      </c>
      <c r="I49">
        <v>100</v>
      </c>
      <c r="J49">
        <v>2</v>
      </c>
      <c r="K49" t="s">
        <v>54</v>
      </c>
      <c r="L49">
        <v>6</v>
      </c>
      <c r="M49" t="s">
        <v>54</v>
      </c>
      <c r="N49">
        <v>10</v>
      </c>
      <c r="O49">
        <v>30</v>
      </c>
      <c r="P49">
        <v>2</v>
      </c>
      <c r="Q49">
        <v>400</v>
      </c>
      <c r="R49">
        <v>50</v>
      </c>
      <c r="S49" t="s">
        <v>54</v>
      </c>
      <c r="T49">
        <v>50</v>
      </c>
      <c r="U49">
        <v>200</v>
      </c>
      <c r="V49" t="s">
        <v>54</v>
      </c>
      <c r="W49" t="s">
        <v>54</v>
      </c>
      <c r="X49" t="s">
        <v>54</v>
      </c>
      <c r="Y49">
        <v>100</v>
      </c>
      <c r="Z49">
        <v>30</v>
      </c>
      <c r="AA49">
        <v>220</v>
      </c>
      <c r="AB49" t="s">
        <v>54</v>
      </c>
      <c r="AC49" t="s">
        <v>54</v>
      </c>
      <c r="AD49">
        <v>30</v>
      </c>
      <c r="AE49">
        <v>10</v>
      </c>
      <c r="AF49" t="s">
        <v>54</v>
      </c>
      <c r="AG49" t="s">
        <v>54</v>
      </c>
      <c r="AH49">
        <v>500</v>
      </c>
      <c r="AI49" t="s">
        <v>54</v>
      </c>
      <c r="AJ49">
        <v>35</v>
      </c>
      <c r="AK49" t="s">
        <v>54</v>
      </c>
      <c r="AL49">
        <v>3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>
        <v>200</v>
      </c>
      <c r="AT49" t="s">
        <v>54</v>
      </c>
      <c r="AU49" t="s">
        <v>54</v>
      </c>
      <c r="AV49" t="s">
        <v>54</v>
      </c>
      <c r="AW49">
        <v>5</v>
      </c>
      <c r="AX49">
        <v>40</v>
      </c>
      <c r="AZ49">
        <v>1850</v>
      </c>
      <c r="BA49" t="s">
        <v>55</v>
      </c>
    </row>
    <row r="50" spans="1:53" x14ac:dyDescent="0.45">
      <c r="A50">
        <v>8</v>
      </c>
      <c r="C50" t="str">
        <f>RIGHT([1]Raw_Ripton_1850!B53,LEN([1]Raw_Ripton_1850!B53)-1)</f>
        <v>book</v>
      </c>
      <c r="D50" t="s">
        <v>103</v>
      </c>
      <c r="F50">
        <v>50</v>
      </c>
      <c r="G50">
        <v>30</v>
      </c>
      <c r="H50">
        <v>1200</v>
      </c>
      <c r="I50">
        <v>125</v>
      </c>
      <c r="J50">
        <v>2</v>
      </c>
      <c r="K50" t="s">
        <v>54</v>
      </c>
      <c r="L50">
        <v>2</v>
      </c>
      <c r="M50" t="s">
        <v>54</v>
      </c>
      <c r="N50">
        <v>4</v>
      </c>
      <c r="O50">
        <v>18</v>
      </c>
      <c r="P50">
        <v>1</v>
      </c>
      <c r="Q50">
        <v>200</v>
      </c>
      <c r="R50">
        <v>19</v>
      </c>
      <c r="S50">
        <v>2</v>
      </c>
      <c r="T50">
        <v>15</v>
      </c>
      <c r="U50">
        <v>30</v>
      </c>
      <c r="V50" t="s">
        <v>54</v>
      </c>
      <c r="W50" t="s">
        <v>54</v>
      </c>
      <c r="X50" t="s">
        <v>54</v>
      </c>
      <c r="Y50">
        <v>52</v>
      </c>
      <c r="Z50" t="s">
        <v>54</v>
      </c>
      <c r="AA50">
        <v>40</v>
      </c>
      <c r="AB50" t="s">
        <v>54</v>
      </c>
      <c r="AC50" t="s">
        <v>54</v>
      </c>
      <c r="AD50">
        <v>5</v>
      </c>
      <c r="AE50" t="s">
        <v>54</v>
      </c>
      <c r="AF50" t="s">
        <v>54</v>
      </c>
      <c r="AG50" t="s">
        <v>54</v>
      </c>
      <c r="AH50">
        <v>250</v>
      </c>
      <c r="AI50" t="s">
        <v>54</v>
      </c>
      <c r="AJ50">
        <v>30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  <c r="AW50" t="s">
        <v>54</v>
      </c>
      <c r="AX50">
        <v>36</v>
      </c>
      <c r="AZ50">
        <v>1850</v>
      </c>
      <c r="BA50" t="s">
        <v>55</v>
      </c>
    </row>
    <row r="51" spans="1:53" x14ac:dyDescent="0.45">
      <c r="A51">
        <v>9</v>
      </c>
      <c r="C51" t="str">
        <f>RIGHT([1]Raw_Ripton_1850!B54,LEN([1]Raw_Ripton_1850!B54)-1)</f>
        <v>Washington Roubin a. Damon</v>
      </c>
      <c r="D51" t="s">
        <v>104</v>
      </c>
      <c r="F51">
        <v>45</v>
      </c>
      <c r="G51">
        <v>35</v>
      </c>
      <c r="H51">
        <v>800</v>
      </c>
      <c r="I51">
        <v>50</v>
      </c>
      <c r="J51">
        <v>1</v>
      </c>
      <c r="K51" t="s">
        <v>54</v>
      </c>
      <c r="L51">
        <v>4</v>
      </c>
      <c r="M51">
        <v>2</v>
      </c>
      <c r="N51">
        <v>1</v>
      </c>
      <c r="O51">
        <v>16</v>
      </c>
      <c r="P51">
        <v>2</v>
      </c>
      <c r="Q51">
        <v>225</v>
      </c>
      <c r="R51" t="s">
        <v>54</v>
      </c>
      <c r="S51" t="s">
        <v>54</v>
      </c>
      <c r="T51">
        <v>50</v>
      </c>
      <c r="U51">
        <v>25</v>
      </c>
      <c r="V51" t="s">
        <v>54</v>
      </c>
      <c r="W51" t="s">
        <v>54</v>
      </c>
      <c r="X51" t="s">
        <v>54</v>
      </c>
      <c r="Y51">
        <v>50</v>
      </c>
      <c r="Z51">
        <v>4</v>
      </c>
      <c r="AA51">
        <v>65</v>
      </c>
      <c r="AB51" t="s">
        <v>54</v>
      </c>
      <c r="AC51" t="s">
        <v>54</v>
      </c>
      <c r="AD51">
        <v>10</v>
      </c>
      <c r="AE51">
        <v>6</v>
      </c>
      <c r="AF51" t="s">
        <v>54</v>
      </c>
      <c r="AG51" t="s">
        <v>54</v>
      </c>
      <c r="AH51">
        <v>500</v>
      </c>
      <c r="AI51" t="s">
        <v>54</v>
      </c>
      <c r="AJ51">
        <v>13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>
        <v>60</v>
      </c>
      <c r="AT51" t="s">
        <v>54</v>
      </c>
      <c r="AU51" t="s">
        <v>54</v>
      </c>
      <c r="AV51">
        <v>205</v>
      </c>
      <c r="AW51" t="s">
        <v>54</v>
      </c>
      <c r="AX51">
        <v>60</v>
      </c>
      <c r="AZ51">
        <v>1850</v>
      </c>
      <c r="BA51" t="s">
        <v>55</v>
      </c>
    </row>
    <row r="52" spans="1:53" x14ac:dyDescent="0.45">
      <c r="A52">
        <v>10</v>
      </c>
      <c r="C52" t="str">
        <f>RIGHT([1]Raw_Ripton_1850!B55,LEN([1]Raw_Ripton_1850!B55)-1)</f>
        <v>The I. bhandler</v>
      </c>
      <c r="D52" t="s">
        <v>105</v>
      </c>
      <c r="F52">
        <v>40</v>
      </c>
      <c r="G52">
        <v>10</v>
      </c>
      <c r="H52">
        <v>600</v>
      </c>
      <c r="I52">
        <v>40</v>
      </c>
      <c r="J52" t="s">
        <v>54</v>
      </c>
      <c r="K52" t="s">
        <v>54</v>
      </c>
      <c r="L52">
        <v>1</v>
      </c>
      <c r="M52" t="s">
        <v>54</v>
      </c>
      <c r="N52">
        <v>2</v>
      </c>
      <c r="O52">
        <v>3</v>
      </c>
      <c r="P52">
        <v>1</v>
      </c>
      <c r="Q52">
        <v>50</v>
      </c>
      <c r="R52">
        <v>10</v>
      </c>
      <c r="S52" t="s">
        <v>54</v>
      </c>
      <c r="T52">
        <v>20</v>
      </c>
      <c r="U52">
        <v>60</v>
      </c>
      <c r="V52" t="s">
        <v>54</v>
      </c>
      <c r="W52" t="s">
        <v>54</v>
      </c>
      <c r="X52" t="s">
        <v>54</v>
      </c>
      <c r="Y52">
        <v>13</v>
      </c>
      <c r="Z52">
        <v>2</v>
      </c>
      <c r="AA52">
        <v>60</v>
      </c>
      <c r="AB52" t="s">
        <v>54</v>
      </c>
      <c r="AC52" t="s">
        <v>54</v>
      </c>
      <c r="AD52">
        <v>15</v>
      </c>
      <c r="AE52" t="s">
        <v>54</v>
      </c>
      <c r="AF52" t="s">
        <v>54</v>
      </c>
      <c r="AG52" t="s">
        <v>54</v>
      </c>
      <c r="AH52">
        <v>125</v>
      </c>
      <c r="AI52" t="s">
        <v>54</v>
      </c>
      <c r="AJ52">
        <v>12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>
        <v>20</v>
      </c>
      <c r="AT52" t="s">
        <v>54</v>
      </c>
      <c r="AU52" t="s">
        <v>54</v>
      </c>
      <c r="AV52" t="s">
        <v>54</v>
      </c>
      <c r="AW52" t="s">
        <v>54</v>
      </c>
      <c r="AX52">
        <v>20</v>
      </c>
      <c r="AZ52">
        <v>1850</v>
      </c>
      <c r="BA52" t="s">
        <v>55</v>
      </c>
    </row>
    <row r="53" spans="1:53" x14ac:dyDescent="0.45">
      <c r="A53">
        <v>11</v>
      </c>
      <c r="C53" t="str">
        <f>RIGHT([1]Raw_Ripton_1850!B56,LEN([1]Raw_Ripton_1850!B56)-1)</f>
        <v>Libbur Persons</v>
      </c>
      <c r="D53" t="s">
        <v>106</v>
      </c>
      <c r="F53">
        <v>100</v>
      </c>
      <c r="G53">
        <v>200</v>
      </c>
      <c r="H53">
        <v>2000</v>
      </c>
      <c r="I53">
        <v>100</v>
      </c>
      <c r="J53">
        <v>1</v>
      </c>
      <c r="K53" t="s">
        <v>54</v>
      </c>
      <c r="L53">
        <v>3</v>
      </c>
      <c r="M53">
        <v>2</v>
      </c>
      <c r="N53">
        <v>3</v>
      </c>
      <c r="O53" t="s">
        <v>54</v>
      </c>
      <c r="P53">
        <v>4</v>
      </c>
      <c r="Q53">
        <v>260</v>
      </c>
      <c r="R53">
        <v>40</v>
      </c>
      <c r="S53" t="s">
        <v>54</v>
      </c>
      <c r="T53">
        <v>50</v>
      </c>
      <c r="U53">
        <v>70</v>
      </c>
      <c r="V53" t="s">
        <v>54</v>
      </c>
      <c r="W53" t="s">
        <v>54</v>
      </c>
      <c r="X53" t="s">
        <v>54</v>
      </c>
      <c r="Y53" t="s">
        <v>54</v>
      </c>
      <c r="Z53" t="s">
        <v>54</v>
      </c>
      <c r="AA53">
        <v>30</v>
      </c>
      <c r="AB53" t="s">
        <v>54</v>
      </c>
      <c r="AC53" t="s">
        <v>54</v>
      </c>
      <c r="AD53" t="s">
        <v>54</v>
      </c>
      <c r="AE53" t="s">
        <v>54</v>
      </c>
      <c r="AF53" t="s">
        <v>54</v>
      </c>
      <c r="AG53" t="s">
        <v>54</v>
      </c>
      <c r="AH53">
        <v>250</v>
      </c>
      <c r="AI53" t="s">
        <v>54</v>
      </c>
      <c r="AJ53">
        <v>35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>
        <v>60</v>
      </c>
      <c r="AW53" t="s">
        <v>54</v>
      </c>
      <c r="AX53">
        <v>25</v>
      </c>
      <c r="AZ53">
        <v>1850</v>
      </c>
      <c r="BA53" t="s">
        <v>55</v>
      </c>
    </row>
    <row r="54" spans="1:53" x14ac:dyDescent="0.45">
      <c r="A54">
        <v>12</v>
      </c>
      <c r="C54" t="str">
        <f>RIGHT([1]Raw_Ripton_1850!B57,LEN([1]Raw_Ripton_1850!B57)-1)</f>
        <v>Smith</v>
      </c>
      <c r="D54" t="s">
        <v>107</v>
      </c>
      <c r="F54">
        <v>100</v>
      </c>
      <c r="G54">
        <v>160</v>
      </c>
      <c r="H54">
        <v>1700</v>
      </c>
      <c r="I54">
        <v>200</v>
      </c>
      <c r="J54">
        <v>2</v>
      </c>
      <c r="K54" t="s">
        <v>54</v>
      </c>
      <c r="L54">
        <v>4</v>
      </c>
      <c r="M54" t="s">
        <v>54</v>
      </c>
      <c r="N54">
        <v>6</v>
      </c>
      <c r="O54">
        <v>38</v>
      </c>
      <c r="P54">
        <v>3</v>
      </c>
      <c r="Q54">
        <v>550</v>
      </c>
      <c r="R54">
        <v>14</v>
      </c>
      <c r="S54">
        <v>7</v>
      </c>
      <c r="T54">
        <v>35</v>
      </c>
      <c r="U54">
        <v>130</v>
      </c>
      <c r="V54" t="s">
        <v>54</v>
      </c>
      <c r="W54" t="s">
        <v>54</v>
      </c>
      <c r="X54" t="s">
        <v>54</v>
      </c>
      <c r="Y54">
        <v>194</v>
      </c>
      <c r="Z54">
        <v>18</v>
      </c>
      <c r="AA54">
        <v>300</v>
      </c>
      <c r="AB54" t="s">
        <v>54</v>
      </c>
      <c r="AC54" t="s">
        <v>54</v>
      </c>
      <c r="AD54">
        <v>18</v>
      </c>
      <c r="AE54">
        <v>2</v>
      </c>
      <c r="AF54" t="s">
        <v>54</v>
      </c>
      <c r="AG54" t="s">
        <v>54</v>
      </c>
      <c r="AH54">
        <v>500</v>
      </c>
      <c r="AI54">
        <v>300</v>
      </c>
      <c r="AJ54">
        <v>38</v>
      </c>
      <c r="AK54" t="s">
        <v>54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>
        <v>80</v>
      </c>
      <c r="AT54" t="s">
        <v>54</v>
      </c>
      <c r="AU54" t="s">
        <v>54</v>
      </c>
      <c r="AV54">
        <v>100</v>
      </c>
      <c r="AW54" t="s">
        <v>54</v>
      </c>
      <c r="AX54">
        <v>90</v>
      </c>
      <c r="AZ54">
        <v>1850</v>
      </c>
      <c r="BA54" t="s">
        <v>55</v>
      </c>
    </row>
    <row r="55" spans="1:53" x14ac:dyDescent="0.45">
      <c r="A55">
        <v>13</v>
      </c>
      <c r="C55" t="str">
        <f>RIGHT([1]Raw_Ripton_1850!B58,LEN([1]Raw_Ripton_1850!B58)-1)</f>
        <v>John Robbins</v>
      </c>
      <c r="D55" t="s">
        <v>108</v>
      </c>
      <c r="F55">
        <v>75</v>
      </c>
      <c r="G55">
        <v>65</v>
      </c>
      <c r="H55">
        <v>1500</v>
      </c>
      <c r="I55">
        <v>35</v>
      </c>
      <c r="J55">
        <v>3</v>
      </c>
      <c r="K55" t="s">
        <v>54</v>
      </c>
      <c r="L55">
        <v>4</v>
      </c>
      <c r="M55">
        <v>2</v>
      </c>
      <c r="N55">
        <v>3</v>
      </c>
      <c r="O55">
        <v>21</v>
      </c>
      <c r="P55">
        <v>3</v>
      </c>
      <c r="Q55">
        <v>350</v>
      </c>
      <c r="R55">
        <v>23</v>
      </c>
      <c r="S55">
        <v>3</v>
      </c>
      <c r="T55">
        <v>28</v>
      </c>
      <c r="U55">
        <v>40</v>
      </c>
      <c r="V55" t="s">
        <v>54</v>
      </c>
      <c r="W55" t="s">
        <v>54</v>
      </c>
      <c r="X55" t="s">
        <v>54</v>
      </c>
      <c r="Y55">
        <v>65</v>
      </c>
      <c r="Z55">
        <v>2</v>
      </c>
      <c r="AA55">
        <v>100</v>
      </c>
      <c r="AB55" t="s">
        <v>54</v>
      </c>
      <c r="AC55" t="s">
        <v>54</v>
      </c>
      <c r="AD55">
        <v>9</v>
      </c>
      <c r="AE55" t="s">
        <v>54</v>
      </c>
      <c r="AF55" t="s">
        <v>54</v>
      </c>
      <c r="AG55" t="s">
        <v>54</v>
      </c>
      <c r="AH55">
        <v>350</v>
      </c>
      <c r="AI55" t="s">
        <v>54</v>
      </c>
      <c r="AJ55">
        <v>22</v>
      </c>
      <c r="AK55" t="s">
        <v>54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  <c r="AW55" t="s">
        <v>54</v>
      </c>
      <c r="AX55">
        <v>20</v>
      </c>
      <c r="AZ55">
        <v>1850</v>
      </c>
      <c r="BA55" t="s">
        <v>55</v>
      </c>
    </row>
    <row r="56" spans="1:53" x14ac:dyDescent="0.45">
      <c r="A56">
        <v>14</v>
      </c>
      <c r="C56" t="str">
        <f>RIGHT([1]Raw_Ripton_1850!B59,LEN([1]Raw_Ripton_1850!B59)-1)</f>
        <v>Gardhan Ipomn</v>
      </c>
      <c r="D56" t="s">
        <v>109</v>
      </c>
      <c r="F56">
        <v>60</v>
      </c>
      <c r="G56">
        <v>40</v>
      </c>
      <c r="H56">
        <v>800</v>
      </c>
      <c r="I56">
        <v>75</v>
      </c>
      <c r="J56" t="s">
        <v>54</v>
      </c>
      <c r="K56" t="s">
        <v>54</v>
      </c>
      <c r="L56">
        <v>1</v>
      </c>
      <c r="M56">
        <v>2</v>
      </c>
      <c r="N56">
        <v>21</v>
      </c>
      <c r="O56">
        <v>16</v>
      </c>
      <c r="P56">
        <v>3</v>
      </c>
      <c r="Q56">
        <v>200</v>
      </c>
      <c r="R56">
        <v>30</v>
      </c>
      <c r="S56">
        <v>10</v>
      </c>
      <c r="T56">
        <v>15</v>
      </c>
      <c r="U56">
        <v>30</v>
      </c>
      <c r="V56" t="s">
        <v>54</v>
      </c>
      <c r="W56" t="s">
        <v>54</v>
      </c>
      <c r="X56" t="s">
        <v>54</v>
      </c>
      <c r="Y56">
        <v>30</v>
      </c>
      <c r="Z56" t="s">
        <v>54</v>
      </c>
      <c r="AA56">
        <v>400</v>
      </c>
      <c r="AB56" t="s">
        <v>54</v>
      </c>
      <c r="AC56" t="s">
        <v>54</v>
      </c>
      <c r="AD56">
        <v>21</v>
      </c>
      <c r="AE56" t="s">
        <v>54</v>
      </c>
      <c r="AF56" t="s">
        <v>54</v>
      </c>
      <c r="AG56" t="s">
        <v>54</v>
      </c>
      <c r="AH56">
        <v>150</v>
      </c>
      <c r="AI56" t="s">
        <v>54</v>
      </c>
      <c r="AJ56">
        <v>20</v>
      </c>
      <c r="AK56" t="s">
        <v>54</v>
      </c>
      <c r="AL56">
        <v>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  <c r="AW56" t="s">
        <v>54</v>
      </c>
      <c r="AX56">
        <v>26</v>
      </c>
      <c r="AZ56">
        <v>1850</v>
      </c>
      <c r="BA56" t="s">
        <v>55</v>
      </c>
    </row>
    <row r="57" spans="1:53" x14ac:dyDescent="0.45">
      <c r="A57">
        <v>15</v>
      </c>
      <c r="C57" t="str">
        <f>RIGHT([1]Raw_Ripton_1850!B60,LEN([1]Raw_Ripton_1850!B60)-1)</f>
        <v>L.N.E. bhekman</v>
      </c>
      <c r="D57" t="s">
        <v>110</v>
      </c>
      <c r="F57">
        <v>150</v>
      </c>
      <c r="G57">
        <v>300</v>
      </c>
      <c r="H57">
        <v>2500</v>
      </c>
      <c r="I57">
        <v>500</v>
      </c>
      <c r="J57">
        <v>2</v>
      </c>
      <c r="K57" t="s">
        <v>54</v>
      </c>
      <c r="L57">
        <v>6</v>
      </c>
      <c r="M57">
        <v>4</v>
      </c>
      <c r="N57">
        <v>16</v>
      </c>
      <c r="O57">
        <v>24</v>
      </c>
      <c r="P57">
        <v>6</v>
      </c>
      <c r="Q57">
        <v>700</v>
      </c>
      <c r="R57" t="s">
        <v>54</v>
      </c>
      <c r="S57">
        <v>6</v>
      </c>
      <c r="T57" t="s">
        <v>54</v>
      </c>
      <c r="U57">
        <v>300</v>
      </c>
      <c r="V57" t="s">
        <v>54</v>
      </c>
      <c r="W57" t="s">
        <v>54</v>
      </c>
      <c r="X57" t="s">
        <v>54</v>
      </c>
      <c r="Y57">
        <v>80</v>
      </c>
      <c r="Z57" t="s">
        <v>54</v>
      </c>
      <c r="AA57">
        <v>1600</v>
      </c>
      <c r="AB57" t="s">
        <v>54</v>
      </c>
      <c r="AC57" t="s">
        <v>54</v>
      </c>
      <c r="AD57" t="s">
        <v>54</v>
      </c>
      <c r="AE57" t="s">
        <v>54</v>
      </c>
      <c r="AF57" t="s">
        <v>54</v>
      </c>
      <c r="AG57" t="s">
        <v>54</v>
      </c>
      <c r="AH57">
        <v>600</v>
      </c>
      <c r="AI57">
        <v>400</v>
      </c>
      <c r="AJ57">
        <v>80</v>
      </c>
      <c r="AK57" t="s">
        <v>54</v>
      </c>
      <c r="AL57">
        <v>6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  <c r="AV57">
        <v>50</v>
      </c>
      <c r="AW57" t="s">
        <v>54</v>
      </c>
      <c r="AX57">
        <v>100</v>
      </c>
      <c r="AZ57">
        <v>1850</v>
      </c>
      <c r="BA57" t="s">
        <v>55</v>
      </c>
    </row>
    <row r="58" spans="1:53" x14ac:dyDescent="0.45">
      <c r="A58">
        <v>16</v>
      </c>
      <c r="C58" t="str">
        <f>RIGHT([1]Raw_Ripton_1850!B61,LEN([1]Raw_Ripton_1850!B61)-1)</f>
        <v>Ihas Brown</v>
      </c>
      <c r="D58" t="s">
        <v>111</v>
      </c>
      <c r="F58">
        <v>60</v>
      </c>
      <c r="G58">
        <v>30</v>
      </c>
      <c r="H58">
        <v>1000</v>
      </c>
      <c r="I58">
        <v>75</v>
      </c>
      <c r="J58">
        <v>2</v>
      </c>
      <c r="K58" t="s">
        <v>54</v>
      </c>
      <c r="L58">
        <v>2</v>
      </c>
      <c r="M58" t="s">
        <v>54</v>
      </c>
      <c r="N58">
        <v>4</v>
      </c>
      <c r="O58">
        <v>60</v>
      </c>
      <c r="P58">
        <v>1</v>
      </c>
      <c r="Q58">
        <v>250</v>
      </c>
      <c r="R58">
        <v>15</v>
      </c>
      <c r="S58">
        <v>12</v>
      </c>
      <c r="T58">
        <v>30</v>
      </c>
      <c r="U58">
        <v>50</v>
      </c>
      <c r="V58" t="s">
        <v>54</v>
      </c>
      <c r="W58" t="s">
        <v>54</v>
      </c>
      <c r="X58" t="s">
        <v>54</v>
      </c>
      <c r="Y58">
        <v>180</v>
      </c>
      <c r="Z58">
        <v>15</v>
      </c>
      <c r="AA58">
        <v>150</v>
      </c>
      <c r="AB58" t="s">
        <v>54</v>
      </c>
      <c r="AC58" t="s">
        <v>54</v>
      </c>
      <c r="AD58" t="s">
        <v>54</v>
      </c>
      <c r="AE58" t="s">
        <v>54</v>
      </c>
      <c r="AF58" t="s">
        <v>54</v>
      </c>
      <c r="AG58" t="s">
        <v>54</v>
      </c>
      <c r="AH58">
        <v>250</v>
      </c>
      <c r="AI58" t="s">
        <v>54</v>
      </c>
      <c r="AJ58">
        <v>30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 t="s">
        <v>54</v>
      </c>
      <c r="AW58" t="s">
        <v>54</v>
      </c>
      <c r="AX58">
        <v>25</v>
      </c>
      <c r="AZ58">
        <v>1850</v>
      </c>
      <c r="BA58" t="s">
        <v>55</v>
      </c>
    </row>
    <row r="59" spans="1:53" x14ac:dyDescent="0.45">
      <c r="A59">
        <v>17</v>
      </c>
      <c r="C59" t="str">
        <f>RIGHT([1]Raw_Ripton_1850!B62,LEN([1]Raw_Ripton_1850!B62)-1)</f>
        <v>William T. Brithy</v>
      </c>
      <c r="D59" t="s">
        <v>112</v>
      </c>
      <c r="F59">
        <v>40</v>
      </c>
      <c r="G59">
        <v>31</v>
      </c>
      <c r="H59">
        <v>800</v>
      </c>
      <c r="I59">
        <v>100</v>
      </c>
      <c r="J59">
        <v>1</v>
      </c>
      <c r="K59" t="s">
        <v>54</v>
      </c>
      <c r="L59">
        <v>4</v>
      </c>
      <c r="M59">
        <v>2</v>
      </c>
      <c r="N59">
        <v>5</v>
      </c>
      <c r="O59" t="s">
        <v>54</v>
      </c>
      <c r="P59">
        <v>1</v>
      </c>
      <c r="Q59">
        <v>300</v>
      </c>
      <c r="R59" t="s">
        <v>54</v>
      </c>
      <c r="S59" t="s">
        <v>54</v>
      </c>
      <c r="T59" t="s">
        <v>54</v>
      </c>
      <c r="U59">
        <v>60</v>
      </c>
      <c r="V59" t="s">
        <v>54</v>
      </c>
      <c r="W59" t="s">
        <v>54</v>
      </c>
      <c r="X59" t="s">
        <v>54</v>
      </c>
      <c r="Y59" t="s">
        <v>54</v>
      </c>
      <c r="Z59" t="s">
        <v>54</v>
      </c>
      <c r="AA59">
        <v>400</v>
      </c>
      <c r="AB59" t="s">
        <v>54</v>
      </c>
      <c r="AC59" t="s">
        <v>54</v>
      </c>
      <c r="AD59">
        <v>13</v>
      </c>
      <c r="AE59" t="s">
        <v>54</v>
      </c>
      <c r="AF59" t="s">
        <v>54</v>
      </c>
      <c r="AG59" t="s">
        <v>54</v>
      </c>
      <c r="AH59">
        <v>300</v>
      </c>
      <c r="AI59" t="s">
        <v>54</v>
      </c>
      <c r="AJ59">
        <v>35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  <c r="AV59" t="s">
        <v>54</v>
      </c>
      <c r="AW59" t="s">
        <v>54</v>
      </c>
      <c r="AX59">
        <v>26</v>
      </c>
      <c r="AZ59">
        <v>1850</v>
      </c>
      <c r="BA59" t="s">
        <v>55</v>
      </c>
    </row>
    <row r="60" spans="1:53" x14ac:dyDescent="0.45">
      <c r="A60">
        <v>18</v>
      </c>
      <c r="C60" t="str">
        <f>RIGHT([1]Raw_Ripton_1850!B63,LEN([1]Raw_Ripton_1850!B63)-1)</f>
        <v>Prejumin Value In</v>
      </c>
      <c r="D60" t="s">
        <v>113</v>
      </c>
      <c r="F60">
        <v>100</v>
      </c>
      <c r="G60">
        <v>100</v>
      </c>
      <c r="H60">
        <v>1000</v>
      </c>
      <c r="I60">
        <v>100</v>
      </c>
      <c r="J60">
        <v>1</v>
      </c>
      <c r="K60" t="s">
        <v>54</v>
      </c>
      <c r="L60">
        <v>2</v>
      </c>
      <c r="M60">
        <v>2</v>
      </c>
      <c r="N60">
        <v>4</v>
      </c>
      <c r="O60">
        <v>2</v>
      </c>
      <c r="P60">
        <v>1</v>
      </c>
      <c r="Q60">
        <v>325</v>
      </c>
      <c r="R60">
        <v>20</v>
      </c>
      <c r="S60" t="s">
        <v>54</v>
      </c>
      <c r="T60">
        <v>100</v>
      </c>
      <c r="U60">
        <v>112</v>
      </c>
      <c r="V60" t="s">
        <v>54</v>
      </c>
      <c r="W60" t="s">
        <v>54</v>
      </c>
      <c r="X60" t="s">
        <v>54</v>
      </c>
      <c r="Y60">
        <v>7</v>
      </c>
      <c r="Z60">
        <v>10</v>
      </c>
      <c r="AA60">
        <v>600</v>
      </c>
      <c r="AB60" t="s">
        <v>54</v>
      </c>
      <c r="AC60" t="s">
        <v>54</v>
      </c>
      <c r="AD60" t="s">
        <v>54</v>
      </c>
      <c r="AE60" t="s">
        <v>54</v>
      </c>
      <c r="AF60" t="s">
        <v>54</v>
      </c>
      <c r="AG60" t="s">
        <v>54</v>
      </c>
      <c r="AH60">
        <v>500</v>
      </c>
      <c r="AI60" t="s">
        <v>54</v>
      </c>
      <c r="AJ60">
        <v>30</v>
      </c>
      <c r="AK60" t="s">
        <v>54</v>
      </c>
      <c r="AL60">
        <v>3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  <c r="AV60" t="s">
        <v>54</v>
      </c>
      <c r="AW60" t="s">
        <v>54</v>
      </c>
      <c r="AX60">
        <v>50</v>
      </c>
      <c r="AZ60">
        <v>1850</v>
      </c>
      <c r="BA60" t="s">
        <v>55</v>
      </c>
    </row>
    <row r="61" spans="1:53" x14ac:dyDescent="0.45">
      <c r="A61">
        <v>19</v>
      </c>
      <c r="C61" t="str">
        <f>RIGHT([1]Raw_Ripton_1850!B64,LEN([1]Raw_Ripton_1850!B64)-1)</f>
        <v>John m e</v>
      </c>
      <c r="D61" t="s">
        <v>114</v>
      </c>
      <c r="F61">
        <v>30</v>
      </c>
      <c r="G61">
        <v>56</v>
      </c>
      <c r="H61">
        <v>300</v>
      </c>
      <c r="I61">
        <v>40</v>
      </c>
      <c r="J61">
        <v>2</v>
      </c>
      <c r="K61" t="s">
        <v>54</v>
      </c>
      <c r="L61">
        <v>1</v>
      </c>
      <c r="M61" t="s">
        <v>54</v>
      </c>
      <c r="N61" t="s">
        <v>54</v>
      </c>
      <c r="O61">
        <v>41</v>
      </c>
      <c r="P61">
        <v>1</v>
      </c>
      <c r="Q61">
        <v>180</v>
      </c>
      <c r="R61" t="s">
        <v>54</v>
      </c>
      <c r="S61">
        <v>5</v>
      </c>
      <c r="T61">
        <v>100</v>
      </c>
      <c r="U61" t="s">
        <v>54</v>
      </c>
      <c r="V61" t="s">
        <v>54</v>
      </c>
      <c r="W61" t="s">
        <v>54</v>
      </c>
      <c r="X61" t="s">
        <v>54</v>
      </c>
      <c r="Y61">
        <v>130</v>
      </c>
      <c r="Z61">
        <v>10</v>
      </c>
      <c r="AA61">
        <v>150</v>
      </c>
      <c r="AB61" t="s">
        <v>54</v>
      </c>
      <c r="AC61" t="s">
        <v>54</v>
      </c>
      <c r="AD61" t="s">
        <v>54</v>
      </c>
      <c r="AE61" t="s">
        <v>54</v>
      </c>
      <c r="AF61" t="s">
        <v>54</v>
      </c>
      <c r="AG61" t="s">
        <v>54</v>
      </c>
      <c r="AH61">
        <v>50</v>
      </c>
      <c r="AI61" t="s">
        <v>54</v>
      </c>
      <c r="AJ61">
        <v>25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  <c r="AV61" t="s">
        <v>54</v>
      </c>
      <c r="AW61" t="s">
        <v>54</v>
      </c>
      <c r="AX61">
        <v>18</v>
      </c>
      <c r="AZ61">
        <v>1850</v>
      </c>
      <c r="BA61" t="s">
        <v>55</v>
      </c>
    </row>
  </sheetData>
  <conditionalFormatting sqref="F2:AX61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2024-07-09T19:31:07Z</dcterms:modified>
</cp:coreProperties>
</file>