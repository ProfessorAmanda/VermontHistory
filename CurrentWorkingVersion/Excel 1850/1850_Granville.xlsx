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obert Ambat\Documents\Gregg_Local\Code\Gregg Version Spring 2024\Ag Census Summer 2024\"/>
    </mc:Choice>
  </mc:AlternateContent>
  <xr:revisionPtr revIDLastSave="0" documentId="13_ncr:1_{DF1E022C-76DE-41E6-8B75-BA8AB3DA4E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1" l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<sst xmlns="http://schemas.openxmlformats.org/spreadsheetml/2006/main" count="2428" uniqueCount="143">
  <si>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</si>
  <si>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</si>
  <si>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</si>
  <si>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</si>
  <si>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</si>
  <si>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</si>
  <si>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</si>
  <si>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</si>
  <si>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</si>
  <si>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</si>
  <si>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</si>
  <si>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</si>
  <si>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</si>
  <si>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</si>
  <si>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</si>
  <si>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</si>
  <si>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</si>
  <si>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</si>
  <si>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</si>
  <si>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</si>
  <si>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</si>
  <si>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</si>
  <si>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</si>
  <si>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</si>
  <si>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</si>
  <si>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</si>
  <si>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</si>
  <si>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</si>
  <si>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</si>
  <si>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</si>
  <si>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</si>
  <si>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</si>
  <si>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</si>
  <si>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</si>
  <si>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</si>
  <si>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</si>
  <si>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</si>
  <si>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</si>
  <si>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</si>
  <si>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</si>
  <si>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</si>
  <si>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</si>
  <si>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</si>
  <si>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</si>
  <si>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</si>
  <si>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</si>
  <si>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</si>
  <si>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</si>
  <si>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</si>
  <si>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</si>
  <si>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</si>
  <si>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</si>
  <si>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</si>
  <si>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Alvin Ford</t>
  </si>
  <si>
    <t/>
  </si>
  <si>
    <t>Granville</t>
  </si>
  <si>
    <t>Ira Ford</t>
  </si>
  <si>
    <t>Jeremy Ford</t>
  </si>
  <si>
    <t>Hoiram Ford</t>
  </si>
  <si>
    <t>Joseph Flint</t>
  </si>
  <si>
    <t>Rufas Hubbard</t>
  </si>
  <si>
    <t>Joseph Ball</t>
  </si>
  <si>
    <t>Norman Persons</t>
  </si>
  <si>
    <t>John Ghatelen</t>
  </si>
  <si>
    <t>Joseph Samik</t>
  </si>
  <si>
    <t>Lorenzo Church</t>
  </si>
  <si>
    <t>Charles Lamb</t>
  </si>
  <si>
    <t>Alden Lamb</t>
  </si>
  <si>
    <t>John Vinton</t>
  </si>
  <si>
    <t>Tom Lamb</t>
  </si>
  <si>
    <t>Eker Lamb</t>
  </si>
  <si>
    <t>David Wiley</t>
  </si>
  <si>
    <t>Ian Bliss</t>
  </si>
  <si>
    <t>Levi Clough</t>
  </si>
  <si>
    <t>David Lamb</t>
  </si>
  <si>
    <t>Charles Winston</t>
  </si>
  <si>
    <t>Tom Ford</t>
  </si>
  <si>
    <t>Asa Ford</t>
  </si>
  <si>
    <t>Oliver Jones</t>
  </si>
  <si>
    <t>Tom Kendall</t>
  </si>
  <si>
    <t>Josiah Lewis</t>
  </si>
  <si>
    <t>Wallace Kendall</t>
  </si>
  <si>
    <t>Luewis Kendall</t>
  </si>
  <si>
    <t>Squire Sevan</t>
  </si>
  <si>
    <t>Eleasor Kendall</t>
  </si>
  <si>
    <t>Isabel Swan</t>
  </si>
  <si>
    <t>Norman Swan</t>
  </si>
  <si>
    <t>Denison Rice</t>
  </si>
  <si>
    <t>Ira Bailey</t>
  </si>
  <si>
    <t>Lereno Dexter</t>
  </si>
  <si>
    <t>John Thurston</t>
  </si>
  <si>
    <t>David Page</t>
  </si>
  <si>
    <t>Samuel Austin</t>
  </si>
  <si>
    <t>Alex Stilson</t>
  </si>
  <si>
    <t>Alma Stilson</t>
  </si>
  <si>
    <t>Christopher Moore</t>
  </si>
  <si>
    <t>Alex Chaffay</t>
  </si>
  <si>
    <t>Levi Allen</t>
  </si>
  <si>
    <t>Caleb Amy</t>
  </si>
  <si>
    <t>Thomas Randall</t>
  </si>
  <si>
    <t>Elisha Ford</t>
  </si>
  <si>
    <t>Albert Flint</t>
  </si>
  <si>
    <t>Jonathan Jewett</t>
  </si>
  <si>
    <t>Otis Lamb</t>
  </si>
  <si>
    <t>Ana Hubbard</t>
  </si>
  <si>
    <t>Abel Adams</t>
  </si>
  <si>
    <t>Alonzo Allen</t>
  </si>
  <si>
    <t>David Gregg</t>
  </si>
  <si>
    <t>Josiah Babcock</t>
  </si>
  <si>
    <t>James Ashley</t>
  </si>
  <si>
    <t>Henry Cady</t>
  </si>
  <si>
    <t>James Eaton</t>
  </si>
  <si>
    <t>Thomas Clark</t>
  </si>
  <si>
    <t>Philander Brown</t>
  </si>
  <si>
    <t>May Cady</t>
  </si>
  <si>
    <t>Samuel Parkis</t>
  </si>
  <si>
    <t>Robert Kennedy</t>
  </si>
  <si>
    <t>Luther Robinson</t>
  </si>
  <si>
    <t>Joseph Lawyer</t>
  </si>
  <si>
    <t>Enoch Day</t>
  </si>
  <si>
    <t>Eaty Back</t>
  </si>
  <si>
    <t>Nathan Hand</t>
  </si>
  <si>
    <t>Buy withington</t>
  </si>
  <si>
    <t>Enoch Taylor</t>
  </si>
  <si>
    <t>Abraham Hook</t>
  </si>
  <si>
    <t>Aaron Bagley</t>
  </si>
  <si>
    <t>Lyncher Preston</t>
  </si>
  <si>
    <t>John Angin</t>
  </si>
  <si>
    <t>John Barrett</t>
  </si>
  <si>
    <t>Lewis Martin</t>
  </si>
  <si>
    <t>Jotham Dyar</t>
  </si>
  <si>
    <t>Elliry Pelis</t>
  </si>
  <si>
    <t>Migik Gibson</t>
  </si>
  <si>
    <t>Gideon Hemitress</t>
  </si>
  <si>
    <t>Alvin Cady</t>
  </si>
  <si>
    <t>Isaac Lull</t>
  </si>
  <si>
    <t>Warren Ford</t>
  </si>
  <si>
    <t>Erastus Church</t>
  </si>
  <si>
    <t>Levi Washburn</t>
  </si>
  <si>
    <t>Austin Leonard</t>
  </si>
  <si>
    <t>Elijah Alice</t>
  </si>
  <si>
    <t>Christopher Hubbard</t>
  </si>
  <si>
    <t>Philander Hays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</si>
</sst>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ddleburycollege-my.sharepoint.com/personal/agregg_middlebury_edu/Documents/Gregg%20Summer%20Research%202024/Vermont%20Data%20Summer%202024%20Version/1850%20Agricultural%20Data/Textract%20Digitization/VT%201850%20Agri%20Census%20Digitization.xlsx" TargetMode="External"/><Relationship Id="rId2" Type="http://schemas.microsoft.com/office/2019/04/relationships/externalLinkLongPath" Target="https://middleburycollege-my.sharepoint.com/personal/agregg_middlebury_edu/Documents/Gregg%20Summer%20Research%202024/Vermont%20Data%20Summer%202024%20Version/1850%20Agricultural%20Data/Textract%20Digitization/VT%201850%20Agri%20Census%20Digitization.xlsx?0D1FE1FD" TargetMode="External"/><Relationship Id="rId1" Type="http://schemas.openxmlformats.org/officeDocument/2006/relationships/externalLinkPath" Target="file:///\\0D1FE1FD\VT%201850%20Agri%20Census%20Digit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leaned_Sample_1850"/>
      <sheetName val="Cleaned_Addison_1850"/>
      <sheetName val="Final_ Sample_1850 "/>
      <sheetName val="Sample"/>
      <sheetName val="Raw_Shoreham_1850"/>
      <sheetName val="Cleaned_Shoreham_1850"/>
      <sheetName val="Revised_Shoreham_1850"/>
      <sheetName val="Final_Shoreham_1850"/>
      <sheetName val="Raw_Vergennes_1850"/>
      <sheetName val="Cleaned_Vergennes_1850"/>
      <sheetName val="Revised_Vergennes_1850"/>
      <sheetName val="Final_Vergennes_1850"/>
      <sheetName val="Raw_Bridport_1850"/>
      <sheetName val="Cleaned_Bridport_1850"/>
      <sheetName val="Revised_Bridport_1850"/>
      <sheetName val="Final_ Bridport_1850"/>
      <sheetName val="Raw_Hancock_1850"/>
      <sheetName val="Raw_Ripton_1850"/>
      <sheetName val="Raw_Addison_1850"/>
      <sheetName val="Cleaned_Hancock_1850"/>
      <sheetName val="Cleaned_Ripton_1850"/>
      <sheetName val="Revised_Hancock_1850"/>
      <sheetName val="Revised_Ripton_1850"/>
      <sheetName val="Revised_Addison_1850"/>
      <sheetName val="Raw_Granville_1850"/>
      <sheetName val="Cleaned_Granville_1850"/>
      <sheetName val="Final_ Ripton_1850"/>
      <sheetName val="Final_ Granville_1850"/>
      <sheetName val="Final_ Hancock_1850"/>
      <sheetName val="Final_ Addison_1850"/>
      <sheetName val="Raw_Bristol_1850"/>
      <sheetName val="Cleaned_Bristol_1850"/>
      <sheetName val="Cleaned_Ferrisburgh_1850"/>
      <sheetName val="Cleaned_Cornwall_1850"/>
      <sheetName val="Cleaned_Goshen_1850"/>
      <sheetName val="Raw_Cornwall_1850"/>
      <sheetName val="Raw_Ferrisburgh_1850"/>
      <sheetName val="Raw_Goshen_1850"/>
      <sheetName val="Revised_Cornwall_1850"/>
      <sheetName val="Revised_Bristol_1850"/>
      <sheetName val="Revised_Goshen_1850"/>
      <sheetName val="Revised_Ferrisburgh_1850"/>
      <sheetName val="Revised_Granville_1850"/>
      <sheetName val="Cleaned_50"/>
      <sheetName val="Consolidated_50"/>
      <sheetName val="Raw_50"/>
      <sheetName val="Consolidated_51"/>
      <sheetName val="Cleaned_51"/>
      <sheetName val="Raw_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B5" t="str">
            <v>'Alvin Ford</v>
          </cell>
        </row>
        <row r="6">
          <cell r="B6" t="str">
            <v>'Ira 11</v>
          </cell>
        </row>
        <row r="7">
          <cell r="B7" t="str">
            <v>'lumy</v>
          </cell>
        </row>
        <row r="8">
          <cell r="B8" t="str">
            <v>'H Heram "</v>
          </cell>
        </row>
        <row r="9">
          <cell r="B9" t="str">
            <v>'Jaseph Hunt</v>
          </cell>
        </row>
        <row r="10">
          <cell r="B10" t="str">
            <v>'Rufas Hubbard</v>
          </cell>
        </row>
        <row r="11">
          <cell r="B11" t="str">
            <v>'Jaseph Ball</v>
          </cell>
        </row>
        <row r="12">
          <cell r="B12" t="str">
            <v>'Norman Persons</v>
          </cell>
        </row>
        <row r="13">
          <cell r="B13" t="str">
            <v>'Jahu Whateker</v>
          </cell>
        </row>
        <row r="14">
          <cell r="B14" t="str">
            <v>'Joseph Lanek</v>
          </cell>
        </row>
        <row r="15">
          <cell r="B15" t="str">
            <v>'Larenza Chunch</v>
          </cell>
        </row>
        <row r="16">
          <cell r="B16" t="str">
            <v>'Charles Lamb</v>
          </cell>
        </row>
        <row r="17">
          <cell r="B17" t="str">
            <v>'Alden 11</v>
          </cell>
        </row>
        <row r="18">
          <cell r="B18" t="str">
            <v>'John binton</v>
          </cell>
        </row>
        <row r="19">
          <cell r="B19" t="str">
            <v>'Rom Land</v>
          </cell>
        </row>
        <row r="20">
          <cell r="B20" t="str">
            <v>'Elies</v>
          </cell>
        </row>
        <row r="21">
          <cell r="B21" t="str">
            <v>'David wiley</v>
          </cell>
        </row>
        <row r="22">
          <cell r="B22" t="str">
            <v>'Ian Bliss</v>
          </cell>
        </row>
        <row r="23">
          <cell r="B23" t="str">
            <v>'Laur Chough</v>
          </cell>
        </row>
        <row r="24">
          <cell r="B24" t="str">
            <v>'David Landle</v>
          </cell>
        </row>
        <row r="25">
          <cell r="B25" t="str">
            <v>'Chailes Orition</v>
          </cell>
        </row>
        <row r="26">
          <cell r="B26" t="str">
            <v>'cam For</v>
          </cell>
        </row>
        <row r="27">
          <cell r="B27" t="str">
            <v>'Asa</v>
          </cell>
        </row>
        <row r="28">
          <cell r="B28" t="str">
            <v>'Olivin cloves</v>
          </cell>
        </row>
        <row r="29">
          <cell r="B29" t="str">
            <v>'Wem Handall</v>
          </cell>
        </row>
        <row r="30">
          <cell r="B30" t="str">
            <v>'Jasiah Lewis</v>
          </cell>
        </row>
        <row r="31">
          <cell r="B31" t="str">
            <v>'Wallace Kindall</v>
          </cell>
        </row>
        <row r="32">
          <cell r="B32" t="str">
            <v>'Lucins H</v>
          </cell>
        </row>
        <row r="33">
          <cell r="B33" t="str">
            <v>'Lighine Levan</v>
          </cell>
        </row>
        <row r="34">
          <cell r="B34" t="str">
            <v>'Coleason Kindall</v>
          </cell>
        </row>
        <row r="35">
          <cell r="B35" t="str">
            <v>'Asahil Swan</v>
          </cell>
        </row>
        <row r="36">
          <cell r="B36" t="str">
            <v>'Narman 11</v>
          </cell>
        </row>
        <row r="37">
          <cell r="B37" t="str">
            <v>'Demison Rice</v>
          </cell>
        </row>
        <row r="38">
          <cell r="B38" t="str">
            <v>'Ira Baily</v>
          </cell>
        </row>
        <row r="39">
          <cell r="B39" t="str">
            <v>'Lereno Dexter</v>
          </cell>
        </row>
        <row r="40">
          <cell r="B40" t="str">
            <v>'John Thurston</v>
          </cell>
        </row>
        <row r="41">
          <cell r="B41" t="str">
            <v>'David Page</v>
          </cell>
        </row>
        <row r="42">
          <cell r="B42" t="str">
            <v>'Samuel Austin</v>
          </cell>
        </row>
        <row r="43">
          <cell r="B43" t="str">
            <v>'Alex Stelson</v>
          </cell>
        </row>
        <row r="44">
          <cell r="B44" t="str">
            <v>'Alua</v>
          </cell>
        </row>
        <row r="45">
          <cell r="B45" t="str">
            <v>'Colusteption moore</v>
          </cell>
        </row>
        <row r="46">
          <cell r="B46" t="str">
            <v>'Aley Chaffacy</v>
          </cell>
        </row>
        <row r="47">
          <cell r="B47" t="str">
            <v>'Line Alten</v>
          </cell>
        </row>
        <row r="48">
          <cell r="B48" t="str">
            <v>'Galeba Any</v>
          </cell>
        </row>
        <row r="49">
          <cell r="B49" t="str">
            <v>'Humas Randall</v>
          </cell>
        </row>
        <row r="50">
          <cell r="B50" t="str">
            <v>'Elisha Ford</v>
          </cell>
        </row>
        <row r="51">
          <cell r="B51" t="str">
            <v>'Albert Fluit</v>
          </cell>
        </row>
        <row r="52">
          <cell r="B52" t="str">
            <v>'donathan Jewelt</v>
          </cell>
        </row>
        <row r="53">
          <cell r="B53" t="str">
            <v>'Olis Lamb</v>
          </cell>
        </row>
        <row r="54">
          <cell r="B54" t="str">
            <v>'Ana Houbbaid</v>
          </cell>
        </row>
        <row r="55">
          <cell r="B55" t="str">
            <v>',Abd Adams</v>
          </cell>
        </row>
        <row r="56">
          <cell r="B56" t="str">
            <v>'Allen</v>
          </cell>
        </row>
        <row r="57">
          <cell r="B57" t="str">
            <v>'David Gregg</v>
          </cell>
        </row>
        <row r="58">
          <cell r="B58" t="str">
            <v>'Jasiah Babeock</v>
          </cell>
        </row>
        <row r="59">
          <cell r="B59" t="str">
            <v>'alames Robbly</v>
          </cell>
        </row>
        <row r="60">
          <cell r="B60" t="str">
            <v>'Henry Cadle</v>
          </cell>
        </row>
        <row r="61">
          <cell r="B61" t="str">
            <v>'clanes Calon</v>
          </cell>
        </row>
        <row r="62">
          <cell r="B62" t="str">
            <v>'Himas Glark</v>
          </cell>
        </row>
        <row r="63">
          <cell r="B63" t="str">
            <v>'Philander Brown</v>
          </cell>
        </row>
        <row r="64">
          <cell r="B64" t="str">
            <v>'Ma Cady</v>
          </cell>
        </row>
        <row r="65">
          <cell r="B65" t="str">
            <v>'dunnel Parkis</v>
          </cell>
        </row>
        <row r="66">
          <cell r="B66" t="str">
            <v>'Robert Hemmedy</v>
          </cell>
        </row>
        <row r="67">
          <cell r="B67" t="str">
            <v>'the Roberton</v>
          </cell>
        </row>
        <row r="68">
          <cell r="B68" t="str">
            <v>'damagle</v>
          </cell>
        </row>
        <row r="69">
          <cell r="B69" t="str">
            <v>'Lawyer Enoch Day</v>
          </cell>
        </row>
        <row r="70">
          <cell r="B70" t="str">
            <v>'County Back</v>
          </cell>
        </row>
        <row r="71">
          <cell r="B71" t="str">
            <v>'Nathan Hand</v>
          </cell>
        </row>
        <row r="72">
          <cell r="B72" t="str">
            <v>'Buy withington</v>
          </cell>
        </row>
        <row r="73">
          <cell r="B73" t="str">
            <v>'ench Taylor</v>
          </cell>
        </row>
        <row r="74">
          <cell r="B74" t="str">
            <v>'Alirabon Hook</v>
          </cell>
        </row>
        <row r="75">
          <cell r="B75" t="str">
            <v>'Aaron Bagley</v>
          </cell>
        </row>
        <row r="76">
          <cell r="B76" t="str">
            <v>'Limelan Preston</v>
          </cell>
        </row>
        <row r="77">
          <cell r="B77" t="str">
            <v>'Dolen Angine</v>
          </cell>
        </row>
        <row r="78">
          <cell r="B78" t="str">
            <v>'Salum Barrett</v>
          </cell>
        </row>
        <row r="79">
          <cell r="B79" t="str">
            <v>'Lucus martine</v>
          </cell>
        </row>
        <row r="80">
          <cell r="B80" t="str">
            <v>'dollarm Dyar</v>
          </cell>
        </row>
        <row r="81">
          <cell r="B81" t="str">
            <v>'balling Pelis</v>
          </cell>
        </row>
        <row r="82">
          <cell r="B82" t="str">
            <v>'night Gibson</v>
          </cell>
        </row>
        <row r="83">
          <cell r="B83" t="str">
            <v>'Hemitress</v>
          </cell>
        </row>
        <row r="84">
          <cell r="B84" t="str">
            <v>'Alvin Cady</v>
          </cell>
        </row>
        <row r="85">
          <cell r="B85" t="str">
            <v>'Asnac Lull</v>
          </cell>
        </row>
        <row r="86">
          <cell r="B86" t="str">
            <v>'Wuren Ford</v>
          </cell>
        </row>
        <row r="87">
          <cell r="B87" t="str">
            <v>'Ecastus Church</v>
          </cell>
        </row>
        <row r="88">
          <cell r="B88" t="str">
            <v>'Love Washburn</v>
          </cell>
        </row>
        <row r="89">
          <cell r="B89" t="str">
            <v>'Austin Leonard</v>
          </cell>
        </row>
        <row r="90">
          <cell r="B90" t="str">
            <v>'Larensjo Church</v>
          </cell>
        </row>
        <row r="91">
          <cell r="B91" t="str">
            <v>'Glyab Albee</v>
          </cell>
        </row>
        <row r="92">
          <cell r="B92" t="str">
            <v>'Alexelopher Heubbard</v>
          </cell>
        </row>
        <row r="93">
          <cell r="B93" t="str">
            <v>'Philander Hay's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0"/>
  <sheetViews>
    <sheetView tabSelected="1" topLeftCell="A43" workbookViewId="0">
      <selection activeCell="H99" sqref="H99"/>
    </sheetView>
  </sheetViews>
  <sheetFormatPr defaultRowHeight="14.25" x14ac:dyDescent="0.45"/>
  <sheetData>
    <row r="1" spans="1:5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45">
      <c r="A2">
        <v>1</v>
      </c>
      <c r="C2" t="str">
        <f>RIGHT([1]Raw_Granville_1850!B5,LEN([1]Raw_Granville_1850!B5)-1)</f>
        <v>Alvin Ford</v>
      </c>
      <c r="D2" t="s">
        <v>53</v>
      </c>
      <c r="F2">
        <v>150</v>
      </c>
      <c r="G2">
        <v>250</v>
      </c>
      <c r="H2">
        <v>4000</v>
      </c>
      <c r="I2">
        <v>200</v>
      </c>
      <c r="J2">
        <v>5</v>
      </c>
      <c r="K2" t="s">
        <v>54</v>
      </c>
      <c r="L2">
        <v>10</v>
      </c>
      <c r="M2">
        <v>2</v>
      </c>
      <c r="N2">
        <v>14</v>
      </c>
      <c r="O2" t="s">
        <v>54</v>
      </c>
      <c r="P2">
        <v>6</v>
      </c>
      <c r="Q2">
        <v>880</v>
      </c>
      <c r="R2" t="s">
        <v>54</v>
      </c>
      <c r="S2" t="s">
        <v>54</v>
      </c>
      <c r="T2">
        <v>200</v>
      </c>
      <c r="U2">
        <v>150</v>
      </c>
      <c r="V2" t="s">
        <v>54</v>
      </c>
      <c r="W2" t="s">
        <v>54</v>
      </c>
      <c r="X2" t="s">
        <v>54</v>
      </c>
      <c r="Y2" t="s">
        <v>54</v>
      </c>
      <c r="Z2">
        <v>10</v>
      </c>
      <c r="AA2">
        <v>300</v>
      </c>
      <c r="AB2" t="s">
        <v>54</v>
      </c>
      <c r="AC2" t="s">
        <v>54</v>
      </c>
      <c r="AD2" t="s">
        <v>54</v>
      </c>
      <c r="AE2">
        <v>20</v>
      </c>
      <c r="AF2" t="s">
        <v>54</v>
      </c>
      <c r="AG2" t="s">
        <v>54</v>
      </c>
      <c r="AH2">
        <v>500</v>
      </c>
      <c r="AI2">
        <v>800</v>
      </c>
      <c r="AJ2">
        <v>50</v>
      </c>
      <c r="AK2" t="s">
        <v>54</v>
      </c>
      <c r="AL2">
        <v>9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>
        <v>400</v>
      </c>
      <c r="AT2" t="s">
        <v>54</v>
      </c>
      <c r="AU2" t="s">
        <v>54</v>
      </c>
      <c r="AV2">
        <v>150</v>
      </c>
      <c r="AW2">
        <v>20</v>
      </c>
      <c r="AX2">
        <v>90</v>
      </c>
      <c r="AZ2">
        <v>1850</v>
      </c>
      <c r="BA2" t="s">
        <v>55</v>
      </c>
    </row>
    <row r="3" spans="1:53" x14ac:dyDescent="0.45">
      <c r="A3">
        <v>2</v>
      </c>
      <c r="C3" t="str">
        <f>RIGHT([1]Raw_Granville_1850!B6,LEN([1]Raw_Granville_1850!B6)-1)</f>
        <v>Ira 11</v>
      </c>
      <c r="D3" t="s">
        <v>56</v>
      </c>
      <c r="F3">
        <v>30</v>
      </c>
      <c r="G3">
        <v>270</v>
      </c>
      <c r="H3">
        <v>4000</v>
      </c>
      <c r="I3">
        <v>100</v>
      </c>
      <c r="J3">
        <v>1</v>
      </c>
      <c r="K3" t="s">
        <v>54</v>
      </c>
      <c r="L3">
        <v>3</v>
      </c>
      <c r="M3">
        <v>2</v>
      </c>
      <c r="N3">
        <v>7</v>
      </c>
      <c r="O3" t="s">
        <v>54</v>
      </c>
      <c r="P3">
        <v>2</v>
      </c>
      <c r="Q3">
        <v>360</v>
      </c>
      <c r="R3">
        <v>336</v>
      </c>
      <c r="S3">
        <v>36</v>
      </c>
      <c r="T3" t="s">
        <v>54</v>
      </c>
      <c r="U3">
        <v>340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>
        <v>100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>
        <v>125</v>
      </c>
      <c r="AW3" t="s">
        <v>54</v>
      </c>
      <c r="AX3">
        <v>30</v>
      </c>
      <c r="AZ3">
        <v>1850</v>
      </c>
      <c r="BA3" t="s">
        <v>55</v>
      </c>
    </row>
    <row r="4" spans="1:53" x14ac:dyDescent="0.45">
      <c r="A4">
        <v>3</v>
      </c>
      <c r="C4" t="str">
        <f>RIGHT([1]Raw_Granville_1850!B7,LEN([1]Raw_Granville_1850!B7)-1)</f>
        <v>lumy</v>
      </c>
      <c r="D4" t="s">
        <v>57</v>
      </c>
      <c r="F4">
        <v>120</v>
      </c>
      <c r="G4">
        <v>80</v>
      </c>
      <c r="H4">
        <v>1300</v>
      </c>
      <c r="I4">
        <v>100</v>
      </c>
      <c r="J4">
        <v>1</v>
      </c>
      <c r="K4" t="s">
        <v>54</v>
      </c>
      <c r="L4">
        <v>4</v>
      </c>
      <c r="M4">
        <v>2</v>
      </c>
      <c r="N4">
        <v>2</v>
      </c>
      <c r="O4" t="s">
        <v>54</v>
      </c>
      <c r="P4">
        <v>4</v>
      </c>
      <c r="Q4">
        <v>310</v>
      </c>
      <c r="R4" t="s">
        <v>54</v>
      </c>
      <c r="S4" t="s">
        <v>54</v>
      </c>
      <c r="T4">
        <v>50</v>
      </c>
      <c r="U4">
        <v>100</v>
      </c>
      <c r="V4" t="s">
        <v>54</v>
      </c>
      <c r="W4" t="s">
        <v>54</v>
      </c>
      <c r="X4" t="s">
        <v>54</v>
      </c>
      <c r="Y4" t="s">
        <v>54</v>
      </c>
      <c r="Z4">
        <v>2</v>
      </c>
      <c r="AA4">
        <v>200</v>
      </c>
      <c r="AB4" t="s">
        <v>54</v>
      </c>
      <c r="AC4" t="s">
        <v>54</v>
      </c>
      <c r="AD4">
        <v>35</v>
      </c>
      <c r="AE4">
        <v>20</v>
      </c>
      <c r="AF4" t="s">
        <v>54</v>
      </c>
      <c r="AG4" t="s">
        <v>54</v>
      </c>
      <c r="AH4">
        <v>200</v>
      </c>
      <c r="AI4" t="s">
        <v>54</v>
      </c>
      <c r="AJ4">
        <v>30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>
        <v>200</v>
      </c>
      <c r="AT4" t="s">
        <v>54</v>
      </c>
      <c r="AU4" t="s">
        <v>54</v>
      </c>
      <c r="AV4" t="s">
        <v>54</v>
      </c>
      <c r="AW4">
        <v>15</v>
      </c>
      <c r="AX4">
        <v>40</v>
      </c>
      <c r="AZ4">
        <v>1850</v>
      </c>
      <c r="BA4" t="s">
        <v>55</v>
      </c>
    </row>
    <row r="5" spans="1:53" x14ac:dyDescent="0.45">
      <c r="A5">
        <v>4</v>
      </c>
      <c r="C5" t="str">
        <f>RIGHT([1]Raw_Granville_1850!B8,LEN([1]Raw_Granville_1850!B8)-1)</f>
        <v>H Heram "</v>
      </c>
      <c r="D5" t="s">
        <v>58</v>
      </c>
      <c r="F5">
        <v>120</v>
      </c>
      <c r="G5">
        <v>80</v>
      </c>
      <c r="H5">
        <v>2000</v>
      </c>
      <c r="I5">
        <v>80</v>
      </c>
      <c r="J5">
        <v>3</v>
      </c>
      <c r="K5" t="s">
        <v>54</v>
      </c>
      <c r="L5">
        <v>6</v>
      </c>
      <c r="M5">
        <v>4</v>
      </c>
      <c r="N5">
        <v>10</v>
      </c>
      <c r="O5">
        <v>65</v>
      </c>
      <c r="P5">
        <v>5</v>
      </c>
      <c r="Q5">
        <v>650</v>
      </c>
      <c r="R5" t="s">
        <v>54</v>
      </c>
      <c r="S5" t="s">
        <v>54</v>
      </c>
      <c r="T5">
        <v>30</v>
      </c>
      <c r="U5">
        <v>80</v>
      </c>
      <c r="V5" t="s">
        <v>54</v>
      </c>
      <c r="W5" t="s">
        <v>54</v>
      </c>
      <c r="X5" t="s">
        <v>54</v>
      </c>
      <c r="Y5">
        <v>202</v>
      </c>
      <c r="Z5">
        <v>5</v>
      </c>
      <c r="AA5">
        <v>124</v>
      </c>
      <c r="AB5" t="s">
        <v>54</v>
      </c>
      <c r="AC5" t="s">
        <v>54</v>
      </c>
      <c r="AD5">
        <v>30</v>
      </c>
      <c r="AE5">
        <v>20</v>
      </c>
      <c r="AF5" t="s">
        <v>54</v>
      </c>
      <c r="AG5" t="s">
        <v>54</v>
      </c>
      <c r="AH5">
        <v>250</v>
      </c>
      <c r="AI5">
        <v>500</v>
      </c>
      <c r="AJ5">
        <v>70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>
        <v>40</v>
      </c>
      <c r="AQ5" t="s">
        <v>54</v>
      </c>
      <c r="AR5" t="s">
        <v>54</v>
      </c>
      <c r="AS5">
        <v>600</v>
      </c>
      <c r="AT5" t="s">
        <v>54</v>
      </c>
      <c r="AU5" t="s">
        <v>54</v>
      </c>
      <c r="AV5">
        <v>75</v>
      </c>
      <c r="AW5">
        <v>35</v>
      </c>
      <c r="AX5">
        <v>60</v>
      </c>
      <c r="AZ5">
        <v>1850</v>
      </c>
      <c r="BA5" t="s">
        <v>55</v>
      </c>
    </row>
    <row r="6" spans="1:53" x14ac:dyDescent="0.45">
      <c r="A6">
        <v>5</v>
      </c>
      <c r="C6" t="str">
        <f>RIGHT([1]Raw_Granville_1850!B9,LEN([1]Raw_Granville_1850!B9)-1)</f>
        <v>Jaseph Hunt</v>
      </c>
      <c r="D6" t="s">
        <v>59</v>
      </c>
      <c r="F6">
        <v>140</v>
      </c>
      <c r="G6">
        <v>70</v>
      </c>
      <c r="H6">
        <v>2200</v>
      </c>
      <c r="I6">
        <v>150</v>
      </c>
      <c r="J6">
        <v>3</v>
      </c>
      <c r="K6" t="s">
        <v>54</v>
      </c>
      <c r="L6">
        <v>6</v>
      </c>
      <c r="M6">
        <v>2</v>
      </c>
      <c r="N6">
        <v>7</v>
      </c>
      <c r="O6">
        <v>86</v>
      </c>
      <c r="P6">
        <v>4</v>
      </c>
      <c r="Q6">
        <v>641</v>
      </c>
      <c r="R6">
        <v>27</v>
      </c>
      <c r="S6">
        <v>9</v>
      </c>
      <c r="T6">
        <v>20</v>
      </c>
      <c r="U6">
        <v>60</v>
      </c>
      <c r="V6" t="s">
        <v>54</v>
      </c>
      <c r="W6" t="s">
        <v>54</v>
      </c>
      <c r="X6" t="s">
        <v>54</v>
      </c>
      <c r="Y6">
        <v>300</v>
      </c>
      <c r="Z6">
        <v>8</v>
      </c>
      <c r="AA6">
        <v>500</v>
      </c>
      <c r="AB6" t="s">
        <v>54</v>
      </c>
      <c r="AC6" t="s">
        <v>54</v>
      </c>
      <c r="AD6">
        <v>6</v>
      </c>
      <c r="AE6">
        <v>25</v>
      </c>
      <c r="AF6" t="s">
        <v>54</v>
      </c>
      <c r="AG6" t="s">
        <v>54</v>
      </c>
      <c r="AH6">
        <v>600</v>
      </c>
      <c r="AI6">
        <v>500</v>
      </c>
      <c r="AJ6">
        <v>50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>
        <v>30</v>
      </c>
      <c r="AQ6" t="s">
        <v>54</v>
      </c>
      <c r="AR6" t="s">
        <v>54</v>
      </c>
      <c r="AS6">
        <v>450</v>
      </c>
      <c r="AT6" t="s">
        <v>54</v>
      </c>
      <c r="AU6" t="s">
        <v>54</v>
      </c>
      <c r="AV6">
        <v>45</v>
      </c>
      <c r="AW6">
        <v>20</v>
      </c>
      <c r="AX6">
        <v>75</v>
      </c>
      <c r="AZ6">
        <v>1850</v>
      </c>
      <c r="BA6" t="s">
        <v>55</v>
      </c>
    </row>
    <row r="7" spans="1:53" x14ac:dyDescent="0.45">
      <c r="A7">
        <v>6</v>
      </c>
      <c r="C7" t="str">
        <f>RIGHT([1]Raw_Granville_1850!B10,LEN([1]Raw_Granville_1850!B10)-1)</f>
        <v>Rufas Hubbard</v>
      </c>
      <c r="D7" t="s">
        <v>60</v>
      </c>
      <c r="F7">
        <v>100</v>
      </c>
      <c r="G7">
        <v>50</v>
      </c>
      <c r="H7">
        <v>2000</v>
      </c>
      <c r="I7">
        <v>100</v>
      </c>
      <c r="J7">
        <v>5</v>
      </c>
      <c r="K7" t="s">
        <v>54</v>
      </c>
      <c r="L7">
        <v>4</v>
      </c>
      <c r="M7">
        <v>2</v>
      </c>
      <c r="N7">
        <v>4</v>
      </c>
      <c r="O7">
        <v>150</v>
      </c>
      <c r="P7">
        <v>4</v>
      </c>
      <c r="Q7">
        <v>800</v>
      </c>
      <c r="R7">
        <v>15</v>
      </c>
      <c r="S7" t="s">
        <v>54</v>
      </c>
      <c r="T7">
        <v>50</v>
      </c>
      <c r="U7">
        <v>150</v>
      </c>
      <c r="V7" t="s">
        <v>54</v>
      </c>
      <c r="W7" t="s">
        <v>54</v>
      </c>
      <c r="X7" t="s">
        <v>54</v>
      </c>
      <c r="Y7">
        <v>435</v>
      </c>
      <c r="Z7">
        <v>5</v>
      </c>
      <c r="AA7">
        <v>350</v>
      </c>
      <c r="AB7" t="s">
        <v>54</v>
      </c>
      <c r="AC7" t="s">
        <v>54</v>
      </c>
      <c r="AD7" t="s">
        <v>54</v>
      </c>
      <c r="AE7">
        <v>10</v>
      </c>
      <c r="AF7" t="s">
        <v>54</v>
      </c>
      <c r="AG7" t="s">
        <v>54</v>
      </c>
      <c r="AH7">
        <v>300</v>
      </c>
      <c r="AI7">
        <v>300</v>
      </c>
      <c r="AJ7">
        <v>60</v>
      </c>
      <c r="AK7" t="s">
        <v>54</v>
      </c>
      <c r="AL7">
        <v>15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>
        <v>500</v>
      </c>
      <c r="AT7" t="s">
        <v>54</v>
      </c>
      <c r="AU7" t="s">
        <v>54</v>
      </c>
      <c r="AV7" t="s">
        <v>54</v>
      </c>
      <c r="AW7" t="s">
        <v>54</v>
      </c>
      <c r="AX7">
        <v>75</v>
      </c>
      <c r="AZ7">
        <v>1850</v>
      </c>
      <c r="BA7" t="s">
        <v>55</v>
      </c>
    </row>
    <row r="8" spans="1:53" x14ac:dyDescent="0.45">
      <c r="A8">
        <v>7</v>
      </c>
      <c r="C8" t="str">
        <f>RIGHT([1]Raw_Granville_1850!B11,LEN([1]Raw_Granville_1850!B11)-1)</f>
        <v>Jaseph Ball</v>
      </c>
      <c r="D8" t="s">
        <v>61</v>
      </c>
      <c r="F8">
        <v>85</v>
      </c>
      <c r="G8">
        <v>75</v>
      </c>
      <c r="H8">
        <v>2000</v>
      </c>
      <c r="I8">
        <v>100</v>
      </c>
      <c r="J8">
        <v>3</v>
      </c>
      <c r="K8" t="s">
        <v>54</v>
      </c>
      <c r="L8">
        <v>3</v>
      </c>
      <c r="M8">
        <v>2</v>
      </c>
      <c r="N8">
        <v>11</v>
      </c>
      <c r="O8">
        <v>2</v>
      </c>
      <c r="P8">
        <v>4</v>
      </c>
      <c r="Q8">
        <v>610</v>
      </c>
      <c r="R8">
        <v>20</v>
      </c>
      <c r="S8">
        <v>7</v>
      </c>
      <c r="T8">
        <v>15</v>
      </c>
      <c r="U8">
        <v>100</v>
      </c>
      <c r="V8" t="s">
        <v>54</v>
      </c>
      <c r="W8" t="s">
        <v>54</v>
      </c>
      <c r="X8" t="s">
        <v>54</v>
      </c>
      <c r="Y8">
        <v>8</v>
      </c>
      <c r="Z8" t="s">
        <v>54</v>
      </c>
      <c r="AA8">
        <v>230</v>
      </c>
      <c r="AB8" t="s">
        <v>54</v>
      </c>
      <c r="AC8" t="s">
        <v>54</v>
      </c>
      <c r="AD8">
        <v>10</v>
      </c>
      <c r="AE8">
        <v>30</v>
      </c>
      <c r="AF8" t="s">
        <v>54</v>
      </c>
      <c r="AG8" t="s">
        <v>54</v>
      </c>
      <c r="AH8">
        <v>300</v>
      </c>
      <c r="AI8">
        <v>200</v>
      </c>
      <c r="AJ8">
        <v>50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>
        <v>600</v>
      </c>
      <c r="AT8" t="s">
        <v>54</v>
      </c>
      <c r="AU8" t="s">
        <v>54</v>
      </c>
      <c r="AV8" t="s">
        <v>54</v>
      </c>
      <c r="AW8" t="s">
        <v>54</v>
      </c>
      <c r="AX8">
        <v>50</v>
      </c>
      <c r="AZ8">
        <v>1850</v>
      </c>
      <c r="BA8" t="s">
        <v>55</v>
      </c>
    </row>
    <row r="9" spans="1:53" x14ac:dyDescent="0.45">
      <c r="A9">
        <v>8</v>
      </c>
      <c r="C9" t="str">
        <f>RIGHT([1]Raw_Granville_1850!B12,LEN([1]Raw_Granville_1850!B12)-1)</f>
        <v>Norman Persons</v>
      </c>
      <c r="D9" t="s">
        <v>62</v>
      </c>
      <c r="F9">
        <v>55</v>
      </c>
      <c r="G9">
        <v>10</v>
      </c>
      <c r="H9">
        <v>650</v>
      </c>
      <c r="I9">
        <v>40</v>
      </c>
      <c r="J9">
        <v>2</v>
      </c>
      <c r="K9" t="s">
        <v>54</v>
      </c>
      <c r="L9">
        <v>2</v>
      </c>
      <c r="M9" t="s">
        <v>54</v>
      </c>
      <c r="N9" t="s">
        <v>54</v>
      </c>
      <c r="O9" t="s">
        <v>54</v>
      </c>
      <c r="P9">
        <v>1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>
        <v>150</v>
      </c>
      <c r="AB9" t="s">
        <v>54</v>
      </c>
      <c r="AC9" t="s">
        <v>54</v>
      </c>
      <c r="AD9" t="s">
        <v>54</v>
      </c>
      <c r="AE9">
        <v>10</v>
      </c>
      <c r="AF9" t="s">
        <v>54</v>
      </c>
      <c r="AG9" t="s">
        <v>54</v>
      </c>
      <c r="AH9">
        <v>250</v>
      </c>
      <c r="AI9" t="s">
        <v>54</v>
      </c>
      <c r="AJ9">
        <v>20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>
        <v>200</v>
      </c>
      <c r="AT9" t="s">
        <v>54</v>
      </c>
      <c r="AU9" t="s">
        <v>54</v>
      </c>
      <c r="AV9" t="s">
        <v>54</v>
      </c>
      <c r="AW9" t="s">
        <v>54</v>
      </c>
      <c r="AX9">
        <v>50</v>
      </c>
      <c r="AZ9">
        <v>1850</v>
      </c>
      <c r="BA9" t="s">
        <v>55</v>
      </c>
    </row>
    <row r="10" spans="1:53" x14ac:dyDescent="0.45">
      <c r="A10">
        <v>9</v>
      </c>
      <c r="C10" t="str">
        <f>RIGHT([1]Raw_Granville_1850!B13,LEN([1]Raw_Granville_1850!B13)-1)</f>
        <v>Jahu Whateker</v>
      </c>
      <c r="D10" t="s">
        <v>63</v>
      </c>
      <c r="F10">
        <v>100</v>
      </c>
      <c r="G10">
        <v>30</v>
      </c>
      <c r="H10">
        <v>1800</v>
      </c>
      <c r="I10">
        <v>50</v>
      </c>
      <c r="J10">
        <v>2</v>
      </c>
      <c r="K10" t="s">
        <v>54</v>
      </c>
      <c r="L10">
        <v>3</v>
      </c>
      <c r="M10">
        <v>2</v>
      </c>
      <c r="N10">
        <v>2</v>
      </c>
      <c r="O10">
        <v>14</v>
      </c>
      <c r="P10">
        <v>2</v>
      </c>
      <c r="Q10">
        <v>415</v>
      </c>
      <c r="R10">
        <v>15</v>
      </c>
      <c r="S10" t="s">
        <v>54</v>
      </c>
      <c r="T10">
        <v>15</v>
      </c>
      <c r="U10">
        <v>10</v>
      </c>
      <c r="V10" t="s">
        <v>54</v>
      </c>
      <c r="W10" t="s">
        <v>54</v>
      </c>
      <c r="X10" t="s">
        <v>54</v>
      </c>
      <c r="Y10">
        <v>30</v>
      </c>
      <c r="Z10" t="s">
        <v>54</v>
      </c>
      <c r="AA10">
        <v>50</v>
      </c>
      <c r="AB10" t="s">
        <v>54</v>
      </c>
      <c r="AC10" t="s">
        <v>54</v>
      </c>
      <c r="AD10">
        <v>13</v>
      </c>
      <c r="AE10">
        <v>20</v>
      </c>
      <c r="AF10" t="s">
        <v>54</v>
      </c>
      <c r="AG10" t="s">
        <v>54</v>
      </c>
      <c r="AH10">
        <v>200</v>
      </c>
      <c r="AI10" t="s">
        <v>54</v>
      </c>
      <c r="AJ10">
        <v>40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>
        <v>350</v>
      </c>
      <c r="AT10" t="s">
        <v>54</v>
      </c>
      <c r="AU10" t="s">
        <v>54</v>
      </c>
      <c r="AV10" t="s">
        <v>54</v>
      </c>
      <c r="AW10" t="s">
        <v>54</v>
      </c>
      <c r="AX10">
        <v>30</v>
      </c>
      <c r="AZ10">
        <v>1850</v>
      </c>
      <c r="BA10" t="s">
        <v>55</v>
      </c>
    </row>
    <row r="11" spans="1:53" x14ac:dyDescent="0.45">
      <c r="A11">
        <v>10</v>
      </c>
      <c r="C11" t="str">
        <f>RIGHT([1]Raw_Granville_1850!B14,LEN([1]Raw_Granville_1850!B14)-1)</f>
        <v>Joseph Lanek</v>
      </c>
      <c r="D11" t="s">
        <v>64</v>
      </c>
      <c r="F11">
        <v>200</v>
      </c>
      <c r="G11">
        <v>200</v>
      </c>
      <c r="H11">
        <v>5000</v>
      </c>
      <c r="I11">
        <v>200</v>
      </c>
      <c r="J11">
        <v>10</v>
      </c>
      <c r="K11" t="s">
        <v>54</v>
      </c>
      <c r="L11">
        <v>8</v>
      </c>
      <c r="M11">
        <v>12</v>
      </c>
      <c r="N11">
        <v>19</v>
      </c>
      <c r="O11">
        <v>200</v>
      </c>
      <c r="P11">
        <v>2</v>
      </c>
      <c r="Q11">
        <v>1552</v>
      </c>
      <c r="R11">
        <v>23</v>
      </c>
      <c r="S11" t="s">
        <v>54</v>
      </c>
      <c r="T11">
        <v>40</v>
      </c>
      <c r="U11">
        <v>100</v>
      </c>
      <c r="V11" t="s">
        <v>54</v>
      </c>
      <c r="W11" t="s">
        <v>54</v>
      </c>
      <c r="X11" t="s">
        <v>54</v>
      </c>
      <c r="Y11">
        <v>600</v>
      </c>
      <c r="Z11" t="s">
        <v>54</v>
      </c>
      <c r="AA11">
        <v>200</v>
      </c>
      <c r="AB11" t="s">
        <v>54</v>
      </c>
      <c r="AC11" t="s">
        <v>54</v>
      </c>
      <c r="AD11">
        <v>15</v>
      </c>
      <c r="AE11">
        <v>20</v>
      </c>
      <c r="AF11" t="s">
        <v>54</v>
      </c>
      <c r="AG11" t="s">
        <v>54</v>
      </c>
      <c r="AH11">
        <v>300</v>
      </c>
      <c r="AI11">
        <v>500</v>
      </c>
      <c r="AJ11">
        <v>100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>
        <v>700</v>
      </c>
      <c r="AT11" t="s">
        <v>54</v>
      </c>
      <c r="AU11" t="s">
        <v>54</v>
      </c>
      <c r="AV11" t="s">
        <v>54</v>
      </c>
      <c r="AW11">
        <v>10</v>
      </c>
      <c r="AX11">
        <v>100</v>
      </c>
      <c r="AZ11">
        <v>1850</v>
      </c>
      <c r="BA11" t="s">
        <v>55</v>
      </c>
    </row>
    <row r="12" spans="1:53" x14ac:dyDescent="0.45">
      <c r="A12">
        <v>11</v>
      </c>
      <c r="C12" t="str">
        <f>RIGHT([1]Raw_Granville_1850!B15,LEN([1]Raw_Granville_1850!B15)-1)</f>
        <v>Larenza Chunch</v>
      </c>
      <c r="D12" t="s">
        <v>65</v>
      </c>
      <c r="F12">
        <v>90</v>
      </c>
      <c r="G12">
        <v>40</v>
      </c>
      <c r="H12">
        <v>700</v>
      </c>
      <c r="I12">
        <v>30</v>
      </c>
      <c r="J12">
        <v>1</v>
      </c>
      <c r="K12" t="s">
        <v>54</v>
      </c>
      <c r="L12">
        <v>3</v>
      </c>
      <c r="M12">
        <v>2</v>
      </c>
      <c r="N12" t="s">
        <v>54</v>
      </c>
      <c r="O12" t="s">
        <v>54</v>
      </c>
      <c r="P12">
        <v>3</v>
      </c>
      <c r="Q12">
        <v>300</v>
      </c>
      <c r="R12">
        <v>10</v>
      </c>
      <c r="S12" t="s">
        <v>54</v>
      </c>
      <c r="T12" t="s">
        <v>54</v>
      </c>
      <c r="U12">
        <v>25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>
        <v>200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>
        <v>300</v>
      </c>
      <c r="AI12" t="s">
        <v>54</v>
      </c>
      <c r="AJ12">
        <v>40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>
        <v>30</v>
      </c>
      <c r="AZ12">
        <v>1850</v>
      </c>
      <c r="BA12" t="s">
        <v>55</v>
      </c>
    </row>
    <row r="13" spans="1:53" x14ac:dyDescent="0.45">
      <c r="A13">
        <v>12</v>
      </c>
      <c r="C13" t="str">
        <f>RIGHT([1]Raw_Granville_1850!B16,LEN([1]Raw_Granville_1850!B16)-1)</f>
        <v>Charles Lamb</v>
      </c>
      <c r="D13" t="s">
        <v>66</v>
      </c>
      <c r="F13">
        <v>104</v>
      </c>
      <c r="G13">
        <v>16</v>
      </c>
      <c r="H13">
        <v>1400</v>
      </c>
      <c r="I13">
        <v>50</v>
      </c>
      <c r="J13">
        <v>2</v>
      </c>
      <c r="K13" t="s">
        <v>54</v>
      </c>
      <c r="L13">
        <v>6</v>
      </c>
      <c r="M13">
        <v>2</v>
      </c>
      <c r="N13" t="s">
        <v>54</v>
      </c>
      <c r="O13">
        <v>33</v>
      </c>
      <c r="P13">
        <v>1</v>
      </c>
      <c r="Q13">
        <v>430</v>
      </c>
      <c r="R13">
        <v>16</v>
      </c>
      <c r="S13" t="s">
        <v>54</v>
      </c>
      <c r="T13">
        <v>30</v>
      </c>
      <c r="U13">
        <v>25</v>
      </c>
      <c r="V13" t="s">
        <v>54</v>
      </c>
      <c r="W13" t="s">
        <v>54</v>
      </c>
      <c r="X13" t="s">
        <v>54</v>
      </c>
      <c r="Y13">
        <v>112</v>
      </c>
      <c r="Z13">
        <v>6</v>
      </c>
      <c r="AA13">
        <v>100</v>
      </c>
      <c r="AB13" t="s">
        <v>54</v>
      </c>
      <c r="AC13" t="s">
        <v>54</v>
      </c>
      <c r="AD13">
        <v>20</v>
      </c>
      <c r="AE13">
        <v>30</v>
      </c>
      <c r="AF13" t="s">
        <v>54</v>
      </c>
      <c r="AG13" t="s">
        <v>54</v>
      </c>
      <c r="AH13">
        <v>200</v>
      </c>
      <c r="AI13">
        <v>400</v>
      </c>
      <c r="AJ13">
        <v>25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>
        <v>400</v>
      </c>
      <c r="AT13" t="s">
        <v>54</v>
      </c>
      <c r="AU13" t="s">
        <v>54</v>
      </c>
      <c r="AV13" t="s">
        <v>54</v>
      </c>
      <c r="AW13" t="s">
        <v>54</v>
      </c>
      <c r="AX13">
        <v>50</v>
      </c>
      <c r="AZ13">
        <v>1850</v>
      </c>
      <c r="BA13" t="s">
        <v>55</v>
      </c>
    </row>
    <row r="14" spans="1:53" x14ac:dyDescent="0.45">
      <c r="A14">
        <v>13</v>
      </c>
      <c r="C14" t="str">
        <f>RIGHT([1]Raw_Granville_1850!B17,LEN([1]Raw_Granville_1850!B17)-1)</f>
        <v>Alden 11</v>
      </c>
      <c r="D14" t="s">
        <v>67</v>
      </c>
      <c r="F14">
        <v>70</v>
      </c>
      <c r="G14">
        <v>50</v>
      </c>
      <c r="H14">
        <v>1300</v>
      </c>
      <c r="I14">
        <v>60</v>
      </c>
      <c r="J14">
        <v>2</v>
      </c>
      <c r="K14" t="s">
        <v>54</v>
      </c>
      <c r="L14">
        <v>3</v>
      </c>
      <c r="M14">
        <v>2</v>
      </c>
      <c r="N14">
        <v>12</v>
      </c>
      <c r="O14">
        <v>18</v>
      </c>
      <c r="P14">
        <v>2</v>
      </c>
      <c r="Q14">
        <v>420</v>
      </c>
      <c r="R14">
        <v>10</v>
      </c>
      <c r="S14" t="s">
        <v>54</v>
      </c>
      <c r="T14">
        <v>30</v>
      </c>
      <c r="U14">
        <v>30</v>
      </c>
      <c r="V14" t="s">
        <v>54</v>
      </c>
      <c r="W14" t="s">
        <v>54</v>
      </c>
      <c r="X14" t="s">
        <v>54</v>
      </c>
      <c r="Y14">
        <v>60</v>
      </c>
      <c r="Z14" t="s">
        <v>54</v>
      </c>
      <c r="AA14">
        <v>200</v>
      </c>
      <c r="AB14" t="s">
        <v>54</v>
      </c>
      <c r="AC14" t="s">
        <v>54</v>
      </c>
      <c r="AD14">
        <v>20</v>
      </c>
      <c r="AE14">
        <v>10</v>
      </c>
      <c r="AF14" t="s">
        <v>54</v>
      </c>
      <c r="AG14" t="s">
        <v>54</v>
      </c>
      <c r="AH14">
        <v>200</v>
      </c>
      <c r="AI14">
        <v>200</v>
      </c>
      <c r="AJ14">
        <v>30</v>
      </c>
      <c r="AK14" t="s">
        <v>54</v>
      </c>
      <c r="AL14">
        <v>1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>
        <v>250</v>
      </c>
      <c r="AT14" t="s">
        <v>54</v>
      </c>
      <c r="AU14" t="s">
        <v>54</v>
      </c>
      <c r="AV14" t="s">
        <v>54</v>
      </c>
      <c r="AW14" t="s">
        <v>54</v>
      </c>
      <c r="AX14">
        <v>50</v>
      </c>
      <c r="AZ14">
        <v>1850</v>
      </c>
      <c r="BA14" t="s">
        <v>55</v>
      </c>
    </row>
    <row r="15" spans="1:53" x14ac:dyDescent="0.45">
      <c r="A15">
        <v>14</v>
      </c>
      <c r="C15" t="str">
        <f>RIGHT([1]Raw_Granville_1850!B18,LEN([1]Raw_Granville_1850!B18)-1)</f>
        <v>John binton</v>
      </c>
      <c r="D15" t="s">
        <v>68</v>
      </c>
      <c r="F15">
        <v>100</v>
      </c>
      <c r="G15">
        <v>80</v>
      </c>
      <c r="H15">
        <v>2000</v>
      </c>
      <c r="I15">
        <v>100</v>
      </c>
      <c r="J15">
        <v>7</v>
      </c>
      <c r="K15" t="s">
        <v>54</v>
      </c>
      <c r="L15">
        <v>5</v>
      </c>
      <c r="M15">
        <v>2</v>
      </c>
      <c r="N15">
        <v>10</v>
      </c>
      <c r="O15">
        <v>90</v>
      </c>
      <c r="P15">
        <v>6</v>
      </c>
      <c r="Q15">
        <v>985</v>
      </c>
      <c r="R15">
        <v>30</v>
      </c>
      <c r="S15">
        <v>3</v>
      </c>
      <c r="T15">
        <v>25</v>
      </c>
      <c r="U15">
        <v>75</v>
      </c>
      <c r="V15" t="s">
        <v>54</v>
      </c>
      <c r="W15" t="s">
        <v>54</v>
      </c>
      <c r="X15" t="s">
        <v>54</v>
      </c>
      <c r="Y15">
        <v>270</v>
      </c>
      <c r="Z15">
        <v>2</v>
      </c>
      <c r="AA15">
        <v>225</v>
      </c>
      <c r="AB15" t="s">
        <v>54</v>
      </c>
      <c r="AC15" t="s">
        <v>54</v>
      </c>
      <c r="AD15">
        <v>12</v>
      </c>
      <c r="AE15">
        <v>50</v>
      </c>
      <c r="AF15" t="s">
        <v>54</v>
      </c>
      <c r="AG15" t="s">
        <v>54</v>
      </c>
      <c r="AH15">
        <v>400</v>
      </c>
      <c r="AI15">
        <v>100</v>
      </c>
      <c r="AJ15">
        <v>30</v>
      </c>
      <c r="AK15" t="s">
        <v>54</v>
      </c>
      <c r="AL15">
        <v>1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>
        <v>300</v>
      </c>
      <c r="AT15" t="s">
        <v>54</v>
      </c>
      <c r="AU15" t="s">
        <v>54</v>
      </c>
      <c r="AV15" t="s">
        <v>54</v>
      </c>
      <c r="AW15" t="s">
        <v>54</v>
      </c>
      <c r="AX15">
        <v>35</v>
      </c>
      <c r="AZ15">
        <v>1850</v>
      </c>
      <c r="BA15" t="s">
        <v>55</v>
      </c>
    </row>
    <row r="16" spans="1:53" x14ac:dyDescent="0.45">
      <c r="A16">
        <v>15</v>
      </c>
      <c r="C16" t="str">
        <f>RIGHT([1]Raw_Granville_1850!B19,LEN([1]Raw_Granville_1850!B19)-1)</f>
        <v>Rom Land</v>
      </c>
      <c r="D16" t="s">
        <v>69</v>
      </c>
      <c r="F16">
        <v>100</v>
      </c>
      <c r="G16">
        <v>70</v>
      </c>
      <c r="H16">
        <v>2000</v>
      </c>
      <c r="I16">
        <v>100</v>
      </c>
      <c r="J16">
        <v>2</v>
      </c>
      <c r="K16" t="s">
        <v>54</v>
      </c>
      <c r="L16">
        <v>6</v>
      </c>
      <c r="M16">
        <v>2</v>
      </c>
      <c r="N16">
        <v>27</v>
      </c>
      <c r="O16">
        <v>42</v>
      </c>
      <c r="P16">
        <v>3</v>
      </c>
      <c r="Q16">
        <v>742</v>
      </c>
      <c r="R16">
        <v>16</v>
      </c>
      <c r="S16">
        <v>3</v>
      </c>
      <c r="T16">
        <v>30</v>
      </c>
      <c r="U16">
        <v>50</v>
      </c>
      <c r="V16" t="s">
        <v>54</v>
      </c>
      <c r="W16" t="s">
        <v>54</v>
      </c>
      <c r="X16" t="s">
        <v>54</v>
      </c>
      <c r="Y16">
        <v>126</v>
      </c>
      <c r="Z16">
        <v>10</v>
      </c>
      <c r="AA16">
        <v>200</v>
      </c>
      <c r="AB16" t="s">
        <v>54</v>
      </c>
      <c r="AC16" t="s">
        <v>54</v>
      </c>
      <c r="AD16">
        <v>30</v>
      </c>
      <c r="AE16">
        <v>25</v>
      </c>
      <c r="AF16" t="s">
        <v>54</v>
      </c>
      <c r="AG16" t="s">
        <v>54</v>
      </c>
      <c r="AH16">
        <v>400</v>
      </c>
      <c r="AI16">
        <v>200</v>
      </c>
      <c r="AJ16">
        <v>50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>
        <v>450</v>
      </c>
      <c r="AT16" t="s">
        <v>54</v>
      </c>
      <c r="AU16" t="s">
        <v>54</v>
      </c>
      <c r="AV16" t="s">
        <v>54</v>
      </c>
      <c r="AW16">
        <v>20</v>
      </c>
      <c r="AX16">
        <v>50</v>
      </c>
      <c r="AZ16">
        <v>1850</v>
      </c>
      <c r="BA16" t="s">
        <v>55</v>
      </c>
    </row>
    <row r="17" spans="1:53" x14ac:dyDescent="0.45">
      <c r="A17">
        <v>16</v>
      </c>
      <c r="C17" t="str">
        <f>RIGHT([1]Raw_Granville_1850!B20,LEN([1]Raw_Granville_1850!B20)-1)</f>
        <v>Elies</v>
      </c>
      <c r="D17" t="s">
        <v>70</v>
      </c>
      <c r="F17">
        <v>110</v>
      </c>
      <c r="G17">
        <v>60</v>
      </c>
      <c r="H17">
        <v>2000</v>
      </c>
      <c r="I17">
        <v>100</v>
      </c>
      <c r="J17">
        <v>4</v>
      </c>
      <c r="K17" t="s">
        <v>54</v>
      </c>
      <c r="L17">
        <v>3</v>
      </c>
      <c r="M17">
        <v>2</v>
      </c>
      <c r="N17">
        <v>1</v>
      </c>
      <c r="O17">
        <v>43</v>
      </c>
      <c r="P17">
        <v>1</v>
      </c>
      <c r="Q17">
        <v>367</v>
      </c>
      <c r="R17" t="s">
        <v>54</v>
      </c>
      <c r="S17">
        <v>15</v>
      </c>
      <c r="T17">
        <v>45</v>
      </c>
      <c r="U17">
        <v>50</v>
      </c>
      <c r="V17" t="s">
        <v>54</v>
      </c>
      <c r="W17" t="s">
        <v>54</v>
      </c>
      <c r="X17" t="s">
        <v>54</v>
      </c>
      <c r="Y17">
        <v>130</v>
      </c>
      <c r="Z17">
        <v>20</v>
      </c>
      <c r="AA17">
        <v>250</v>
      </c>
      <c r="AB17" t="s">
        <v>54</v>
      </c>
      <c r="AC17" t="s">
        <v>54</v>
      </c>
      <c r="AD17">
        <v>30</v>
      </c>
      <c r="AE17" t="s">
        <v>54</v>
      </c>
      <c r="AF17" t="s">
        <v>54</v>
      </c>
      <c r="AG17" t="s">
        <v>54</v>
      </c>
      <c r="AH17">
        <v>300</v>
      </c>
      <c r="AI17">
        <v>300</v>
      </c>
      <c r="AJ17">
        <v>50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>
        <v>400</v>
      </c>
      <c r="AT17" t="s">
        <v>54</v>
      </c>
      <c r="AU17" t="s">
        <v>54</v>
      </c>
      <c r="AV17" t="s">
        <v>54</v>
      </c>
      <c r="AW17">
        <v>20</v>
      </c>
      <c r="AX17">
        <v>50</v>
      </c>
      <c r="AZ17">
        <v>1850</v>
      </c>
      <c r="BA17" t="s">
        <v>55</v>
      </c>
    </row>
    <row r="18" spans="1:53" x14ac:dyDescent="0.45">
      <c r="A18">
        <v>17</v>
      </c>
      <c r="C18" t="str">
        <f>RIGHT([1]Raw_Granville_1850!B21,LEN([1]Raw_Granville_1850!B21)-1)</f>
        <v>David wiley</v>
      </c>
      <c r="D18" t="s">
        <v>71</v>
      </c>
      <c r="F18">
        <v>75</v>
      </c>
      <c r="G18">
        <v>40</v>
      </c>
      <c r="H18">
        <v>1000</v>
      </c>
      <c r="I18">
        <v>60</v>
      </c>
      <c r="J18">
        <v>2</v>
      </c>
      <c r="K18" t="s">
        <v>54</v>
      </c>
      <c r="L18">
        <v>2</v>
      </c>
      <c r="M18">
        <v>2</v>
      </c>
      <c r="N18">
        <v>4</v>
      </c>
      <c r="O18">
        <v>28</v>
      </c>
      <c r="P18">
        <v>2</v>
      </c>
      <c r="Q18">
        <v>300</v>
      </c>
      <c r="R18" t="s">
        <v>54</v>
      </c>
      <c r="S18" t="s">
        <v>54</v>
      </c>
      <c r="T18">
        <v>40</v>
      </c>
      <c r="U18">
        <v>50</v>
      </c>
      <c r="V18" t="s">
        <v>54</v>
      </c>
      <c r="W18" t="s">
        <v>54</v>
      </c>
      <c r="X18" t="s">
        <v>54</v>
      </c>
      <c r="Y18">
        <v>88</v>
      </c>
      <c r="Z18" t="s">
        <v>54</v>
      </c>
      <c r="AA18">
        <v>200</v>
      </c>
      <c r="AB18" t="s">
        <v>54</v>
      </c>
      <c r="AC18" t="s">
        <v>54</v>
      </c>
      <c r="AD18" t="s">
        <v>54</v>
      </c>
      <c r="AE18">
        <v>10</v>
      </c>
      <c r="AF18" t="s">
        <v>54</v>
      </c>
      <c r="AG18" t="s">
        <v>54</v>
      </c>
      <c r="AH18">
        <v>150</v>
      </c>
      <c r="AI18">
        <v>200</v>
      </c>
      <c r="AJ18">
        <v>25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>
        <v>50</v>
      </c>
      <c r="AZ18">
        <v>1850</v>
      </c>
      <c r="BA18" t="s">
        <v>55</v>
      </c>
    </row>
    <row r="19" spans="1:53" x14ac:dyDescent="0.45">
      <c r="A19">
        <v>18</v>
      </c>
      <c r="C19" t="str">
        <f>RIGHT([1]Raw_Granville_1850!B22,LEN([1]Raw_Granville_1850!B22)-1)</f>
        <v>Ian Bliss</v>
      </c>
      <c r="D19" t="s">
        <v>72</v>
      </c>
      <c r="F19">
        <v>100</v>
      </c>
      <c r="G19">
        <v>60</v>
      </c>
      <c r="H19">
        <v>2000</v>
      </c>
      <c r="I19">
        <v>100</v>
      </c>
      <c r="J19">
        <v>2</v>
      </c>
      <c r="K19" t="s">
        <v>54</v>
      </c>
      <c r="L19">
        <v>4</v>
      </c>
      <c r="M19">
        <v>2</v>
      </c>
      <c r="N19">
        <v>8</v>
      </c>
      <c r="O19">
        <v>100</v>
      </c>
      <c r="P19">
        <v>1</v>
      </c>
      <c r="Q19">
        <v>528</v>
      </c>
      <c r="R19">
        <v>40</v>
      </c>
      <c r="S19">
        <v>10</v>
      </c>
      <c r="T19">
        <v>30</v>
      </c>
      <c r="U19">
        <v>45</v>
      </c>
      <c r="V19" t="s">
        <v>54</v>
      </c>
      <c r="W19" t="s">
        <v>54</v>
      </c>
      <c r="X19" t="s">
        <v>54</v>
      </c>
      <c r="Y19">
        <v>350</v>
      </c>
      <c r="Z19">
        <v>4</v>
      </c>
      <c r="AA19">
        <v>300</v>
      </c>
      <c r="AB19" t="s">
        <v>54</v>
      </c>
      <c r="AC19" t="s">
        <v>54</v>
      </c>
      <c r="AD19">
        <v>30</v>
      </c>
      <c r="AE19">
        <v>25</v>
      </c>
      <c r="AF19" t="s">
        <v>54</v>
      </c>
      <c r="AG19" t="s">
        <v>54</v>
      </c>
      <c r="AH19">
        <v>400</v>
      </c>
      <c r="AI19">
        <v>300</v>
      </c>
      <c r="AJ19">
        <v>50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>
        <v>400</v>
      </c>
      <c r="AT19" t="s">
        <v>54</v>
      </c>
      <c r="AU19" t="s">
        <v>54</v>
      </c>
      <c r="AV19" t="s">
        <v>54</v>
      </c>
      <c r="AW19">
        <v>25</v>
      </c>
      <c r="AX19">
        <v>75</v>
      </c>
      <c r="AZ19">
        <v>1850</v>
      </c>
      <c r="BA19" t="s">
        <v>55</v>
      </c>
    </row>
    <row r="20" spans="1:53" x14ac:dyDescent="0.45">
      <c r="A20">
        <v>19</v>
      </c>
      <c r="C20" t="str">
        <f>RIGHT([1]Raw_Granville_1850!B23,LEN([1]Raw_Granville_1850!B23)-1)</f>
        <v>Laur Chough</v>
      </c>
      <c r="D20" t="s">
        <v>73</v>
      </c>
      <c r="F20">
        <v>60</v>
      </c>
      <c r="G20">
        <v>70</v>
      </c>
      <c r="H20">
        <v>1000</v>
      </c>
      <c r="I20">
        <v>45</v>
      </c>
      <c r="J20">
        <v>1</v>
      </c>
      <c r="K20" t="s">
        <v>54</v>
      </c>
      <c r="L20">
        <v>2</v>
      </c>
      <c r="M20">
        <v>2</v>
      </c>
      <c r="N20">
        <v>4</v>
      </c>
      <c r="O20">
        <v>14</v>
      </c>
      <c r="P20">
        <v>2</v>
      </c>
      <c r="Q20">
        <v>287</v>
      </c>
      <c r="R20">
        <v>10</v>
      </c>
      <c r="S20" t="s">
        <v>54</v>
      </c>
      <c r="T20">
        <v>20</v>
      </c>
      <c r="U20">
        <v>10</v>
      </c>
      <c r="V20" t="s">
        <v>54</v>
      </c>
      <c r="W20" t="s">
        <v>54</v>
      </c>
      <c r="X20" t="s">
        <v>54</v>
      </c>
      <c r="Y20">
        <v>45</v>
      </c>
      <c r="Z20">
        <v>2</v>
      </c>
      <c r="AA20">
        <v>200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>
        <v>100</v>
      </c>
      <c r="AI20">
        <v>100</v>
      </c>
      <c r="AJ20">
        <v>25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>
        <v>150</v>
      </c>
      <c r="AT20" t="s">
        <v>54</v>
      </c>
      <c r="AU20" t="s">
        <v>54</v>
      </c>
      <c r="AV20" t="s">
        <v>54</v>
      </c>
      <c r="AW20" t="s">
        <v>54</v>
      </c>
      <c r="AX20">
        <v>40</v>
      </c>
      <c r="AZ20">
        <v>1850</v>
      </c>
      <c r="BA20" t="s">
        <v>55</v>
      </c>
    </row>
    <row r="21" spans="1:53" x14ac:dyDescent="0.45">
      <c r="A21">
        <v>20</v>
      </c>
      <c r="C21" t="str">
        <f>RIGHT([1]Raw_Granville_1850!B24,LEN([1]Raw_Granville_1850!B24)-1)</f>
        <v>David Landle</v>
      </c>
      <c r="D21" t="s">
        <v>74</v>
      </c>
      <c r="F21">
        <v>60</v>
      </c>
      <c r="G21">
        <v>40</v>
      </c>
      <c r="H21">
        <v>1000</v>
      </c>
      <c r="I21">
        <v>60</v>
      </c>
      <c r="J21">
        <v>1</v>
      </c>
      <c r="K21" t="s">
        <v>54</v>
      </c>
      <c r="L21">
        <v>3</v>
      </c>
      <c r="M21">
        <v>2</v>
      </c>
      <c r="N21">
        <v>2</v>
      </c>
      <c r="O21">
        <v>28</v>
      </c>
      <c r="P21">
        <v>1</v>
      </c>
      <c r="Q21">
        <v>250</v>
      </c>
      <c r="R21">
        <v>12</v>
      </c>
      <c r="S21">
        <v>8</v>
      </c>
      <c r="T21">
        <v>20</v>
      </c>
      <c r="U21">
        <v>30</v>
      </c>
      <c r="V21" t="s">
        <v>54</v>
      </c>
      <c r="W21" t="s">
        <v>54</v>
      </c>
      <c r="X21" t="s">
        <v>54</v>
      </c>
      <c r="Y21">
        <v>100</v>
      </c>
      <c r="Z21" t="s">
        <v>54</v>
      </c>
      <c r="AA21">
        <v>200</v>
      </c>
      <c r="AB21" t="s">
        <v>54</v>
      </c>
      <c r="AC21" t="s">
        <v>54</v>
      </c>
      <c r="AD21">
        <v>10</v>
      </c>
      <c r="AE21" t="s">
        <v>54</v>
      </c>
      <c r="AF21" t="s">
        <v>54</v>
      </c>
      <c r="AG21" t="s">
        <v>54</v>
      </c>
      <c r="AH21">
        <v>150</v>
      </c>
      <c r="AI21">
        <v>100</v>
      </c>
      <c r="AJ21">
        <v>25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>
        <v>200</v>
      </c>
      <c r="AT21" t="s">
        <v>54</v>
      </c>
      <c r="AU21" t="s">
        <v>54</v>
      </c>
      <c r="AV21" t="s">
        <v>54</v>
      </c>
      <c r="AW21">
        <v>10</v>
      </c>
      <c r="AX21">
        <v>25</v>
      </c>
      <c r="AZ21">
        <v>1850</v>
      </c>
      <c r="BA21" t="s">
        <v>55</v>
      </c>
    </row>
    <row r="22" spans="1:53" x14ac:dyDescent="0.45">
      <c r="A22">
        <v>21</v>
      </c>
      <c r="C22" t="str">
        <f>RIGHT([1]Raw_Granville_1850!B25,LEN([1]Raw_Granville_1850!B25)-1)</f>
        <v>Chailes Orition</v>
      </c>
      <c r="D22" t="s">
        <v>75</v>
      </c>
      <c r="F22">
        <v>70</v>
      </c>
      <c r="G22">
        <v>30</v>
      </c>
      <c r="H22">
        <v>1000</v>
      </c>
      <c r="I22">
        <v>70</v>
      </c>
      <c r="J22">
        <v>2</v>
      </c>
      <c r="K22" t="s">
        <v>54</v>
      </c>
      <c r="L22">
        <v>4</v>
      </c>
      <c r="M22" t="s">
        <v>54</v>
      </c>
      <c r="N22">
        <v>2</v>
      </c>
      <c r="O22">
        <v>30</v>
      </c>
      <c r="P22">
        <v>2</v>
      </c>
      <c r="Q22">
        <v>265</v>
      </c>
      <c r="R22" t="s">
        <v>54</v>
      </c>
      <c r="S22">
        <v>10</v>
      </c>
      <c r="T22">
        <v>20</v>
      </c>
      <c r="U22">
        <v>75</v>
      </c>
      <c r="V22" t="s">
        <v>54</v>
      </c>
      <c r="W22" t="s">
        <v>54</v>
      </c>
      <c r="X22" t="s">
        <v>54</v>
      </c>
      <c r="Y22">
        <v>100</v>
      </c>
      <c r="Z22" t="s">
        <v>54</v>
      </c>
      <c r="AA22">
        <v>200</v>
      </c>
      <c r="AB22" t="s">
        <v>54</v>
      </c>
      <c r="AC22" t="s">
        <v>54</v>
      </c>
      <c r="AD22">
        <v>20</v>
      </c>
      <c r="AE22">
        <v>10</v>
      </c>
      <c r="AF22" t="s">
        <v>54</v>
      </c>
      <c r="AG22" t="s">
        <v>54</v>
      </c>
      <c r="AH22">
        <v>200</v>
      </c>
      <c r="AI22" t="s">
        <v>54</v>
      </c>
      <c r="AJ22">
        <v>25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>
        <v>30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>
        <v>20</v>
      </c>
      <c r="AX22">
        <v>30</v>
      </c>
      <c r="AZ22">
        <v>1850</v>
      </c>
      <c r="BA22" t="s">
        <v>55</v>
      </c>
    </row>
    <row r="23" spans="1:53" x14ac:dyDescent="0.45">
      <c r="A23">
        <v>22</v>
      </c>
      <c r="C23" t="str">
        <f>RIGHT([1]Raw_Granville_1850!B26,LEN([1]Raw_Granville_1850!B26)-1)</f>
        <v>cam For</v>
      </c>
      <c r="D23" t="s">
        <v>76</v>
      </c>
      <c r="F23">
        <v>66</v>
      </c>
      <c r="G23">
        <v>44</v>
      </c>
      <c r="H23">
        <v>1500</v>
      </c>
      <c r="I23">
        <v>100</v>
      </c>
      <c r="J23">
        <v>1</v>
      </c>
      <c r="K23" t="s">
        <v>54</v>
      </c>
      <c r="L23">
        <v>4</v>
      </c>
      <c r="M23">
        <v>2</v>
      </c>
      <c r="N23">
        <v>2</v>
      </c>
      <c r="O23">
        <v>14</v>
      </c>
      <c r="P23">
        <v>2</v>
      </c>
      <c r="Q23">
        <v>350</v>
      </c>
      <c r="R23">
        <v>7</v>
      </c>
      <c r="S23" t="s">
        <v>54</v>
      </c>
      <c r="T23">
        <v>40</v>
      </c>
      <c r="U23">
        <v>80</v>
      </c>
      <c r="V23" t="s">
        <v>54</v>
      </c>
      <c r="W23" t="s">
        <v>54</v>
      </c>
      <c r="X23" t="s">
        <v>54</v>
      </c>
      <c r="Y23">
        <v>45</v>
      </c>
      <c r="Z23">
        <v>2</v>
      </c>
      <c r="AA23">
        <v>50</v>
      </c>
      <c r="AB23" t="s">
        <v>54</v>
      </c>
      <c r="AC23" t="s">
        <v>54</v>
      </c>
      <c r="AD23">
        <v>20</v>
      </c>
      <c r="AE23" t="s">
        <v>54</v>
      </c>
      <c r="AF23" t="s">
        <v>54</v>
      </c>
      <c r="AG23" t="s">
        <v>54</v>
      </c>
      <c r="AH23">
        <v>350</v>
      </c>
      <c r="AI23">
        <v>150</v>
      </c>
      <c r="AJ23">
        <v>30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>
        <v>400</v>
      </c>
      <c r="AT23" t="s">
        <v>54</v>
      </c>
      <c r="AU23" t="s">
        <v>54</v>
      </c>
      <c r="AV23" t="s">
        <v>54</v>
      </c>
      <c r="AW23" t="s">
        <v>54</v>
      </c>
      <c r="AX23">
        <v>40</v>
      </c>
      <c r="AZ23">
        <v>1850</v>
      </c>
      <c r="BA23" t="s">
        <v>55</v>
      </c>
    </row>
    <row r="24" spans="1:53" x14ac:dyDescent="0.45">
      <c r="A24">
        <v>23</v>
      </c>
      <c r="C24" t="str">
        <f>RIGHT([1]Raw_Granville_1850!B27,LEN([1]Raw_Granville_1850!B27)-1)</f>
        <v>Asa</v>
      </c>
      <c r="D24" t="s">
        <v>77</v>
      </c>
      <c r="F24">
        <v>50</v>
      </c>
      <c r="G24">
        <v>100</v>
      </c>
      <c r="H24">
        <v>1000</v>
      </c>
      <c r="I24">
        <v>60</v>
      </c>
      <c r="J24">
        <v>1</v>
      </c>
      <c r="K24" t="s">
        <v>54</v>
      </c>
      <c r="L24">
        <v>2</v>
      </c>
      <c r="M24">
        <v>2</v>
      </c>
      <c r="N24">
        <v>6</v>
      </c>
      <c r="O24">
        <v>20</v>
      </c>
      <c r="P24">
        <v>4</v>
      </c>
      <c r="Q24">
        <v>385</v>
      </c>
      <c r="R24" t="s">
        <v>54</v>
      </c>
      <c r="S24" t="s">
        <v>54</v>
      </c>
      <c r="T24">
        <v>20</v>
      </c>
      <c r="U24">
        <v>80</v>
      </c>
      <c r="V24" t="s">
        <v>54</v>
      </c>
      <c r="W24" t="s">
        <v>54</v>
      </c>
      <c r="X24" t="s">
        <v>54</v>
      </c>
      <c r="Y24">
        <v>60</v>
      </c>
      <c r="Z24">
        <v>5</v>
      </c>
      <c r="AA24">
        <v>50</v>
      </c>
      <c r="AB24" t="s">
        <v>54</v>
      </c>
      <c r="AC24" t="s">
        <v>54</v>
      </c>
      <c r="AD24">
        <v>10</v>
      </c>
      <c r="AE24">
        <v>10</v>
      </c>
      <c r="AF24" t="s">
        <v>54</v>
      </c>
      <c r="AG24" t="s">
        <v>54</v>
      </c>
      <c r="AH24">
        <v>200</v>
      </c>
      <c r="AI24">
        <v>200</v>
      </c>
      <c r="AJ24">
        <v>20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 t="s">
        <v>54</v>
      </c>
      <c r="AX24">
        <v>50</v>
      </c>
      <c r="AZ24">
        <v>1850</v>
      </c>
      <c r="BA24" t="s">
        <v>55</v>
      </c>
    </row>
    <row r="25" spans="1:53" x14ac:dyDescent="0.45">
      <c r="A25">
        <v>24</v>
      </c>
      <c r="C25" t="str">
        <f>RIGHT([1]Raw_Granville_1850!B28,LEN([1]Raw_Granville_1850!B28)-1)</f>
        <v>Olivin cloves</v>
      </c>
      <c r="D25" t="s">
        <v>78</v>
      </c>
      <c r="F25">
        <v>50</v>
      </c>
      <c r="G25">
        <v>100</v>
      </c>
      <c r="H25">
        <v>1000</v>
      </c>
      <c r="I25">
        <v>75</v>
      </c>
      <c r="J25" t="s">
        <v>54</v>
      </c>
      <c r="K25" t="s">
        <v>54</v>
      </c>
      <c r="L25">
        <v>2</v>
      </c>
      <c r="M25">
        <v>2</v>
      </c>
      <c r="N25">
        <v>4</v>
      </c>
      <c r="O25" t="s">
        <v>54</v>
      </c>
      <c r="P25">
        <v>3</v>
      </c>
      <c r="Q25">
        <v>200</v>
      </c>
      <c r="R25">
        <v>8</v>
      </c>
      <c r="S25">
        <v>10</v>
      </c>
      <c r="T25" t="s">
        <v>54</v>
      </c>
      <c r="U25">
        <v>20</v>
      </c>
      <c r="V25" t="s">
        <v>54</v>
      </c>
      <c r="W25" t="s">
        <v>54</v>
      </c>
      <c r="X25" t="s">
        <v>54</v>
      </c>
      <c r="Y25" t="s">
        <v>54</v>
      </c>
      <c r="Z25">
        <v>2</v>
      </c>
      <c r="AA25">
        <v>150</v>
      </c>
      <c r="AB25" t="s">
        <v>54</v>
      </c>
      <c r="AC25" t="s">
        <v>54</v>
      </c>
      <c r="AD25">
        <v>10</v>
      </c>
      <c r="AE25" t="s">
        <v>54</v>
      </c>
      <c r="AF25" t="s">
        <v>54</v>
      </c>
      <c r="AG25" t="s">
        <v>54</v>
      </c>
      <c r="AH25">
        <v>250</v>
      </c>
      <c r="AI25">
        <v>100</v>
      </c>
      <c r="AJ25">
        <v>15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>
        <v>200</v>
      </c>
      <c r="AT25" t="s">
        <v>54</v>
      </c>
      <c r="AU25" t="s">
        <v>54</v>
      </c>
      <c r="AV25" t="s">
        <v>54</v>
      </c>
      <c r="AW25">
        <v>20</v>
      </c>
      <c r="AX25">
        <v>40</v>
      </c>
      <c r="AZ25">
        <v>1850</v>
      </c>
      <c r="BA25" t="s">
        <v>55</v>
      </c>
    </row>
    <row r="26" spans="1:53" x14ac:dyDescent="0.45">
      <c r="A26">
        <v>25</v>
      </c>
      <c r="C26" t="str">
        <f>RIGHT([1]Raw_Granville_1850!B29,LEN([1]Raw_Granville_1850!B29)-1)</f>
        <v>Wem Handall</v>
      </c>
      <c r="D26" t="s">
        <v>79</v>
      </c>
      <c r="F26">
        <v>100</v>
      </c>
      <c r="G26">
        <v>25</v>
      </c>
      <c r="H26">
        <v>1350</v>
      </c>
      <c r="I26">
        <v>60</v>
      </c>
      <c r="J26">
        <v>1</v>
      </c>
      <c r="K26" t="s">
        <v>54</v>
      </c>
      <c r="L26">
        <v>3</v>
      </c>
      <c r="M26">
        <v>2</v>
      </c>
      <c r="N26" t="s">
        <v>54</v>
      </c>
      <c r="O26" t="s">
        <v>54</v>
      </c>
      <c r="P26">
        <v>1</v>
      </c>
      <c r="Q26">
        <v>200</v>
      </c>
      <c r="R26">
        <v>10</v>
      </c>
      <c r="S26" t="s">
        <v>54</v>
      </c>
      <c r="T26">
        <v>25</v>
      </c>
      <c r="U26">
        <v>25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>
        <v>150</v>
      </c>
      <c r="AB26" t="s">
        <v>54</v>
      </c>
      <c r="AC26" t="s">
        <v>54</v>
      </c>
      <c r="AD26">
        <v>25</v>
      </c>
      <c r="AE26">
        <v>10</v>
      </c>
      <c r="AF26" t="s">
        <v>54</v>
      </c>
      <c r="AG26" t="s">
        <v>54</v>
      </c>
      <c r="AH26">
        <v>300</v>
      </c>
      <c r="AI26" t="s">
        <v>54</v>
      </c>
      <c r="AJ26">
        <v>30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>
        <v>150</v>
      </c>
      <c r="AT26" t="s">
        <v>54</v>
      </c>
      <c r="AU26" t="s">
        <v>54</v>
      </c>
      <c r="AV26" t="s">
        <v>54</v>
      </c>
      <c r="AW26" t="s">
        <v>54</v>
      </c>
      <c r="AX26">
        <v>30</v>
      </c>
      <c r="AZ26">
        <v>1850</v>
      </c>
      <c r="BA26" t="s">
        <v>55</v>
      </c>
    </row>
    <row r="27" spans="1:53" x14ac:dyDescent="0.45">
      <c r="A27">
        <v>26</v>
      </c>
      <c r="C27" t="str">
        <f>RIGHT([1]Raw_Granville_1850!B30,LEN([1]Raw_Granville_1850!B30)-1)</f>
        <v>Jasiah Lewis</v>
      </c>
      <c r="D27" t="s">
        <v>80</v>
      </c>
      <c r="F27">
        <v>50</v>
      </c>
      <c r="G27">
        <v>50</v>
      </c>
      <c r="H27">
        <v>1200</v>
      </c>
      <c r="I27">
        <v>70</v>
      </c>
      <c r="J27" t="s">
        <v>54</v>
      </c>
      <c r="K27" t="s">
        <v>54</v>
      </c>
      <c r="L27">
        <v>2</v>
      </c>
      <c r="M27">
        <v>2</v>
      </c>
      <c r="N27">
        <v>2</v>
      </c>
      <c r="O27" t="s">
        <v>54</v>
      </c>
      <c r="P27">
        <v>2</v>
      </c>
      <c r="Q27">
        <v>160</v>
      </c>
      <c r="R27" t="s">
        <v>54</v>
      </c>
      <c r="S27" t="s">
        <v>54</v>
      </c>
      <c r="T27">
        <v>20</v>
      </c>
      <c r="U27">
        <v>25</v>
      </c>
      <c r="V27" t="s">
        <v>54</v>
      </c>
      <c r="W27" t="s">
        <v>54</v>
      </c>
      <c r="X27" t="s">
        <v>54</v>
      </c>
      <c r="Y27" t="s">
        <v>54</v>
      </c>
      <c r="Z27">
        <v>4</v>
      </c>
      <c r="AA27">
        <v>150</v>
      </c>
      <c r="AB27" t="s">
        <v>54</v>
      </c>
      <c r="AC27" t="s">
        <v>54</v>
      </c>
      <c r="AD27">
        <v>10</v>
      </c>
      <c r="AE27">
        <v>10</v>
      </c>
      <c r="AF27" t="s">
        <v>54</v>
      </c>
      <c r="AG27" t="s">
        <v>54</v>
      </c>
      <c r="AH27">
        <v>200</v>
      </c>
      <c r="AI27" t="s">
        <v>54</v>
      </c>
      <c r="AJ27">
        <v>20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>
        <v>100</v>
      </c>
      <c r="AT27" t="s">
        <v>54</v>
      </c>
      <c r="AU27" t="s">
        <v>54</v>
      </c>
      <c r="AV27" t="s">
        <v>54</v>
      </c>
      <c r="AW27" t="s">
        <v>54</v>
      </c>
      <c r="AX27">
        <v>60</v>
      </c>
      <c r="AZ27">
        <v>1850</v>
      </c>
      <c r="BA27" t="s">
        <v>55</v>
      </c>
    </row>
    <row r="28" spans="1:53" x14ac:dyDescent="0.45">
      <c r="A28">
        <v>27</v>
      </c>
      <c r="C28" t="str">
        <f>RIGHT([1]Raw_Granville_1850!B31,LEN([1]Raw_Granville_1850!B31)-1)</f>
        <v>Wallace Kindall</v>
      </c>
      <c r="D28" t="s">
        <v>81</v>
      </c>
      <c r="F28">
        <v>75</v>
      </c>
      <c r="G28">
        <v>15</v>
      </c>
      <c r="H28">
        <v>1300</v>
      </c>
      <c r="I28">
        <v>60</v>
      </c>
      <c r="J28" t="s">
        <v>54</v>
      </c>
      <c r="K28" t="s">
        <v>54</v>
      </c>
      <c r="L28">
        <v>1</v>
      </c>
      <c r="M28">
        <v>2</v>
      </c>
      <c r="N28" t="s">
        <v>54</v>
      </c>
      <c r="O28" t="s">
        <v>54</v>
      </c>
      <c r="P28">
        <v>2</v>
      </c>
      <c r="Q28">
        <v>115</v>
      </c>
      <c r="R28">
        <v>10</v>
      </c>
      <c r="S28" t="s">
        <v>54</v>
      </c>
      <c r="T28">
        <v>100</v>
      </c>
      <c r="U28">
        <v>130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>
        <v>300</v>
      </c>
      <c r="AB28" t="s">
        <v>54</v>
      </c>
      <c r="AC28" t="s">
        <v>54</v>
      </c>
      <c r="AD28">
        <v>10</v>
      </c>
      <c r="AE28">
        <v>25</v>
      </c>
      <c r="AF28" t="s">
        <v>54</v>
      </c>
      <c r="AG28" t="s">
        <v>54</v>
      </c>
      <c r="AH28">
        <v>200</v>
      </c>
      <c r="AI28" t="s">
        <v>54</v>
      </c>
      <c r="AJ28">
        <v>75</v>
      </c>
      <c r="AK28" t="s">
        <v>54</v>
      </c>
      <c r="AL28">
        <v>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>
        <v>450</v>
      </c>
      <c r="AT28" t="s">
        <v>54</v>
      </c>
      <c r="AU28" t="s">
        <v>54</v>
      </c>
      <c r="AV28" t="s">
        <v>54</v>
      </c>
      <c r="AW28" t="s">
        <v>54</v>
      </c>
      <c r="AX28">
        <v>75</v>
      </c>
      <c r="AZ28">
        <v>1850</v>
      </c>
      <c r="BA28" t="s">
        <v>55</v>
      </c>
    </row>
    <row r="29" spans="1:53" x14ac:dyDescent="0.45">
      <c r="A29">
        <v>28</v>
      </c>
      <c r="C29" t="str">
        <f>RIGHT([1]Raw_Granville_1850!B32,LEN([1]Raw_Granville_1850!B32)-1)</f>
        <v>Lucins H</v>
      </c>
      <c r="D29" t="s">
        <v>82</v>
      </c>
      <c r="F29">
        <v>70</v>
      </c>
      <c r="G29">
        <v>30</v>
      </c>
      <c r="H29">
        <v>800</v>
      </c>
      <c r="I29">
        <v>40</v>
      </c>
      <c r="J29" t="s">
        <v>54</v>
      </c>
      <c r="K29" t="s">
        <v>54</v>
      </c>
      <c r="L29">
        <v>3</v>
      </c>
      <c r="M29">
        <v>4</v>
      </c>
      <c r="N29" t="s">
        <v>54</v>
      </c>
      <c r="O29">
        <v>12</v>
      </c>
      <c r="P29">
        <v>2</v>
      </c>
      <c r="Q29">
        <v>230</v>
      </c>
      <c r="R29">
        <v>30</v>
      </c>
      <c r="S29" t="s">
        <v>54</v>
      </c>
      <c r="T29">
        <v>10</v>
      </c>
      <c r="U29" t="s">
        <v>54</v>
      </c>
      <c r="V29" t="s">
        <v>54</v>
      </c>
      <c r="W29" t="s">
        <v>54</v>
      </c>
      <c r="X29" t="s">
        <v>54</v>
      </c>
      <c r="Y29">
        <v>46</v>
      </c>
      <c r="Z29" t="s">
        <v>54</v>
      </c>
      <c r="AA29">
        <v>100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>
        <v>300</v>
      </c>
      <c r="AI29">
        <v>100</v>
      </c>
      <c r="AJ29">
        <v>30</v>
      </c>
      <c r="AK29" t="s">
        <v>54</v>
      </c>
      <c r="AL29">
        <v>2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>
        <v>250</v>
      </c>
      <c r="AT29" t="s">
        <v>54</v>
      </c>
      <c r="AU29" t="s">
        <v>54</v>
      </c>
      <c r="AV29" t="s">
        <v>54</v>
      </c>
      <c r="AW29" t="s">
        <v>54</v>
      </c>
      <c r="AX29">
        <v>40</v>
      </c>
      <c r="AZ29">
        <v>1850</v>
      </c>
      <c r="BA29" t="s">
        <v>55</v>
      </c>
    </row>
    <row r="30" spans="1:53" x14ac:dyDescent="0.45">
      <c r="A30">
        <v>29</v>
      </c>
      <c r="C30" t="str">
        <f>RIGHT([1]Raw_Granville_1850!B33,LEN([1]Raw_Granville_1850!B33)-1)</f>
        <v>Lighine Levan</v>
      </c>
      <c r="D30" t="s">
        <v>83</v>
      </c>
      <c r="F30">
        <v>25</v>
      </c>
      <c r="G30">
        <v>83</v>
      </c>
      <c r="H30">
        <v>400</v>
      </c>
      <c r="I30">
        <v>35</v>
      </c>
      <c r="J30" t="s">
        <v>54</v>
      </c>
      <c r="K30" t="s">
        <v>54</v>
      </c>
      <c r="L30">
        <v>2</v>
      </c>
      <c r="M30">
        <v>2</v>
      </c>
      <c r="N30" t="s">
        <v>54</v>
      </c>
      <c r="O30">
        <v>10</v>
      </c>
      <c r="P30">
        <v>2</v>
      </c>
      <c r="Q30">
        <v>120</v>
      </c>
      <c r="R30">
        <v>30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>
        <v>30</v>
      </c>
      <c r="Z30" t="s">
        <v>54</v>
      </c>
      <c r="AA30">
        <v>100</v>
      </c>
      <c r="AB30" t="s">
        <v>54</v>
      </c>
      <c r="AC30" t="s">
        <v>54</v>
      </c>
      <c r="AD30">
        <v>25</v>
      </c>
      <c r="AE30" t="s">
        <v>54</v>
      </c>
      <c r="AF30" t="s">
        <v>54</v>
      </c>
      <c r="AG30" t="s">
        <v>54</v>
      </c>
      <c r="AH30">
        <v>150</v>
      </c>
      <c r="AI30" t="s">
        <v>54</v>
      </c>
      <c r="AJ30">
        <v>10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>
        <v>500</v>
      </c>
      <c r="AT30" t="s">
        <v>54</v>
      </c>
      <c r="AU30" t="s">
        <v>54</v>
      </c>
      <c r="AV30" t="s">
        <v>54</v>
      </c>
      <c r="AW30" t="s">
        <v>54</v>
      </c>
      <c r="AX30">
        <v>25</v>
      </c>
      <c r="AZ30">
        <v>1850</v>
      </c>
      <c r="BA30" t="s">
        <v>55</v>
      </c>
    </row>
    <row r="31" spans="1:53" x14ac:dyDescent="0.45">
      <c r="A31">
        <v>30</v>
      </c>
      <c r="C31" t="str">
        <f>RIGHT([1]Raw_Granville_1850!B34,LEN([1]Raw_Granville_1850!B34)-1)</f>
        <v>Coleason Kindall</v>
      </c>
      <c r="D31" t="s">
        <v>84</v>
      </c>
      <c r="F31">
        <v>300</v>
      </c>
      <c r="G31">
        <v>350</v>
      </c>
      <c r="H31">
        <v>4400</v>
      </c>
      <c r="I31">
        <v>100</v>
      </c>
      <c r="J31">
        <v>4</v>
      </c>
      <c r="K31" t="s">
        <v>54</v>
      </c>
      <c r="L31">
        <v>5</v>
      </c>
      <c r="M31">
        <v>4</v>
      </c>
      <c r="N31">
        <v>13</v>
      </c>
      <c r="O31">
        <v>83</v>
      </c>
      <c r="P31">
        <v>5</v>
      </c>
      <c r="Q31">
        <v>1047</v>
      </c>
      <c r="R31">
        <v>40</v>
      </c>
      <c r="S31" t="s">
        <v>54</v>
      </c>
      <c r="T31">
        <v>110</v>
      </c>
      <c r="U31">
        <v>150</v>
      </c>
      <c r="V31" t="s">
        <v>54</v>
      </c>
      <c r="W31" t="s">
        <v>54</v>
      </c>
      <c r="X31" t="s">
        <v>54</v>
      </c>
      <c r="Y31">
        <v>400</v>
      </c>
      <c r="Z31">
        <v>4</v>
      </c>
      <c r="AA31">
        <v>420</v>
      </c>
      <c r="AB31" t="s">
        <v>54</v>
      </c>
      <c r="AC31" t="s">
        <v>54</v>
      </c>
      <c r="AD31">
        <v>120</v>
      </c>
      <c r="AE31">
        <v>70</v>
      </c>
      <c r="AF31" t="s">
        <v>54</v>
      </c>
      <c r="AG31" t="s">
        <v>54</v>
      </c>
      <c r="AH31">
        <v>600</v>
      </c>
      <c r="AI31">
        <v>300</v>
      </c>
      <c r="AJ31">
        <v>60</v>
      </c>
      <c r="AK31" t="s">
        <v>54</v>
      </c>
      <c r="AL31">
        <v>10</v>
      </c>
      <c r="AM31" t="s">
        <v>54</v>
      </c>
      <c r="AN31" t="s">
        <v>54</v>
      </c>
      <c r="AO31" t="s">
        <v>54</v>
      </c>
      <c r="AP31">
        <v>100</v>
      </c>
      <c r="AQ31" t="s">
        <v>54</v>
      </c>
      <c r="AR31" t="s">
        <v>54</v>
      </c>
      <c r="AS31">
        <v>400</v>
      </c>
      <c r="AT31" t="s">
        <v>54</v>
      </c>
      <c r="AU31" t="s">
        <v>54</v>
      </c>
      <c r="AV31">
        <v>300</v>
      </c>
      <c r="AW31" t="s">
        <v>54</v>
      </c>
      <c r="AX31">
        <v>100</v>
      </c>
      <c r="AZ31">
        <v>1850</v>
      </c>
      <c r="BA31" t="s">
        <v>55</v>
      </c>
    </row>
    <row r="32" spans="1:53" x14ac:dyDescent="0.45">
      <c r="A32">
        <v>31</v>
      </c>
      <c r="C32" t="str">
        <f>RIGHT([1]Raw_Granville_1850!B35,LEN([1]Raw_Granville_1850!B35)-1)</f>
        <v>Asahil Swan</v>
      </c>
      <c r="D32" t="s">
        <v>85</v>
      </c>
      <c r="F32">
        <v>60</v>
      </c>
      <c r="G32">
        <v>20</v>
      </c>
      <c r="H32">
        <v>1200</v>
      </c>
      <c r="I32">
        <v>50</v>
      </c>
      <c r="J32" t="s">
        <v>54</v>
      </c>
      <c r="K32" t="s">
        <v>54</v>
      </c>
      <c r="L32">
        <v>2</v>
      </c>
      <c r="M32">
        <v>2</v>
      </c>
      <c r="N32" t="s">
        <v>54</v>
      </c>
      <c r="O32">
        <v>32</v>
      </c>
      <c r="P32">
        <v>2</v>
      </c>
      <c r="Q32">
        <v>150</v>
      </c>
      <c r="R32" t="s">
        <v>54</v>
      </c>
      <c r="S32" t="s">
        <v>54</v>
      </c>
      <c r="T32">
        <v>20</v>
      </c>
      <c r="U32">
        <v>80</v>
      </c>
      <c r="V32" t="s">
        <v>54</v>
      </c>
      <c r="W32" t="s">
        <v>54</v>
      </c>
      <c r="X32" t="s">
        <v>54</v>
      </c>
      <c r="Y32">
        <v>100</v>
      </c>
      <c r="Z32" t="s">
        <v>54</v>
      </c>
      <c r="AA32">
        <v>140</v>
      </c>
      <c r="AB32" t="s">
        <v>54</v>
      </c>
      <c r="AC32" t="s">
        <v>54</v>
      </c>
      <c r="AD32">
        <v>20</v>
      </c>
      <c r="AE32" t="s">
        <v>54</v>
      </c>
      <c r="AF32" t="s">
        <v>54</v>
      </c>
      <c r="AG32" t="s">
        <v>54</v>
      </c>
      <c r="AH32">
        <v>250</v>
      </c>
      <c r="AI32" t="s">
        <v>54</v>
      </c>
      <c r="AJ32">
        <v>20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 t="s">
        <v>54</v>
      </c>
      <c r="AW32">
        <v>10</v>
      </c>
      <c r="AX32">
        <v>40</v>
      </c>
      <c r="AZ32">
        <v>1850</v>
      </c>
      <c r="BA32" t="s">
        <v>55</v>
      </c>
    </row>
    <row r="33" spans="1:53" x14ac:dyDescent="0.45">
      <c r="A33">
        <v>32</v>
      </c>
      <c r="C33" t="str">
        <f>RIGHT([1]Raw_Granville_1850!B36,LEN([1]Raw_Granville_1850!B36)-1)</f>
        <v>Narman 11</v>
      </c>
      <c r="D33" t="s">
        <v>86</v>
      </c>
      <c r="F33">
        <v>55</v>
      </c>
      <c r="G33">
        <v>15</v>
      </c>
      <c r="H33">
        <v>800</v>
      </c>
      <c r="I33">
        <v>40</v>
      </c>
      <c r="J33" t="s">
        <v>54</v>
      </c>
      <c r="K33" t="s">
        <v>54</v>
      </c>
      <c r="L33">
        <v>3</v>
      </c>
      <c r="M33">
        <v>2</v>
      </c>
      <c r="N33" t="s">
        <v>54</v>
      </c>
      <c r="O33" t="s">
        <v>54</v>
      </c>
      <c r="P33">
        <v>2</v>
      </c>
      <c r="Q33">
        <v>160</v>
      </c>
      <c r="R33" t="s">
        <v>54</v>
      </c>
      <c r="S33">
        <v>8</v>
      </c>
      <c r="T33">
        <v>30</v>
      </c>
      <c r="U33">
        <v>12</v>
      </c>
      <c r="V33" t="s">
        <v>54</v>
      </c>
      <c r="W33" t="s">
        <v>54</v>
      </c>
      <c r="X33" t="s">
        <v>54</v>
      </c>
      <c r="Y33" t="s">
        <v>54</v>
      </c>
      <c r="Z33" t="s">
        <v>54</v>
      </c>
      <c r="AA33">
        <v>50</v>
      </c>
      <c r="AB33" t="s">
        <v>54</v>
      </c>
      <c r="AC33" t="s">
        <v>54</v>
      </c>
      <c r="AD33">
        <v>34</v>
      </c>
      <c r="AE33" t="s">
        <v>54</v>
      </c>
      <c r="AF33" t="s">
        <v>54</v>
      </c>
      <c r="AG33" t="s">
        <v>54</v>
      </c>
      <c r="AH33">
        <v>300</v>
      </c>
      <c r="AI33" t="s">
        <v>54</v>
      </c>
      <c r="AJ33">
        <v>20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>
        <v>300</v>
      </c>
      <c r="AT33" t="s">
        <v>54</v>
      </c>
      <c r="AU33" t="s">
        <v>54</v>
      </c>
      <c r="AV33" t="s">
        <v>54</v>
      </c>
      <c r="AW33" t="s">
        <v>54</v>
      </c>
      <c r="AX33">
        <v>25</v>
      </c>
      <c r="AZ33">
        <v>1850</v>
      </c>
      <c r="BA33" t="s">
        <v>55</v>
      </c>
    </row>
    <row r="34" spans="1:53" x14ac:dyDescent="0.45">
      <c r="A34">
        <v>33</v>
      </c>
      <c r="C34" t="str">
        <f>RIGHT([1]Raw_Granville_1850!B37,LEN([1]Raw_Granville_1850!B37)-1)</f>
        <v>Demison Rice</v>
      </c>
      <c r="D34" t="s">
        <v>87</v>
      </c>
      <c r="F34">
        <v>100</v>
      </c>
      <c r="G34">
        <v>75</v>
      </c>
      <c r="H34">
        <v>2000</v>
      </c>
      <c r="I34">
        <v>100</v>
      </c>
      <c r="J34">
        <v>2</v>
      </c>
      <c r="K34" t="s">
        <v>54</v>
      </c>
      <c r="L34">
        <v>3</v>
      </c>
      <c r="M34" t="s">
        <v>54</v>
      </c>
      <c r="N34">
        <v>7</v>
      </c>
      <c r="O34">
        <v>14</v>
      </c>
      <c r="P34">
        <v>3</v>
      </c>
      <c r="Q34">
        <v>320</v>
      </c>
      <c r="R34">
        <v>10</v>
      </c>
      <c r="S34" t="s">
        <v>54</v>
      </c>
      <c r="T34">
        <v>25</v>
      </c>
      <c r="U34">
        <v>100</v>
      </c>
      <c r="V34" t="s">
        <v>54</v>
      </c>
      <c r="W34" t="s">
        <v>54</v>
      </c>
      <c r="X34" t="s">
        <v>54</v>
      </c>
      <c r="Y34">
        <v>52</v>
      </c>
      <c r="Z34" t="s">
        <v>54</v>
      </c>
      <c r="AA34">
        <v>150</v>
      </c>
      <c r="AB34" t="s">
        <v>54</v>
      </c>
      <c r="AC34" t="s">
        <v>54</v>
      </c>
      <c r="AD34">
        <v>17</v>
      </c>
      <c r="AE34">
        <v>50</v>
      </c>
      <c r="AF34" t="s">
        <v>54</v>
      </c>
      <c r="AG34" t="s">
        <v>54</v>
      </c>
      <c r="AH34">
        <v>300</v>
      </c>
      <c r="AI34">
        <v>200</v>
      </c>
      <c r="AJ34">
        <v>30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>
        <v>600</v>
      </c>
      <c r="AT34" t="s">
        <v>54</v>
      </c>
      <c r="AU34" t="s">
        <v>54</v>
      </c>
      <c r="AV34" t="s">
        <v>54</v>
      </c>
      <c r="AW34" t="s">
        <v>54</v>
      </c>
      <c r="AX34">
        <v>30</v>
      </c>
      <c r="AZ34">
        <v>1850</v>
      </c>
      <c r="BA34" t="s">
        <v>55</v>
      </c>
    </row>
    <row r="35" spans="1:53" x14ac:dyDescent="0.45">
      <c r="A35">
        <v>34</v>
      </c>
      <c r="C35" t="str">
        <f>RIGHT([1]Raw_Granville_1850!B38,LEN([1]Raw_Granville_1850!B38)-1)</f>
        <v>Ira Baily</v>
      </c>
      <c r="D35" t="s">
        <v>88</v>
      </c>
      <c r="F35">
        <v>50</v>
      </c>
      <c r="G35">
        <v>70</v>
      </c>
      <c r="H35">
        <v>600</v>
      </c>
      <c r="I35">
        <v>40</v>
      </c>
      <c r="J35" t="s">
        <v>54</v>
      </c>
      <c r="K35" t="s">
        <v>54</v>
      </c>
      <c r="L35">
        <v>4</v>
      </c>
      <c r="M35">
        <v>2</v>
      </c>
      <c r="N35" t="s">
        <v>54</v>
      </c>
      <c r="O35">
        <v>13</v>
      </c>
      <c r="P35">
        <v>2</v>
      </c>
      <c r="Q35">
        <v>200</v>
      </c>
      <c r="R35">
        <v>8</v>
      </c>
      <c r="S35">
        <v>8</v>
      </c>
      <c r="T35">
        <v>25</v>
      </c>
      <c r="U35">
        <v>35</v>
      </c>
      <c r="V35" t="s">
        <v>54</v>
      </c>
      <c r="W35" t="s">
        <v>54</v>
      </c>
      <c r="X35" t="s">
        <v>54</v>
      </c>
      <c r="Y35">
        <v>41</v>
      </c>
      <c r="Z35">
        <v>3</v>
      </c>
      <c r="AA35">
        <v>180</v>
      </c>
      <c r="AB35" t="s">
        <v>54</v>
      </c>
      <c r="AC35" t="s">
        <v>54</v>
      </c>
      <c r="AD35">
        <v>5</v>
      </c>
      <c r="AE35" t="s">
        <v>54</v>
      </c>
      <c r="AF35" t="s">
        <v>54</v>
      </c>
      <c r="AG35" t="s">
        <v>54</v>
      </c>
      <c r="AH35">
        <v>300</v>
      </c>
      <c r="AI35">
        <v>200</v>
      </c>
      <c r="AJ35">
        <v>10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>
        <v>275</v>
      </c>
      <c r="AT35" t="s">
        <v>54</v>
      </c>
      <c r="AU35" t="s">
        <v>54</v>
      </c>
      <c r="AV35" t="s">
        <v>54</v>
      </c>
      <c r="AW35" t="s">
        <v>54</v>
      </c>
      <c r="AX35">
        <v>30</v>
      </c>
      <c r="AZ35">
        <v>1850</v>
      </c>
      <c r="BA35" t="s">
        <v>55</v>
      </c>
    </row>
    <row r="36" spans="1:53" x14ac:dyDescent="0.45">
      <c r="A36">
        <v>35</v>
      </c>
      <c r="C36" t="str">
        <f>RIGHT([1]Raw_Granville_1850!B39,LEN([1]Raw_Granville_1850!B39)-1)</f>
        <v>Lereno Dexter</v>
      </c>
      <c r="D36" t="s">
        <v>89</v>
      </c>
      <c r="F36">
        <v>50</v>
      </c>
      <c r="G36">
        <v>50</v>
      </c>
      <c r="H36">
        <v>550</v>
      </c>
      <c r="I36">
        <v>50</v>
      </c>
      <c r="J36">
        <v>1</v>
      </c>
      <c r="K36" t="s">
        <v>54</v>
      </c>
      <c r="L36">
        <v>2</v>
      </c>
      <c r="M36">
        <v>2</v>
      </c>
      <c r="N36">
        <v>5</v>
      </c>
      <c r="O36">
        <v>25</v>
      </c>
      <c r="P36">
        <v>1</v>
      </c>
      <c r="Q36">
        <v>300</v>
      </c>
      <c r="R36">
        <v>12</v>
      </c>
      <c r="S36">
        <v>10</v>
      </c>
      <c r="T36">
        <v>8</v>
      </c>
      <c r="U36">
        <v>40</v>
      </c>
      <c r="V36" t="s">
        <v>54</v>
      </c>
      <c r="W36" t="s">
        <v>54</v>
      </c>
      <c r="X36" t="s">
        <v>54</v>
      </c>
      <c r="Y36">
        <v>87</v>
      </c>
      <c r="Z36" t="s">
        <v>54</v>
      </c>
      <c r="AA36">
        <v>125</v>
      </c>
      <c r="AB36" t="s">
        <v>54</v>
      </c>
      <c r="AC36" t="s">
        <v>54</v>
      </c>
      <c r="AD36" t="s">
        <v>54</v>
      </c>
      <c r="AE36" t="s">
        <v>54</v>
      </c>
      <c r="AF36" t="s">
        <v>54</v>
      </c>
      <c r="AG36" t="s">
        <v>54</v>
      </c>
      <c r="AH36">
        <v>300</v>
      </c>
      <c r="AI36" t="s">
        <v>54</v>
      </c>
      <c r="AJ36">
        <v>30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>
        <v>425</v>
      </c>
      <c r="AT36" t="s">
        <v>54</v>
      </c>
      <c r="AU36" t="s">
        <v>54</v>
      </c>
      <c r="AV36" t="s">
        <v>54</v>
      </c>
      <c r="AW36" t="s">
        <v>54</v>
      </c>
      <c r="AX36">
        <v>25</v>
      </c>
      <c r="AZ36">
        <v>1850</v>
      </c>
      <c r="BA36" t="s">
        <v>55</v>
      </c>
    </row>
    <row r="37" spans="1:53" x14ac:dyDescent="0.45">
      <c r="A37">
        <v>36</v>
      </c>
      <c r="C37" t="str">
        <f>RIGHT([1]Raw_Granville_1850!B40,LEN([1]Raw_Granville_1850!B40)-1)</f>
        <v>John Thurston</v>
      </c>
      <c r="D37" t="s">
        <v>90</v>
      </c>
      <c r="F37">
        <v>20</v>
      </c>
      <c r="G37">
        <v>130</v>
      </c>
      <c r="H37">
        <v>400</v>
      </c>
      <c r="I37">
        <v>40</v>
      </c>
      <c r="J37">
        <v>2</v>
      </c>
      <c r="K37" t="s">
        <v>54</v>
      </c>
      <c r="L37">
        <v>2</v>
      </c>
      <c r="M37">
        <v>2</v>
      </c>
      <c r="N37">
        <v>1</v>
      </c>
      <c r="O37" t="s">
        <v>54</v>
      </c>
      <c r="P37">
        <v>1</v>
      </c>
      <c r="Q37">
        <v>200</v>
      </c>
      <c r="R37">
        <v>50</v>
      </c>
      <c r="S37" t="s">
        <v>54</v>
      </c>
      <c r="T37">
        <v>5</v>
      </c>
      <c r="U37">
        <v>25</v>
      </c>
      <c r="V37" t="s">
        <v>54</v>
      </c>
      <c r="W37" t="s">
        <v>54</v>
      </c>
      <c r="X37" t="s">
        <v>54</v>
      </c>
      <c r="Y37" t="s">
        <v>54</v>
      </c>
      <c r="Z37">
        <v>2</v>
      </c>
      <c r="AA37">
        <v>100</v>
      </c>
      <c r="AB37" t="s">
        <v>54</v>
      </c>
      <c r="AC37" t="s">
        <v>54</v>
      </c>
      <c r="AD37">
        <v>25</v>
      </c>
      <c r="AE37" t="s">
        <v>54</v>
      </c>
      <c r="AF37" t="s">
        <v>54</v>
      </c>
      <c r="AG37" t="s">
        <v>54</v>
      </c>
      <c r="AH37">
        <v>200</v>
      </c>
      <c r="AI37" t="s">
        <v>54</v>
      </c>
      <c r="AJ37">
        <v>8</v>
      </c>
      <c r="AK37" t="s">
        <v>54</v>
      </c>
      <c r="AL37">
        <v>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>
        <v>200</v>
      </c>
      <c r="AT37" t="s">
        <v>54</v>
      </c>
      <c r="AU37" t="s">
        <v>54</v>
      </c>
      <c r="AV37" t="s">
        <v>54</v>
      </c>
      <c r="AW37" t="s">
        <v>54</v>
      </c>
      <c r="AX37">
        <v>25</v>
      </c>
      <c r="AZ37">
        <v>1850</v>
      </c>
      <c r="BA37" t="s">
        <v>55</v>
      </c>
    </row>
    <row r="38" spans="1:53" x14ac:dyDescent="0.45">
      <c r="A38">
        <v>37</v>
      </c>
      <c r="C38" t="str">
        <f>RIGHT([1]Raw_Granville_1850!B41,LEN([1]Raw_Granville_1850!B41)-1)</f>
        <v>David Page</v>
      </c>
      <c r="D38" t="s">
        <v>91</v>
      </c>
      <c r="F38">
        <v>30</v>
      </c>
      <c r="G38">
        <v>170</v>
      </c>
      <c r="H38">
        <v>800</v>
      </c>
      <c r="I38">
        <v>50</v>
      </c>
      <c r="J38" t="s">
        <v>54</v>
      </c>
      <c r="K38" t="s">
        <v>54</v>
      </c>
      <c r="L38">
        <v>3</v>
      </c>
      <c r="M38">
        <v>2</v>
      </c>
      <c r="N38">
        <v>9</v>
      </c>
      <c r="O38" t="s">
        <v>54</v>
      </c>
      <c r="P38">
        <v>1</v>
      </c>
      <c r="Q38">
        <v>200</v>
      </c>
      <c r="R38">
        <v>20</v>
      </c>
      <c r="S38">
        <v>20</v>
      </c>
      <c r="T38" t="s">
        <v>54</v>
      </c>
      <c r="U38">
        <v>40</v>
      </c>
      <c r="V38" t="s">
        <v>54</v>
      </c>
      <c r="W38" t="s">
        <v>54</v>
      </c>
      <c r="X38" t="s">
        <v>54</v>
      </c>
      <c r="Y38" t="s">
        <v>54</v>
      </c>
      <c r="Z38" t="s">
        <v>54</v>
      </c>
      <c r="AA38">
        <v>20</v>
      </c>
      <c r="AB38" t="s">
        <v>54</v>
      </c>
      <c r="AC38" t="s">
        <v>54</v>
      </c>
      <c r="AD38">
        <v>50</v>
      </c>
      <c r="AE38" t="s">
        <v>54</v>
      </c>
      <c r="AF38" t="s">
        <v>54</v>
      </c>
      <c r="AG38" t="s">
        <v>54</v>
      </c>
      <c r="AH38">
        <v>300</v>
      </c>
      <c r="AI38" t="s">
        <v>54</v>
      </c>
      <c r="AJ38">
        <v>15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>
        <v>200</v>
      </c>
      <c r="AT38" t="s">
        <v>54</v>
      </c>
      <c r="AU38" t="s">
        <v>54</v>
      </c>
      <c r="AV38" t="s">
        <v>54</v>
      </c>
      <c r="AW38" t="s">
        <v>54</v>
      </c>
      <c r="AX38">
        <v>25</v>
      </c>
      <c r="AZ38">
        <v>1850</v>
      </c>
      <c r="BA38" t="s">
        <v>55</v>
      </c>
    </row>
    <row r="39" spans="1:53" x14ac:dyDescent="0.45">
      <c r="A39">
        <v>38</v>
      </c>
      <c r="C39" t="str">
        <f>RIGHT([1]Raw_Granville_1850!B42,LEN([1]Raw_Granville_1850!B42)-1)</f>
        <v>Samuel Austin</v>
      </c>
      <c r="D39" t="s">
        <v>92</v>
      </c>
      <c r="F39">
        <v>75</v>
      </c>
      <c r="G39">
        <v>125</v>
      </c>
      <c r="H39">
        <v>800</v>
      </c>
      <c r="I39">
        <v>22</v>
      </c>
      <c r="J39">
        <v>2</v>
      </c>
      <c r="K39" t="s">
        <v>54</v>
      </c>
      <c r="L39">
        <v>4</v>
      </c>
      <c r="M39">
        <v>4</v>
      </c>
      <c r="N39">
        <v>10</v>
      </c>
      <c r="O39">
        <v>25</v>
      </c>
      <c r="P39">
        <v>2</v>
      </c>
      <c r="Q39">
        <v>370</v>
      </c>
      <c r="R39">
        <v>25</v>
      </c>
      <c r="S39" t="s">
        <v>54</v>
      </c>
      <c r="T39">
        <v>25</v>
      </c>
      <c r="U39">
        <v>30</v>
      </c>
      <c r="V39" t="s">
        <v>54</v>
      </c>
      <c r="W39" t="s">
        <v>54</v>
      </c>
      <c r="X39" t="s">
        <v>54</v>
      </c>
      <c r="Y39">
        <v>80</v>
      </c>
      <c r="Z39" t="s">
        <v>54</v>
      </c>
      <c r="AA39">
        <v>200</v>
      </c>
      <c r="AB39" t="s">
        <v>54</v>
      </c>
      <c r="AC39" t="s">
        <v>54</v>
      </c>
      <c r="AD39">
        <v>10</v>
      </c>
      <c r="AE39" t="s">
        <v>54</v>
      </c>
      <c r="AF39" t="s">
        <v>54</v>
      </c>
      <c r="AG39" t="s">
        <v>54</v>
      </c>
      <c r="AH39">
        <v>400</v>
      </c>
      <c r="AI39">
        <v>250</v>
      </c>
      <c r="AJ39">
        <v>30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>
        <v>500</v>
      </c>
      <c r="AT39" t="s">
        <v>54</v>
      </c>
      <c r="AU39" t="s">
        <v>54</v>
      </c>
      <c r="AV39" t="s">
        <v>54</v>
      </c>
      <c r="AW39" t="s">
        <v>54</v>
      </c>
      <c r="AX39">
        <v>75</v>
      </c>
      <c r="AZ39">
        <v>1850</v>
      </c>
      <c r="BA39" t="s">
        <v>55</v>
      </c>
    </row>
    <row r="40" spans="1:53" x14ac:dyDescent="0.45">
      <c r="A40">
        <v>39</v>
      </c>
      <c r="C40" t="str">
        <f>RIGHT([1]Raw_Granville_1850!B43,LEN([1]Raw_Granville_1850!B43)-1)</f>
        <v>Alex Stelson</v>
      </c>
      <c r="D40" t="s">
        <v>93</v>
      </c>
      <c r="F40">
        <v>50</v>
      </c>
      <c r="G40">
        <v>75</v>
      </c>
      <c r="H40">
        <v>800</v>
      </c>
      <c r="I40">
        <v>45</v>
      </c>
      <c r="J40">
        <v>1</v>
      </c>
      <c r="K40" t="s">
        <v>54</v>
      </c>
      <c r="L40">
        <v>3</v>
      </c>
      <c r="M40">
        <v>2</v>
      </c>
      <c r="N40">
        <v>6</v>
      </c>
      <c r="O40">
        <v>45</v>
      </c>
      <c r="P40">
        <v>3</v>
      </c>
      <c r="Q40">
        <v>380</v>
      </c>
      <c r="R40">
        <v>20</v>
      </c>
      <c r="S40">
        <v>10</v>
      </c>
      <c r="T40">
        <v>30</v>
      </c>
      <c r="U40" t="s">
        <v>54</v>
      </c>
      <c r="V40" t="s">
        <v>54</v>
      </c>
      <c r="W40" t="s">
        <v>54</v>
      </c>
      <c r="X40" t="s">
        <v>54</v>
      </c>
      <c r="Y40">
        <v>170</v>
      </c>
      <c r="Z40" t="s">
        <v>54</v>
      </c>
      <c r="AA40">
        <v>100</v>
      </c>
      <c r="AB40" t="s">
        <v>54</v>
      </c>
      <c r="AC40" t="s">
        <v>54</v>
      </c>
      <c r="AD40" t="s">
        <v>54</v>
      </c>
      <c r="AE40" t="s">
        <v>54</v>
      </c>
      <c r="AF40" t="s">
        <v>54</v>
      </c>
      <c r="AG40" t="s">
        <v>54</v>
      </c>
      <c r="AH40">
        <v>250</v>
      </c>
      <c r="AI40">
        <v>100</v>
      </c>
      <c r="AJ40">
        <v>20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>
        <v>200</v>
      </c>
      <c r="AT40" t="s">
        <v>54</v>
      </c>
      <c r="AU40" t="s">
        <v>54</v>
      </c>
      <c r="AV40" t="s">
        <v>54</v>
      </c>
      <c r="AW40">
        <v>15</v>
      </c>
      <c r="AX40">
        <v>50</v>
      </c>
      <c r="AZ40">
        <v>1850</v>
      </c>
      <c r="BA40" t="s">
        <v>55</v>
      </c>
    </row>
    <row r="41" spans="1:53" x14ac:dyDescent="0.45">
      <c r="A41">
        <v>40</v>
      </c>
      <c r="C41" t="str">
        <f>RIGHT([1]Raw_Granville_1850!B44,LEN([1]Raw_Granville_1850!B44)-1)</f>
        <v>Alua</v>
      </c>
      <c r="D41" t="s">
        <v>94</v>
      </c>
      <c r="F41">
        <v>28</v>
      </c>
      <c r="G41">
        <v>60</v>
      </c>
      <c r="H41">
        <v>600</v>
      </c>
      <c r="I41">
        <v>50</v>
      </c>
      <c r="J41">
        <v>1</v>
      </c>
      <c r="K41" t="s">
        <v>54</v>
      </c>
      <c r="L41">
        <v>2</v>
      </c>
      <c r="M41">
        <v>2</v>
      </c>
      <c r="N41">
        <v>4</v>
      </c>
      <c r="O41" t="s">
        <v>54</v>
      </c>
      <c r="P41">
        <v>2</v>
      </c>
      <c r="Q41">
        <v>230</v>
      </c>
      <c r="R41" t="s">
        <v>54</v>
      </c>
      <c r="S41" t="s">
        <v>54</v>
      </c>
      <c r="T41">
        <v>10</v>
      </c>
      <c r="U41">
        <v>50</v>
      </c>
      <c r="V41" t="s">
        <v>54</v>
      </c>
      <c r="W41" t="s">
        <v>54</v>
      </c>
      <c r="X41" t="s">
        <v>54</v>
      </c>
      <c r="Y41" t="s">
        <v>54</v>
      </c>
      <c r="Z41" t="s">
        <v>54</v>
      </c>
      <c r="AA41">
        <v>200</v>
      </c>
      <c r="AB41" t="s">
        <v>54</v>
      </c>
      <c r="AC41" t="s">
        <v>54</v>
      </c>
      <c r="AD41" t="s">
        <v>54</v>
      </c>
      <c r="AE41" t="s">
        <v>54</v>
      </c>
      <c r="AF41" t="s">
        <v>54</v>
      </c>
      <c r="AG41" t="s">
        <v>54</v>
      </c>
      <c r="AH41">
        <v>200</v>
      </c>
      <c r="AI41" t="s">
        <v>54</v>
      </c>
      <c r="AJ41">
        <v>18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>
        <v>300</v>
      </c>
      <c r="AT41" t="s">
        <v>54</v>
      </c>
      <c r="AU41" t="s">
        <v>54</v>
      </c>
      <c r="AV41" t="s">
        <v>54</v>
      </c>
      <c r="AW41" t="s">
        <v>54</v>
      </c>
      <c r="AX41">
        <v>25</v>
      </c>
      <c r="AZ41">
        <v>1850</v>
      </c>
      <c r="BA41" t="s">
        <v>55</v>
      </c>
    </row>
    <row r="42" spans="1:53" x14ac:dyDescent="0.45">
      <c r="A42">
        <v>41</v>
      </c>
      <c r="B42" s="2"/>
      <c r="C42" s="2" t="str">
        <f>RIGHT([1]Raw_Granville_1850!B45,LEN([1]Raw_Granville_1850!B45)-1)</f>
        <v>Colusteption moore</v>
      </c>
      <c r="D42" s="2" t="s">
        <v>95</v>
      </c>
      <c r="E42" s="2"/>
      <c r="F42" s="2">
        <v>40</v>
      </c>
      <c r="G42" s="2">
        <v>60</v>
      </c>
      <c r="H42" s="2">
        <v>600</v>
      </c>
      <c r="I42" s="2">
        <v>40</v>
      </c>
      <c r="J42" s="2">
        <v>1</v>
      </c>
      <c r="K42" s="2" t="s">
        <v>54</v>
      </c>
      <c r="L42" s="2">
        <v>2</v>
      </c>
      <c r="M42" s="2">
        <v>2</v>
      </c>
      <c r="N42" s="2">
        <v>2</v>
      </c>
      <c r="O42" s="2">
        <v>20</v>
      </c>
      <c r="P42" s="2">
        <v>1</v>
      </c>
      <c r="Q42" s="2">
        <v>260</v>
      </c>
      <c r="R42" s="2">
        <v>15</v>
      </c>
      <c r="S42" s="2" t="s">
        <v>54</v>
      </c>
      <c r="T42" s="2">
        <v>15</v>
      </c>
      <c r="U42" s="2" t="s">
        <v>54</v>
      </c>
      <c r="V42" s="2" t="s">
        <v>54</v>
      </c>
      <c r="W42" s="2" t="s">
        <v>54</v>
      </c>
      <c r="X42" s="2" t="s">
        <v>54</v>
      </c>
      <c r="Y42" s="2">
        <v>75</v>
      </c>
      <c r="Z42" s="2" t="s">
        <v>54</v>
      </c>
      <c r="AA42" s="2">
        <v>130</v>
      </c>
      <c r="AB42" s="2" t="s">
        <v>54</v>
      </c>
      <c r="AC42" s="2" t="s">
        <v>54</v>
      </c>
      <c r="AD42" s="2" t="s">
        <v>54</v>
      </c>
      <c r="AE42" s="2" t="s">
        <v>54</v>
      </c>
      <c r="AF42" s="2" t="s">
        <v>54</v>
      </c>
      <c r="AG42" s="2" t="s">
        <v>54</v>
      </c>
      <c r="AH42" s="2">
        <v>100</v>
      </c>
      <c r="AI42" s="2" t="s">
        <v>54</v>
      </c>
      <c r="AJ42" s="2">
        <v>15</v>
      </c>
      <c r="AK42" s="2" t="s">
        <v>54</v>
      </c>
      <c r="AL42" s="2">
        <v>3</v>
      </c>
      <c r="AM42" s="2" t="s">
        <v>54</v>
      </c>
      <c r="AN42" s="2" t="s">
        <v>54</v>
      </c>
      <c r="AO42" s="2" t="s">
        <v>54</v>
      </c>
      <c r="AP42" s="2" t="s">
        <v>54</v>
      </c>
      <c r="AQ42" s="2" t="s">
        <v>54</v>
      </c>
      <c r="AR42" s="2" t="s">
        <v>54</v>
      </c>
      <c r="AS42" s="2">
        <v>250</v>
      </c>
      <c r="AT42" s="2" t="s">
        <v>54</v>
      </c>
      <c r="AU42" s="2" t="s">
        <v>54</v>
      </c>
      <c r="AV42" s="2" t="s">
        <v>54</v>
      </c>
      <c r="AW42" s="2" t="s">
        <v>54</v>
      </c>
      <c r="AX42" s="2">
        <v>25</v>
      </c>
      <c r="AZ42">
        <v>1850</v>
      </c>
      <c r="BA42" t="s">
        <v>55</v>
      </c>
    </row>
    <row r="43" spans="1:53" x14ac:dyDescent="0.45">
      <c r="A43">
        <v>1</v>
      </c>
      <c r="C43" t="str">
        <f>RIGHT([1]Raw_Granville_1850!B46,LEN([1]Raw_Granville_1850!B46)-1)</f>
        <v>Aley Chaffacy</v>
      </c>
      <c r="D43" t="s">
        <v>96</v>
      </c>
      <c r="F43">
        <v>30</v>
      </c>
      <c r="G43">
        <v>70</v>
      </c>
      <c r="H43">
        <v>500</v>
      </c>
      <c r="I43">
        <v>40</v>
      </c>
      <c r="J43">
        <v>1</v>
      </c>
      <c r="K43" t="s">
        <v>54</v>
      </c>
      <c r="L43">
        <v>1</v>
      </c>
      <c r="M43">
        <v>2</v>
      </c>
      <c r="N43">
        <v>1</v>
      </c>
      <c r="O43" t="s">
        <v>54</v>
      </c>
      <c r="P43">
        <v>1</v>
      </c>
      <c r="Q43">
        <v>200</v>
      </c>
      <c r="R43">
        <v>5</v>
      </c>
      <c r="S43" t="s">
        <v>54</v>
      </c>
      <c r="T43">
        <v>15</v>
      </c>
      <c r="U43">
        <v>20</v>
      </c>
      <c r="V43" t="s">
        <v>54</v>
      </c>
      <c r="W43" t="s">
        <v>54</v>
      </c>
      <c r="X43" t="s">
        <v>54</v>
      </c>
      <c r="Y43" t="s">
        <v>54</v>
      </c>
      <c r="Z43" t="s">
        <v>54</v>
      </c>
      <c r="AA43">
        <v>100</v>
      </c>
      <c r="AB43" t="s">
        <v>54</v>
      </c>
      <c r="AC43" t="s">
        <v>54</v>
      </c>
      <c r="AD43">
        <v>10</v>
      </c>
      <c r="AE43" t="s">
        <v>54</v>
      </c>
      <c r="AF43" t="s">
        <v>54</v>
      </c>
      <c r="AG43" t="s">
        <v>54</v>
      </c>
      <c r="AH43">
        <v>150</v>
      </c>
      <c r="AI43" t="s">
        <v>54</v>
      </c>
      <c r="AJ43">
        <v>15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>
        <v>200</v>
      </c>
      <c r="AT43" t="s">
        <v>54</v>
      </c>
      <c r="AU43" t="s">
        <v>54</v>
      </c>
      <c r="AV43" t="s">
        <v>54</v>
      </c>
      <c r="AW43" t="s">
        <v>54</v>
      </c>
      <c r="AX43">
        <v>20</v>
      </c>
      <c r="AZ43">
        <v>1850</v>
      </c>
      <c r="BA43" t="s">
        <v>55</v>
      </c>
    </row>
    <row r="44" spans="1:53" x14ac:dyDescent="0.45">
      <c r="A44">
        <v>2</v>
      </c>
      <c r="C44" t="str">
        <f>RIGHT([1]Raw_Granville_1850!B47,LEN([1]Raw_Granville_1850!B47)-1)</f>
        <v>Line Alten</v>
      </c>
      <c r="D44" t="s">
        <v>97</v>
      </c>
      <c r="F44">
        <v>40</v>
      </c>
      <c r="G44">
        <v>30</v>
      </c>
      <c r="H44">
        <v>700</v>
      </c>
      <c r="I44">
        <v>45</v>
      </c>
      <c r="J44">
        <v>1</v>
      </c>
      <c r="K44" t="s">
        <v>54</v>
      </c>
      <c r="L44">
        <v>2</v>
      </c>
      <c r="M44">
        <v>2</v>
      </c>
      <c r="N44">
        <v>2</v>
      </c>
      <c r="O44" t="s">
        <v>54</v>
      </c>
      <c r="P44">
        <v>2</v>
      </c>
      <c r="Q44">
        <v>230</v>
      </c>
      <c r="R44" t="s">
        <v>54</v>
      </c>
      <c r="S44">
        <v>10</v>
      </c>
      <c r="T44">
        <v>25</v>
      </c>
      <c r="U44">
        <v>20</v>
      </c>
      <c r="V44" t="s">
        <v>54</v>
      </c>
      <c r="W44" t="s">
        <v>54</v>
      </c>
      <c r="X44" t="s">
        <v>54</v>
      </c>
      <c r="Y44" t="s">
        <v>54</v>
      </c>
      <c r="Z44" t="s">
        <v>54</v>
      </c>
      <c r="AA44">
        <v>150</v>
      </c>
      <c r="AB44" t="s">
        <v>54</v>
      </c>
      <c r="AC44" t="s">
        <v>54</v>
      </c>
      <c r="AD44">
        <v>20</v>
      </c>
      <c r="AE44" t="s">
        <v>54</v>
      </c>
      <c r="AF44" t="s">
        <v>54</v>
      </c>
      <c r="AG44" t="s">
        <v>54</v>
      </c>
      <c r="AH44">
        <v>200</v>
      </c>
      <c r="AI44">
        <v>100</v>
      </c>
      <c r="AJ44">
        <v>20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>
        <v>270</v>
      </c>
      <c r="AT44" t="s">
        <v>54</v>
      </c>
      <c r="AU44" t="s">
        <v>54</v>
      </c>
      <c r="AV44" t="s">
        <v>54</v>
      </c>
      <c r="AW44" t="s">
        <v>54</v>
      </c>
      <c r="AX44">
        <v>25</v>
      </c>
      <c r="AZ44">
        <v>1850</v>
      </c>
      <c r="BA44" t="s">
        <v>55</v>
      </c>
    </row>
    <row r="45" spans="1:53" x14ac:dyDescent="0.45">
      <c r="A45">
        <v>3</v>
      </c>
      <c r="C45" t="str">
        <f>RIGHT([1]Raw_Granville_1850!B48,LEN([1]Raw_Granville_1850!B48)-1)</f>
        <v>Galeba Any</v>
      </c>
      <c r="D45" t="s">
        <v>98</v>
      </c>
      <c r="F45">
        <v>45</v>
      </c>
      <c r="G45">
        <v>5</v>
      </c>
      <c r="H45">
        <v>700</v>
      </c>
      <c r="I45">
        <v>50</v>
      </c>
      <c r="J45">
        <v>1</v>
      </c>
      <c r="K45" t="s">
        <v>54</v>
      </c>
      <c r="L45">
        <v>4</v>
      </c>
      <c r="M45">
        <v>2</v>
      </c>
      <c r="N45">
        <v>3</v>
      </c>
      <c r="O45">
        <v>14</v>
      </c>
      <c r="P45">
        <v>2</v>
      </c>
      <c r="Q45">
        <v>400</v>
      </c>
      <c r="R45">
        <v>13</v>
      </c>
      <c r="S45" t="s">
        <v>54</v>
      </c>
      <c r="T45" t="s">
        <v>54</v>
      </c>
      <c r="U45">
        <v>25</v>
      </c>
      <c r="V45" t="s">
        <v>54</v>
      </c>
      <c r="W45" t="s">
        <v>54</v>
      </c>
      <c r="X45" t="s">
        <v>54</v>
      </c>
      <c r="Y45">
        <v>400</v>
      </c>
      <c r="Z45" t="s">
        <v>54</v>
      </c>
      <c r="AA45">
        <v>100</v>
      </c>
      <c r="AC45" t="s">
        <v>54</v>
      </c>
      <c r="AD45">
        <v>15</v>
      </c>
      <c r="AE45" t="s">
        <v>54</v>
      </c>
      <c r="AF45" t="s">
        <v>54</v>
      </c>
      <c r="AG45" t="s">
        <v>54</v>
      </c>
      <c r="AH45">
        <v>200</v>
      </c>
      <c r="AI45">
        <v>100</v>
      </c>
      <c r="AJ45">
        <v>20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>
        <v>20</v>
      </c>
      <c r="AQ45" t="s">
        <v>54</v>
      </c>
      <c r="AR45" t="s">
        <v>54</v>
      </c>
      <c r="AS45">
        <v>180</v>
      </c>
      <c r="AT45" t="s">
        <v>54</v>
      </c>
      <c r="AU45" t="s">
        <v>54</v>
      </c>
      <c r="AV45" t="s">
        <v>54</v>
      </c>
      <c r="AW45">
        <v>10</v>
      </c>
      <c r="AX45">
        <v>30</v>
      </c>
      <c r="AZ45">
        <v>1850</v>
      </c>
      <c r="BA45" t="s">
        <v>55</v>
      </c>
    </row>
    <row r="46" spans="1:53" x14ac:dyDescent="0.45">
      <c r="A46">
        <v>4</v>
      </c>
      <c r="C46" t="str">
        <f>RIGHT([1]Raw_Granville_1850!B49,LEN([1]Raw_Granville_1850!B49)-1)</f>
        <v>Humas Randall</v>
      </c>
      <c r="D46" t="s">
        <v>99</v>
      </c>
      <c r="F46">
        <v>50</v>
      </c>
      <c r="G46">
        <v>25</v>
      </c>
      <c r="H46">
        <v>1000</v>
      </c>
      <c r="I46">
        <v>50</v>
      </c>
      <c r="J46">
        <v>1</v>
      </c>
      <c r="K46" t="s">
        <v>54</v>
      </c>
      <c r="L46">
        <v>2</v>
      </c>
      <c r="M46">
        <v>2</v>
      </c>
      <c r="N46">
        <v>4</v>
      </c>
      <c r="O46">
        <v>12</v>
      </c>
      <c r="P46">
        <v>2</v>
      </c>
      <c r="Q46">
        <v>250</v>
      </c>
      <c r="R46">
        <v>12</v>
      </c>
      <c r="S46">
        <v>10</v>
      </c>
      <c r="T46" t="s">
        <v>54</v>
      </c>
      <c r="U46">
        <v>30</v>
      </c>
      <c r="V46" t="s">
        <v>54</v>
      </c>
      <c r="W46" t="s">
        <v>54</v>
      </c>
      <c r="X46" t="s">
        <v>54</v>
      </c>
      <c r="Y46">
        <v>45</v>
      </c>
      <c r="Z46" t="s">
        <v>54</v>
      </c>
      <c r="AA46">
        <v>200</v>
      </c>
      <c r="AB46" t="s">
        <v>54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>
        <v>100</v>
      </c>
      <c r="AI46" t="s">
        <v>54</v>
      </c>
      <c r="AJ46">
        <v>30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>
        <v>300</v>
      </c>
      <c r="AT46" t="s">
        <v>54</v>
      </c>
      <c r="AU46" t="s">
        <v>54</v>
      </c>
      <c r="AV46" t="s">
        <v>54</v>
      </c>
      <c r="AW46" t="s">
        <v>54</v>
      </c>
      <c r="AX46">
        <v>30</v>
      </c>
      <c r="AZ46">
        <v>1850</v>
      </c>
      <c r="BA46" t="s">
        <v>55</v>
      </c>
    </row>
    <row r="47" spans="1:53" x14ac:dyDescent="0.45">
      <c r="A47">
        <v>5</v>
      </c>
      <c r="C47" t="str">
        <f>RIGHT([1]Raw_Granville_1850!B50,LEN([1]Raw_Granville_1850!B50)-1)</f>
        <v>Elisha Ford</v>
      </c>
      <c r="D47" t="s">
        <v>100</v>
      </c>
      <c r="F47">
        <v>130</v>
      </c>
      <c r="G47">
        <v>70</v>
      </c>
      <c r="H47">
        <v>2000</v>
      </c>
      <c r="I47">
        <v>100</v>
      </c>
      <c r="J47">
        <v>3</v>
      </c>
      <c r="K47" t="s">
        <v>54</v>
      </c>
      <c r="L47">
        <v>6</v>
      </c>
      <c r="M47">
        <v>2</v>
      </c>
      <c r="N47">
        <v>8</v>
      </c>
      <c r="O47">
        <v>50</v>
      </c>
      <c r="P47">
        <v>3</v>
      </c>
      <c r="Q47">
        <v>575</v>
      </c>
      <c r="R47">
        <v>30</v>
      </c>
      <c r="S47">
        <v>10</v>
      </c>
      <c r="T47">
        <v>30</v>
      </c>
      <c r="U47">
        <v>40</v>
      </c>
      <c r="V47" t="s">
        <v>54</v>
      </c>
      <c r="W47" t="s">
        <v>54</v>
      </c>
      <c r="X47" t="s">
        <v>54</v>
      </c>
      <c r="Y47">
        <v>150</v>
      </c>
      <c r="Z47">
        <v>2</v>
      </c>
      <c r="AA47">
        <v>300</v>
      </c>
      <c r="AB47" t="s">
        <v>54</v>
      </c>
      <c r="AC47" t="s">
        <v>54</v>
      </c>
      <c r="AD47">
        <v>20</v>
      </c>
      <c r="AE47">
        <v>50</v>
      </c>
      <c r="AF47" t="s">
        <v>54</v>
      </c>
      <c r="AG47" t="s">
        <v>54</v>
      </c>
      <c r="AH47">
        <v>300</v>
      </c>
      <c r="AI47">
        <v>300</v>
      </c>
      <c r="AJ47">
        <v>40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>
        <v>800</v>
      </c>
      <c r="AT47" t="s">
        <v>54</v>
      </c>
      <c r="AU47" t="s">
        <v>54</v>
      </c>
      <c r="AV47" t="s">
        <v>54</v>
      </c>
      <c r="AW47" t="s">
        <v>54</v>
      </c>
      <c r="AX47">
        <v>50</v>
      </c>
      <c r="AZ47">
        <v>1850</v>
      </c>
      <c r="BA47" t="s">
        <v>55</v>
      </c>
    </row>
    <row r="48" spans="1:53" x14ac:dyDescent="0.45">
      <c r="A48">
        <v>6</v>
      </c>
      <c r="C48" t="str">
        <f>RIGHT([1]Raw_Granville_1850!B51,LEN([1]Raw_Granville_1850!B51)-1)</f>
        <v>Albert Fluit</v>
      </c>
      <c r="D48" t="s">
        <v>101</v>
      </c>
      <c r="F48">
        <v>70</v>
      </c>
      <c r="G48">
        <v>30</v>
      </c>
      <c r="H48">
        <v>800</v>
      </c>
      <c r="I48">
        <v>80</v>
      </c>
      <c r="J48">
        <v>1</v>
      </c>
      <c r="K48" t="s">
        <v>54</v>
      </c>
      <c r="L48">
        <v>2</v>
      </c>
      <c r="M48" t="s">
        <v>54</v>
      </c>
      <c r="N48">
        <v>12</v>
      </c>
      <c r="O48" t="s">
        <v>54</v>
      </c>
      <c r="P48">
        <v>2</v>
      </c>
      <c r="Q48">
        <v>210</v>
      </c>
      <c r="R48" t="s">
        <v>54</v>
      </c>
      <c r="S48" t="s">
        <v>54</v>
      </c>
      <c r="T48">
        <v>6</v>
      </c>
      <c r="U48">
        <v>20</v>
      </c>
      <c r="V48" t="s">
        <v>54</v>
      </c>
      <c r="W48" t="s">
        <v>54</v>
      </c>
      <c r="X48" t="s">
        <v>54</v>
      </c>
      <c r="Y48" t="s">
        <v>54</v>
      </c>
      <c r="Z48" t="s">
        <v>54</v>
      </c>
      <c r="AA48">
        <v>200</v>
      </c>
      <c r="AB48" t="s">
        <v>54</v>
      </c>
      <c r="AC48" t="s">
        <v>54</v>
      </c>
      <c r="AD48">
        <v>10</v>
      </c>
      <c r="AE48" t="s">
        <v>54</v>
      </c>
      <c r="AF48" t="s">
        <v>54</v>
      </c>
      <c r="AG48" t="s">
        <v>54</v>
      </c>
      <c r="AH48">
        <v>200</v>
      </c>
      <c r="AI48">
        <v>150</v>
      </c>
      <c r="AJ48">
        <v>20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>
        <v>200</v>
      </c>
      <c r="AT48" t="s">
        <v>54</v>
      </c>
      <c r="AU48" t="s">
        <v>54</v>
      </c>
      <c r="AV48" t="s">
        <v>54</v>
      </c>
      <c r="AW48" t="s">
        <v>54</v>
      </c>
      <c r="AX48">
        <v>50</v>
      </c>
      <c r="AZ48">
        <v>1850</v>
      </c>
      <c r="BA48" t="s">
        <v>55</v>
      </c>
    </row>
    <row r="49" spans="1:53" x14ac:dyDescent="0.45">
      <c r="A49">
        <v>7</v>
      </c>
      <c r="C49" t="str">
        <f>RIGHT([1]Raw_Granville_1850!B52,LEN([1]Raw_Granville_1850!B52)-1)</f>
        <v>donathan Jewelt</v>
      </c>
      <c r="D49" t="s">
        <v>102</v>
      </c>
      <c r="F49">
        <v>100</v>
      </c>
      <c r="G49">
        <v>25</v>
      </c>
      <c r="H49">
        <v>800</v>
      </c>
      <c r="I49">
        <v>100</v>
      </c>
      <c r="J49">
        <v>2</v>
      </c>
      <c r="K49" t="s">
        <v>54</v>
      </c>
      <c r="L49">
        <v>6</v>
      </c>
      <c r="M49">
        <v>2</v>
      </c>
      <c r="N49">
        <v>5</v>
      </c>
      <c r="O49" t="s">
        <v>54</v>
      </c>
      <c r="P49">
        <v>4</v>
      </c>
      <c r="Q49">
        <v>455</v>
      </c>
      <c r="R49" t="s">
        <v>54</v>
      </c>
      <c r="S49" t="s">
        <v>54</v>
      </c>
      <c r="T49">
        <v>30</v>
      </c>
      <c r="U49">
        <v>100</v>
      </c>
      <c r="V49" t="s">
        <v>54</v>
      </c>
      <c r="W49" t="s">
        <v>54</v>
      </c>
      <c r="X49" t="s">
        <v>54</v>
      </c>
      <c r="Y49" t="s">
        <v>54</v>
      </c>
      <c r="Z49" t="s">
        <v>54</v>
      </c>
      <c r="AA49">
        <v>150</v>
      </c>
      <c r="AB49" t="s">
        <v>54</v>
      </c>
      <c r="AC49" t="s">
        <v>54</v>
      </c>
      <c r="AD49" t="s">
        <v>54</v>
      </c>
      <c r="AE49">
        <v>40</v>
      </c>
      <c r="AF49" t="s">
        <v>54</v>
      </c>
      <c r="AG49" t="s">
        <v>54</v>
      </c>
      <c r="AH49">
        <v>200</v>
      </c>
      <c r="AI49">
        <v>100</v>
      </c>
      <c r="AJ49">
        <v>20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>
        <v>150</v>
      </c>
      <c r="AT49" t="s">
        <v>54</v>
      </c>
      <c r="AU49" t="s">
        <v>54</v>
      </c>
      <c r="AV49" t="s">
        <v>54</v>
      </c>
      <c r="AW49" t="s">
        <v>54</v>
      </c>
      <c r="AX49">
        <v>25</v>
      </c>
      <c r="AZ49">
        <v>1850</v>
      </c>
      <c r="BA49" t="s">
        <v>55</v>
      </c>
    </row>
    <row r="50" spans="1:53" x14ac:dyDescent="0.45">
      <c r="A50">
        <v>8</v>
      </c>
      <c r="C50" t="str">
        <f>RIGHT([1]Raw_Granville_1850!B53,LEN([1]Raw_Granville_1850!B53)-1)</f>
        <v>Olis Lamb</v>
      </c>
      <c r="D50" t="s">
        <v>103</v>
      </c>
      <c r="F50">
        <v>60</v>
      </c>
      <c r="G50">
        <v>70</v>
      </c>
      <c r="H50">
        <v>1200</v>
      </c>
      <c r="I50">
        <v>85</v>
      </c>
      <c r="J50">
        <v>4</v>
      </c>
      <c r="K50" t="s">
        <v>54</v>
      </c>
      <c r="L50">
        <v>2</v>
      </c>
      <c r="M50">
        <v>2</v>
      </c>
      <c r="N50">
        <v>16</v>
      </c>
      <c r="O50" t="s">
        <v>54</v>
      </c>
      <c r="P50">
        <v>2</v>
      </c>
      <c r="Q50">
        <v>677</v>
      </c>
      <c r="R50">
        <v>15</v>
      </c>
      <c r="S50">
        <v>6</v>
      </c>
      <c r="T50">
        <v>25</v>
      </c>
      <c r="U50">
        <v>40</v>
      </c>
      <c r="V50" t="s">
        <v>54</v>
      </c>
      <c r="W50" t="s">
        <v>54</v>
      </c>
      <c r="X50" t="s">
        <v>54</v>
      </c>
      <c r="Y50" t="s">
        <v>54</v>
      </c>
      <c r="Z50" t="s">
        <v>54</v>
      </c>
      <c r="AA50">
        <v>100</v>
      </c>
      <c r="AB50" t="s">
        <v>54</v>
      </c>
      <c r="AC50" t="s">
        <v>54</v>
      </c>
      <c r="AD50">
        <v>10</v>
      </c>
      <c r="AE50">
        <v>10</v>
      </c>
      <c r="AF50" t="s">
        <v>54</v>
      </c>
      <c r="AG50" t="s">
        <v>54</v>
      </c>
      <c r="AH50">
        <v>200</v>
      </c>
      <c r="AI50">
        <v>100</v>
      </c>
      <c r="AJ50">
        <v>25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>
        <v>100</v>
      </c>
      <c r="AT50" t="s">
        <v>54</v>
      </c>
      <c r="AU50" t="s">
        <v>54</v>
      </c>
      <c r="AV50" t="s">
        <v>54</v>
      </c>
      <c r="AW50" t="s">
        <v>54</v>
      </c>
      <c r="AX50">
        <v>75</v>
      </c>
      <c r="AZ50">
        <v>1850</v>
      </c>
      <c r="BA50" t="s">
        <v>55</v>
      </c>
    </row>
    <row r="51" spans="1:53" x14ac:dyDescent="0.45">
      <c r="A51">
        <v>9</v>
      </c>
      <c r="C51" t="str">
        <f>RIGHT([1]Raw_Granville_1850!B54,LEN([1]Raw_Granville_1850!B54)-1)</f>
        <v>Ana Houbbaid</v>
      </c>
      <c r="D51" t="s">
        <v>104</v>
      </c>
      <c r="F51">
        <v>75</v>
      </c>
      <c r="G51">
        <v>50</v>
      </c>
      <c r="H51">
        <v>1200</v>
      </c>
      <c r="I51">
        <v>60</v>
      </c>
      <c r="J51">
        <v>2</v>
      </c>
      <c r="K51" t="s">
        <v>54</v>
      </c>
      <c r="L51">
        <v>3</v>
      </c>
      <c r="M51" t="s">
        <v>54</v>
      </c>
      <c r="N51">
        <v>4</v>
      </c>
      <c r="O51">
        <v>33</v>
      </c>
      <c r="P51">
        <v>5</v>
      </c>
      <c r="Q51">
        <v>320</v>
      </c>
      <c r="R51" t="s">
        <v>54</v>
      </c>
      <c r="S51" t="s">
        <v>54</v>
      </c>
      <c r="T51">
        <v>15</v>
      </c>
      <c r="U51">
        <v>28</v>
      </c>
      <c r="V51" t="s">
        <v>54</v>
      </c>
      <c r="W51" t="s">
        <v>54</v>
      </c>
      <c r="X51" t="s">
        <v>54</v>
      </c>
      <c r="Y51">
        <v>110</v>
      </c>
      <c r="Z51">
        <v>5</v>
      </c>
      <c r="AA51">
        <v>30</v>
      </c>
      <c r="AB51" t="s">
        <v>54</v>
      </c>
      <c r="AC51" t="s">
        <v>54</v>
      </c>
      <c r="AD51" t="s">
        <v>54</v>
      </c>
      <c r="AE51">
        <v>10</v>
      </c>
      <c r="AF51" t="s">
        <v>54</v>
      </c>
      <c r="AG51" t="s">
        <v>54</v>
      </c>
      <c r="AH51">
        <v>500</v>
      </c>
      <c r="AI51">
        <v>300</v>
      </c>
      <c r="AJ51">
        <v>40</v>
      </c>
      <c r="AK51" t="s">
        <v>54</v>
      </c>
      <c r="AL51">
        <v>10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>
        <v>650</v>
      </c>
      <c r="AT51" t="s">
        <v>54</v>
      </c>
      <c r="AU51" t="s">
        <v>54</v>
      </c>
      <c r="AV51" t="s">
        <v>54</v>
      </c>
      <c r="AW51" t="s">
        <v>54</v>
      </c>
      <c r="AX51">
        <v>50</v>
      </c>
      <c r="AZ51">
        <v>1850</v>
      </c>
      <c r="BA51" t="s">
        <v>55</v>
      </c>
    </row>
    <row r="52" spans="1:53" x14ac:dyDescent="0.45">
      <c r="A52">
        <v>10</v>
      </c>
      <c r="C52" t="str">
        <f>RIGHT([1]Raw_Granville_1850!B55,LEN([1]Raw_Granville_1850!B55)-1)</f>
        <v>,Abd Adams</v>
      </c>
      <c r="D52" t="s">
        <v>105</v>
      </c>
      <c r="F52">
        <v>40</v>
      </c>
      <c r="G52">
        <v>40</v>
      </c>
      <c r="H52">
        <v>800</v>
      </c>
      <c r="I52">
        <v>50</v>
      </c>
      <c r="J52">
        <v>1</v>
      </c>
      <c r="K52" t="s">
        <v>54</v>
      </c>
      <c r="L52">
        <v>2</v>
      </c>
      <c r="M52" t="s">
        <v>54</v>
      </c>
      <c r="N52" t="s">
        <v>54</v>
      </c>
      <c r="O52" t="s">
        <v>54</v>
      </c>
      <c r="P52">
        <v>1</v>
      </c>
      <c r="Q52">
        <v>145</v>
      </c>
      <c r="R52" t="s">
        <v>54</v>
      </c>
      <c r="S52" t="s">
        <v>54</v>
      </c>
      <c r="T52">
        <v>75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>
        <v>2</v>
      </c>
      <c r="AA52">
        <v>12</v>
      </c>
      <c r="AB52" t="s">
        <v>54</v>
      </c>
      <c r="AC52" t="s">
        <v>54</v>
      </c>
      <c r="AD52" t="s">
        <v>54</v>
      </c>
      <c r="AE52">
        <v>10</v>
      </c>
      <c r="AF52" t="s">
        <v>54</v>
      </c>
      <c r="AG52" t="s">
        <v>54</v>
      </c>
      <c r="AH52">
        <v>200</v>
      </c>
      <c r="AI52" t="s">
        <v>54</v>
      </c>
      <c r="AJ52">
        <v>5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  <c r="AV52" t="s">
        <v>54</v>
      </c>
      <c r="AW52" t="s">
        <v>54</v>
      </c>
      <c r="AX52">
        <v>30</v>
      </c>
      <c r="AZ52">
        <v>1850</v>
      </c>
      <c r="BA52" t="s">
        <v>55</v>
      </c>
    </row>
    <row r="53" spans="1:53" x14ac:dyDescent="0.45">
      <c r="A53">
        <v>11</v>
      </c>
      <c r="C53" t="str">
        <f>RIGHT([1]Raw_Granville_1850!B56,LEN([1]Raw_Granville_1850!B56)-1)</f>
        <v>Allen</v>
      </c>
      <c r="D53" t="s">
        <v>106</v>
      </c>
      <c r="F53">
        <v>25</v>
      </c>
      <c r="G53">
        <v>10</v>
      </c>
      <c r="H53">
        <v>600</v>
      </c>
      <c r="I53">
        <v>40</v>
      </c>
      <c r="J53">
        <v>1</v>
      </c>
      <c r="K53" t="s">
        <v>54</v>
      </c>
      <c r="L53">
        <v>5</v>
      </c>
      <c r="M53" t="s">
        <v>54</v>
      </c>
      <c r="N53">
        <v>4</v>
      </c>
      <c r="O53" t="s">
        <v>54</v>
      </c>
      <c r="P53">
        <v>1</v>
      </c>
      <c r="Q53">
        <v>220</v>
      </c>
      <c r="R53" t="s">
        <v>54</v>
      </c>
      <c r="S53" t="s">
        <v>54</v>
      </c>
      <c r="T53">
        <v>50</v>
      </c>
      <c r="U53">
        <v>35</v>
      </c>
      <c r="V53" t="s">
        <v>54</v>
      </c>
      <c r="W53" t="s">
        <v>54</v>
      </c>
      <c r="X53" t="s">
        <v>54</v>
      </c>
      <c r="Y53" t="s">
        <v>54</v>
      </c>
      <c r="Z53" t="s">
        <v>54</v>
      </c>
      <c r="AA53">
        <v>60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  <c r="AG53" t="s">
        <v>54</v>
      </c>
      <c r="AH53">
        <v>400</v>
      </c>
      <c r="AI53">
        <v>60</v>
      </c>
      <c r="AJ53">
        <v>5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>
        <v>300</v>
      </c>
      <c r="AT53" t="s">
        <v>54</v>
      </c>
      <c r="AU53" t="s">
        <v>54</v>
      </c>
      <c r="AV53" t="s">
        <v>54</v>
      </c>
      <c r="AW53" t="s">
        <v>54</v>
      </c>
      <c r="AX53">
        <v>60</v>
      </c>
      <c r="AZ53">
        <v>1850</v>
      </c>
      <c r="BA53" t="s">
        <v>55</v>
      </c>
    </row>
    <row r="54" spans="1:53" x14ac:dyDescent="0.45">
      <c r="A54">
        <v>12</v>
      </c>
      <c r="C54" t="str">
        <f>RIGHT([1]Raw_Granville_1850!B57,LEN([1]Raw_Granville_1850!B57)-1)</f>
        <v>David Gregg</v>
      </c>
      <c r="D54" t="s">
        <v>107</v>
      </c>
      <c r="F54">
        <v>25</v>
      </c>
      <c r="G54">
        <v>25</v>
      </c>
      <c r="H54">
        <v>500</v>
      </c>
      <c r="I54">
        <v>40</v>
      </c>
      <c r="J54">
        <v>1</v>
      </c>
      <c r="K54" t="s">
        <v>54</v>
      </c>
      <c r="L54">
        <v>2</v>
      </c>
      <c r="M54">
        <v>2</v>
      </c>
      <c r="N54" t="s">
        <v>54</v>
      </c>
      <c r="O54" t="s">
        <v>54</v>
      </c>
      <c r="P54">
        <v>1</v>
      </c>
      <c r="Q54">
        <v>125</v>
      </c>
      <c r="R54" t="s">
        <v>54</v>
      </c>
      <c r="S54" t="s">
        <v>54</v>
      </c>
      <c r="T54">
        <v>75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54</v>
      </c>
      <c r="AA54">
        <v>175</v>
      </c>
      <c r="AB54" t="s">
        <v>54</v>
      </c>
      <c r="AC54" t="s">
        <v>54</v>
      </c>
      <c r="AD54" t="s">
        <v>54</v>
      </c>
      <c r="AE54" t="s">
        <v>54</v>
      </c>
      <c r="AF54" t="s">
        <v>54</v>
      </c>
      <c r="AG54" t="s">
        <v>54</v>
      </c>
      <c r="AH54">
        <v>200</v>
      </c>
      <c r="AI54" t="s">
        <v>54</v>
      </c>
      <c r="AJ54">
        <v>15</v>
      </c>
      <c r="AK54" t="s">
        <v>54</v>
      </c>
      <c r="AL54">
        <v>11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>
        <v>200</v>
      </c>
      <c r="AT54" t="s">
        <v>54</v>
      </c>
      <c r="AU54" t="s">
        <v>54</v>
      </c>
      <c r="AV54" t="s">
        <v>54</v>
      </c>
      <c r="AW54" t="s">
        <v>54</v>
      </c>
      <c r="AX54">
        <v>50</v>
      </c>
      <c r="AZ54">
        <v>1850</v>
      </c>
      <c r="BA54" t="s">
        <v>55</v>
      </c>
    </row>
    <row r="55" spans="1:53" x14ac:dyDescent="0.45">
      <c r="A55">
        <v>13</v>
      </c>
      <c r="C55" t="str">
        <f>RIGHT([1]Raw_Granville_1850!B58,LEN([1]Raw_Granville_1850!B58)-1)</f>
        <v>Jasiah Babeock</v>
      </c>
      <c r="D55" t="s">
        <v>108</v>
      </c>
      <c r="F55">
        <v>80</v>
      </c>
      <c r="G55">
        <v>70</v>
      </c>
      <c r="H55">
        <v>1250</v>
      </c>
      <c r="I55">
        <v>60</v>
      </c>
      <c r="J55">
        <v>1</v>
      </c>
      <c r="K55" t="s">
        <v>54</v>
      </c>
      <c r="L55">
        <v>2</v>
      </c>
      <c r="M55" t="s">
        <v>54</v>
      </c>
      <c r="N55">
        <v>3</v>
      </c>
      <c r="O55">
        <v>2</v>
      </c>
      <c r="P55">
        <v>2</v>
      </c>
      <c r="Q55">
        <v>200</v>
      </c>
      <c r="R55" t="s">
        <v>54</v>
      </c>
      <c r="S55" t="s">
        <v>54</v>
      </c>
      <c r="T55">
        <v>50</v>
      </c>
      <c r="U55">
        <v>70</v>
      </c>
      <c r="V55" t="s">
        <v>54</v>
      </c>
      <c r="W55" t="s">
        <v>54</v>
      </c>
      <c r="X55" t="s">
        <v>54</v>
      </c>
      <c r="Y55">
        <v>8</v>
      </c>
      <c r="Z55" t="s">
        <v>54</v>
      </c>
      <c r="AA55">
        <v>100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>
        <v>150</v>
      </c>
      <c r="AI55" t="s">
        <v>54</v>
      </c>
      <c r="AJ55">
        <v>20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>
        <v>200</v>
      </c>
      <c r="AT55" t="s">
        <v>54</v>
      </c>
      <c r="AU55" t="s">
        <v>54</v>
      </c>
      <c r="AV55" t="s">
        <v>54</v>
      </c>
      <c r="AW55" t="s">
        <v>54</v>
      </c>
      <c r="AX55">
        <v>50</v>
      </c>
      <c r="AZ55">
        <v>1850</v>
      </c>
      <c r="BA55" t="s">
        <v>55</v>
      </c>
    </row>
    <row r="56" spans="1:53" x14ac:dyDescent="0.45">
      <c r="A56">
        <v>14</v>
      </c>
      <c r="C56" t="str">
        <f>RIGHT([1]Raw_Granville_1850!B59,LEN([1]Raw_Granville_1850!B59)-1)</f>
        <v>alames Robbly</v>
      </c>
      <c r="D56" t="s">
        <v>109</v>
      </c>
      <c r="F56">
        <v>50</v>
      </c>
      <c r="G56">
        <v>20</v>
      </c>
      <c r="H56">
        <v>600</v>
      </c>
      <c r="I56">
        <v>60</v>
      </c>
      <c r="J56">
        <v>1</v>
      </c>
      <c r="K56" t="s">
        <v>54</v>
      </c>
      <c r="L56">
        <v>2</v>
      </c>
      <c r="M56">
        <v>2</v>
      </c>
      <c r="N56" t="s">
        <v>54</v>
      </c>
      <c r="O56">
        <v>28</v>
      </c>
      <c r="P56">
        <v>2</v>
      </c>
      <c r="Q56">
        <v>170</v>
      </c>
      <c r="R56" t="s">
        <v>54</v>
      </c>
      <c r="S56" t="s">
        <v>54</v>
      </c>
      <c r="T56">
        <v>20</v>
      </c>
      <c r="U56">
        <v>15</v>
      </c>
      <c r="V56" t="s">
        <v>54</v>
      </c>
      <c r="W56" t="s">
        <v>54</v>
      </c>
      <c r="X56" t="s">
        <v>54</v>
      </c>
      <c r="Y56">
        <v>92</v>
      </c>
      <c r="Z56" t="s">
        <v>54</v>
      </c>
      <c r="AA56">
        <v>25</v>
      </c>
      <c r="AB56" t="s">
        <v>54</v>
      </c>
      <c r="AC56" t="s">
        <v>54</v>
      </c>
      <c r="AD56" t="s">
        <v>54</v>
      </c>
      <c r="AE56" t="s">
        <v>54</v>
      </c>
      <c r="AF56" t="s">
        <v>54</v>
      </c>
      <c r="AG56" t="s">
        <v>54</v>
      </c>
      <c r="AH56">
        <v>200</v>
      </c>
      <c r="AI56" t="s">
        <v>54</v>
      </c>
      <c r="AJ56">
        <v>10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  <c r="AW56" t="s">
        <v>54</v>
      </c>
      <c r="AX56">
        <v>50</v>
      </c>
      <c r="AZ56">
        <v>1850</v>
      </c>
      <c r="BA56" t="s">
        <v>55</v>
      </c>
    </row>
    <row r="57" spans="1:53" x14ac:dyDescent="0.45">
      <c r="A57">
        <v>15</v>
      </c>
      <c r="C57" t="str">
        <f>RIGHT([1]Raw_Granville_1850!B60,LEN([1]Raw_Granville_1850!B60)-1)</f>
        <v>Henry Cadle</v>
      </c>
      <c r="D57" t="s">
        <v>110</v>
      </c>
      <c r="F57">
        <v>40</v>
      </c>
      <c r="G57">
        <v>30</v>
      </c>
      <c r="H57">
        <v>1400</v>
      </c>
      <c r="I57">
        <v>100</v>
      </c>
      <c r="J57">
        <v>2</v>
      </c>
      <c r="K57" t="s">
        <v>54</v>
      </c>
      <c r="L57">
        <v>5</v>
      </c>
      <c r="M57">
        <v>2</v>
      </c>
      <c r="N57">
        <v>2</v>
      </c>
      <c r="O57">
        <v>40</v>
      </c>
      <c r="P57">
        <v>4</v>
      </c>
      <c r="Q57">
        <v>420</v>
      </c>
      <c r="R57" t="s">
        <v>54</v>
      </c>
      <c r="S57" t="s">
        <v>54</v>
      </c>
      <c r="T57">
        <v>60</v>
      </c>
      <c r="U57">
        <v>40</v>
      </c>
      <c r="V57" t="s">
        <v>54</v>
      </c>
      <c r="W57" t="s">
        <v>54</v>
      </c>
      <c r="X57" t="s">
        <v>54</v>
      </c>
      <c r="Y57">
        <v>130</v>
      </c>
      <c r="Z57">
        <v>4</v>
      </c>
      <c r="AA57">
        <v>40</v>
      </c>
      <c r="AB57" t="s">
        <v>54</v>
      </c>
      <c r="AC57" t="s">
        <v>54</v>
      </c>
      <c r="AD57">
        <v>10</v>
      </c>
      <c r="AE57">
        <v>25</v>
      </c>
      <c r="AF57" t="s">
        <v>54</v>
      </c>
      <c r="AG57" t="s">
        <v>54</v>
      </c>
      <c r="AH57">
        <v>150</v>
      </c>
      <c r="AI57" t="s">
        <v>54</v>
      </c>
      <c r="AJ57">
        <v>25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>
        <v>100</v>
      </c>
      <c r="AT57" t="s">
        <v>54</v>
      </c>
      <c r="AU57" t="s">
        <v>54</v>
      </c>
      <c r="AV57" t="s">
        <v>54</v>
      </c>
      <c r="AW57" t="s">
        <v>54</v>
      </c>
      <c r="AX57">
        <v>60</v>
      </c>
      <c r="AZ57">
        <v>1850</v>
      </c>
      <c r="BA57" t="s">
        <v>55</v>
      </c>
    </row>
    <row r="58" spans="1:53" x14ac:dyDescent="0.45">
      <c r="A58">
        <v>16</v>
      </c>
      <c r="C58" t="str">
        <f>RIGHT([1]Raw_Granville_1850!B61,LEN([1]Raw_Granville_1850!B61)-1)</f>
        <v>clanes Calon</v>
      </c>
      <c r="D58" t="s">
        <v>111</v>
      </c>
      <c r="F58">
        <v>50</v>
      </c>
      <c r="G58">
        <v>30</v>
      </c>
      <c r="H58">
        <v>600</v>
      </c>
      <c r="I58">
        <v>50</v>
      </c>
      <c r="J58">
        <v>1</v>
      </c>
      <c r="K58" t="s">
        <v>54</v>
      </c>
      <c r="L58">
        <v>3</v>
      </c>
      <c r="M58" t="s">
        <v>54</v>
      </c>
      <c r="N58">
        <v>2</v>
      </c>
      <c r="O58" t="s">
        <v>54</v>
      </c>
      <c r="P58">
        <v>2</v>
      </c>
      <c r="Q58">
        <v>180</v>
      </c>
      <c r="R58" t="s">
        <v>54</v>
      </c>
      <c r="S58" t="s">
        <v>54</v>
      </c>
      <c r="T58">
        <v>25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54</v>
      </c>
      <c r="AA58">
        <v>15</v>
      </c>
      <c r="AB58" t="s">
        <v>54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>
        <v>200</v>
      </c>
      <c r="AI58">
        <v>100</v>
      </c>
      <c r="AJ58">
        <v>15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 t="s">
        <v>54</v>
      </c>
      <c r="AW58" t="s">
        <v>54</v>
      </c>
      <c r="AX58">
        <v>25</v>
      </c>
      <c r="AZ58">
        <v>1850</v>
      </c>
      <c r="BA58" t="s">
        <v>55</v>
      </c>
    </row>
    <row r="59" spans="1:53" x14ac:dyDescent="0.45">
      <c r="A59">
        <v>17</v>
      </c>
      <c r="C59" t="str">
        <f>RIGHT([1]Raw_Granville_1850!B62,LEN([1]Raw_Granville_1850!B62)-1)</f>
        <v>Himas Glark</v>
      </c>
      <c r="D59" t="s">
        <v>112</v>
      </c>
      <c r="F59">
        <v>30</v>
      </c>
      <c r="G59">
        <v>32</v>
      </c>
      <c r="H59">
        <v>500</v>
      </c>
      <c r="I59">
        <v>40</v>
      </c>
      <c r="J59">
        <v>3</v>
      </c>
      <c r="K59" t="s">
        <v>54</v>
      </c>
      <c r="L59">
        <v>2</v>
      </c>
      <c r="M59" t="s">
        <v>54</v>
      </c>
      <c r="N59" t="s">
        <v>54</v>
      </c>
      <c r="O59">
        <v>2</v>
      </c>
      <c r="P59">
        <v>1</v>
      </c>
      <c r="Q59">
        <v>270</v>
      </c>
      <c r="R59" t="s">
        <v>54</v>
      </c>
      <c r="S59">
        <v>8</v>
      </c>
      <c r="T59">
        <v>20</v>
      </c>
      <c r="U59">
        <v>15</v>
      </c>
      <c r="V59" t="s">
        <v>54</v>
      </c>
      <c r="W59" t="s">
        <v>54</v>
      </c>
      <c r="X59" t="s">
        <v>54</v>
      </c>
      <c r="Y59">
        <v>8</v>
      </c>
      <c r="Z59">
        <v>2</v>
      </c>
      <c r="AA59">
        <v>100</v>
      </c>
      <c r="AB59" t="s">
        <v>54</v>
      </c>
      <c r="AC59" t="s">
        <v>54</v>
      </c>
      <c r="AD59">
        <v>10</v>
      </c>
      <c r="AE59" t="s">
        <v>54</v>
      </c>
      <c r="AF59" t="s">
        <v>54</v>
      </c>
      <c r="AG59" t="s">
        <v>54</v>
      </c>
      <c r="AH59">
        <v>200</v>
      </c>
      <c r="AI59" t="s">
        <v>54</v>
      </c>
      <c r="AJ59">
        <v>15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>
        <v>100</v>
      </c>
      <c r="AT59" t="s">
        <v>54</v>
      </c>
      <c r="AU59" t="s">
        <v>54</v>
      </c>
      <c r="AV59" t="s">
        <v>54</v>
      </c>
      <c r="AW59" t="s">
        <v>54</v>
      </c>
      <c r="AX59">
        <v>50</v>
      </c>
      <c r="AZ59">
        <v>1850</v>
      </c>
      <c r="BA59" t="s">
        <v>55</v>
      </c>
    </row>
    <row r="60" spans="1:53" x14ac:dyDescent="0.45">
      <c r="A60">
        <v>18</v>
      </c>
      <c r="C60" t="str">
        <f>RIGHT([1]Raw_Granville_1850!B63,LEN([1]Raw_Granville_1850!B63)-1)</f>
        <v>Philander Brown</v>
      </c>
      <c r="D60" t="s">
        <v>113</v>
      </c>
      <c r="F60">
        <v>50</v>
      </c>
      <c r="G60">
        <v>55</v>
      </c>
      <c r="H60">
        <v>600</v>
      </c>
      <c r="I60">
        <v>50</v>
      </c>
      <c r="J60">
        <v>1</v>
      </c>
      <c r="K60" t="s">
        <v>54</v>
      </c>
      <c r="L60">
        <v>1</v>
      </c>
      <c r="M60">
        <v>2</v>
      </c>
      <c r="N60" t="s">
        <v>54</v>
      </c>
      <c r="O60" t="s">
        <v>54</v>
      </c>
      <c r="P60" t="s">
        <v>54</v>
      </c>
      <c r="Q60">
        <v>175</v>
      </c>
      <c r="R60" t="s">
        <v>54</v>
      </c>
      <c r="S60" t="s">
        <v>54</v>
      </c>
      <c r="T60">
        <v>25</v>
      </c>
      <c r="U60">
        <v>40</v>
      </c>
      <c r="V60" t="s">
        <v>54</v>
      </c>
      <c r="W60" t="s">
        <v>54</v>
      </c>
      <c r="X60" t="s">
        <v>54</v>
      </c>
      <c r="Y60" t="s">
        <v>54</v>
      </c>
      <c r="Z60" t="s">
        <v>54</v>
      </c>
      <c r="AA60">
        <v>100</v>
      </c>
      <c r="AB60" t="s">
        <v>54</v>
      </c>
      <c r="AC60" t="s">
        <v>54</v>
      </c>
      <c r="AD60">
        <v>10</v>
      </c>
      <c r="AE60" t="s">
        <v>54</v>
      </c>
      <c r="AF60" t="s">
        <v>54</v>
      </c>
      <c r="AG60" t="s">
        <v>54</v>
      </c>
      <c r="AH60">
        <v>100</v>
      </c>
      <c r="AI60" t="s">
        <v>54</v>
      </c>
      <c r="AJ60">
        <v>25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 t="s">
        <v>54</v>
      </c>
      <c r="AW60" t="s">
        <v>54</v>
      </c>
      <c r="AX60">
        <v>40</v>
      </c>
      <c r="AZ60">
        <v>1850</v>
      </c>
      <c r="BA60" t="s">
        <v>55</v>
      </c>
    </row>
    <row r="61" spans="1:53" x14ac:dyDescent="0.45">
      <c r="A61">
        <v>19</v>
      </c>
      <c r="C61" t="str">
        <f>RIGHT([1]Raw_Granville_1850!B64,LEN([1]Raw_Granville_1850!B64)-1)</f>
        <v>Ma Cady</v>
      </c>
      <c r="D61" t="s">
        <v>114</v>
      </c>
      <c r="F61">
        <v>35</v>
      </c>
      <c r="G61">
        <v>15</v>
      </c>
      <c r="H61">
        <v>1000</v>
      </c>
      <c r="I61">
        <v>5</v>
      </c>
      <c r="J61" t="s">
        <v>54</v>
      </c>
      <c r="K61" t="s">
        <v>54</v>
      </c>
      <c r="L61">
        <v>2</v>
      </c>
      <c r="M61">
        <v>2</v>
      </c>
      <c r="N61">
        <v>1</v>
      </c>
      <c r="O61">
        <v>21</v>
      </c>
      <c r="P61">
        <v>1</v>
      </c>
      <c r="Q61">
        <v>125</v>
      </c>
      <c r="R61" t="s">
        <v>54</v>
      </c>
      <c r="S61">
        <v>10</v>
      </c>
      <c r="T61">
        <v>30</v>
      </c>
      <c r="U61">
        <v>25</v>
      </c>
      <c r="V61" t="s">
        <v>54</v>
      </c>
      <c r="W61" t="s">
        <v>54</v>
      </c>
      <c r="X61" t="s">
        <v>54</v>
      </c>
      <c r="Y61">
        <v>70</v>
      </c>
      <c r="Z61">
        <v>3</v>
      </c>
      <c r="AA61">
        <v>50</v>
      </c>
      <c r="AB61" t="s">
        <v>54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>
        <v>250</v>
      </c>
      <c r="AI61" t="s">
        <v>54</v>
      </c>
      <c r="AJ61">
        <v>25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>
        <v>100</v>
      </c>
      <c r="AT61" t="s">
        <v>54</v>
      </c>
      <c r="AU61" t="s">
        <v>54</v>
      </c>
      <c r="AV61" t="s">
        <v>54</v>
      </c>
      <c r="AW61">
        <v>20</v>
      </c>
      <c r="AX61">
        <v>45</v>
      </c>
      <c r="AZ61">
        <v>1850</v>
      </c>
      <c r="BA61" t="s">
        <v>55</v>
      </c>
    </row>
    <row r="62" spans="1:53" x14ac:dyDescent="0.45">
      <c r="A62">
        <v>20</v>
      </c>
      <c r="C62" t="str">
        <f>RIGHT([1]Raw_Granville_1850!B65,LEN([1]Raw_Granville_1850!B65)-1)</f>
        <v>dunnel Parkis</v>
      </c>
      <c r="D62" t="s">
        <v>115</v>
      </c>
      <c r="F62">
        <v>50</v>
      </c>
      <c r="G62">
        <v>60</v>
      </c>
      <c r="H62">
        <v>800</v>
      </c>
      <c r="I62">
        <v>65</v>
      </c>
      <c r="J62">
        <v>1</v>
      </c>
      <c r="K62" t="s">
        <v>54</v>
      </c>
      <c r="L62">
        <v>2</v>
      </c>
      <c r="M62">
        <v>2</v>
      </c>
      <c r="N62" t="s">
        <v>54</v>
      </c>
      <c r="O62">
        <v>37</v>
      </c>
      <c r="P62">
        <v>2</v>
      </c>
      <c r="Q62">
        <v>210</v>
      </c>
      <c r="R62" t="s">
        <v>54</v>
      </c>
      <c r="S62">
        <v>5</v>
      </c>
      <c r="T62">
        <v>20</v>
      </c>
      <c r="U62">
        <v>15</v>
      </c>
      <c r="V62" t="s">
        <v>54</v>
      </c>
      <c r="W62" t="s">
        <v>54</v>
      </c>
      <c r="X62" t="s">
        <v>54</v>
      </c>
      <c r="Y62">
        <v>125</v>
      </c>
      <c r="Z62" t="s">
        <v>54</v>
      </c>
      <c r="AA62">
        <v>120</v>
      </c>
      <c r="AB62" t="s">
        <v>54</v>
      </c>
      <c r="AC62" t="s">
        <v>54</v>
      </c>
      <c r="AD62">
        <v>25</v>
      </c>
      <c r="AE62">
        <v>15</v>
      </c>
      <c r="AF62" t="s">
        <v>54</v>
      </c>
      <c r="AG62" t="s">
        <v>54</v>
      </c>
      <c r="AH62">
        <v>250</v>
      </c>
      <c r="AI62" t="s">
        <v>54</v>
      </c>
      <c r="AJ62">
        <v>20</v>
      </c>
      <c r="AK62" t="s">
        <v>54</v>
      </c>
      <c r="AL62">
        <v>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>
        <v>275</v>
      </c>
      <c r="AT62" t="s">
        <v>54</v>
      </c>
      <c r="AU62" t="s">
        <v>54</v>
      </c>
      <c r="AV62" t="s">
        <v>54</v>
      </c>
      <c r="AW62" t="s">
        <v>54</v>
      </c>
      <c r="AX62">
        <v>25</v>
      </c>
      <c r="AZ62">
        <v>1850</v>
      </c>
      <c r="BA62" t="s">
        <v>55</v>
      </c>
    </row>
    <row r="63" spans="1:53" x14ac:dyDescent="0.45">
      <c r="A63">
        <v>21</v>
      </c>
      <c r="C63" t="str">
        <f>RIGHT([1]Raw_Granville_1850!B66,LEN([1]Raw_Granville_1850!B66)-1)</f>
        <v>Robert Hemmedy</v>
      </c>
      <c r="D63" t="s">
        <v>116</v>
      </c>
      <c r="F63">
        <v>100</v>
      </c>
      <c r="G63">
        <v>60</v>
      </c>
      <c r="H63">
        <v>1200</v>
      </c>
      <c r="I63">
        <v>100</v>
      </c>
      <c r="J63">
        <v>3</v>
      </c>
      <c r="K63" t="s">
        <v>54</v>
      </c>
      <c r="L63">
        <v>2</v>
      </c>
      <c r="M63">
        <v>4</v>
      </c>
      <c r="N63" t="s">
        <v>54</v>
      </c>
      <c r="O63">
        <v>150</v>
      </c>
      <c r="P63">
        <v>1</v>
      </c>
      <c r="Q63">
        <v>542</v>
      </c>
      <c r="R63">
        <v>25</v>
      </c>
      <c r="S63" t="s">
        <v>54</v>
      </c>
      <c r="T63" t="s">
        <v>54</v>
      </c>
      <c r="U63">
        <v>50</v>
      </c>
      <c r="V63" t="s">
        <v>54</v>
      </c>
      <c r="W63" t="s">
        <v>54</v>
      </c>
      <c r="X63" t="s">
        <v>54</v>
      </c>
      <c r="Y63">
        <v>425</v>
      </c>
      <c r="Z63">
        <v>5</v>
      </c>
      <c r="AA63">
        <v>300</v>
      </c>
      <c r="AB63" t="s">
        <v>54</v>
      </c>
      <c r="AC63" t="s">
        <v>54</v>
      </c>
      <c r="AD63">
        <v>50</v>
      </c>
      <c r="AE63">
        <v>15</v>
      </c>
      <c r="AF63" t="s">
        <v>54</v>
      </c>
      <c r="AG63" t="s">
        <v>54</v>
      </c>
      <c r="AH63">
        <v>200</v>
      </c>
      <c r="AI63" t="s">
        <v>54</v>
      </c>
      <c r="AJ63">
        <v>70</v>
      </c>
      <c r="AK63" t="s">
        <v>54</v>
      </c>
      <c r="AL63">
        <v>30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>
        <v>200</v>
      </c>
      <c r="AT63" t="s">
        <v>54</v>
      </c>
      <c r="AU63" t="s">
        <v>54</v>
      </c>
      <c r="AV63" t="s">
        <v>54</v>
      </c>
      <c r="AW63" t="s">
        <v>54</v>
      </c>
      <c r="AX63">
        <v>60</v>
      </c>
      <c r="AZ63">
        <v>1850</v>
      </c>
      <c r="BA63" t="s">
        <v>55</v>
      </c>
    </row>
    <row r="64" spans="1:53" x14ac:dyDescent="0.45">
      <c r="A64">
        <v>22</v>
      </c>
      <c r="C64" t="str">
        <f>RIGHT([1]Raw_Granville_1850!B67,LEN([1]Raw_Granville_1850!B67)-1)</f>
        <v>the Roberton</v>
      </c>
      <c r="D64" t="s">
        <v>117</v>
      </c>
      <c r="F64">
        <v>100</v>
      </c>
      <c r="G64">
        <v>170</v>
      </c>
      <c r="H64">
        <v>1500</v>
      </c>
      <c r="I64">
        <v>80</v>
      </c>
      <c r="J64">
        <v>1</v>
      </c>
      <c r="K64" t="s">
        <v>54</v>
      </c>
      <c r="L64">
        <v>4</v>
      </c>
      <c r="M64">
        <v>2</v>
      </c>
      <c r="N64">
        <v>2</v>
      </c>
      <c r="O64">
        <v>102</v>
      </c>
      <c r="P64">
        <v>1</v>
      </c>
      <c r="Q64">
        <v>463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>
        <v>300</v>
      </c>
      <c r="Z64">
        <v>6</v>
      </c>
      <c r="AA64">
        <v>20</v>
      </c>
      <c r="AB64" t="s">
        <v>54</v>
      </c>
      <c r="AC64" t="s">
        <v>54</v>
      </c>
      <c r="AD64" t="s">
        <v>54</v>
      </c>
      <c r="AE64" t="s">
        <v>54</v>
      </c>
      <c r="AF64" t="s">
        <v>54</v>
      </c>
      <c r="AG64" t="s">
        <v>54</v>
      </c>
      <c r="AH64">
        <v>500</v>
      </c>
      <c r="AI64">
        <v>700</v>
      </c>
      <c r="AJ64">
        <v>35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>
        <v>240</v>
      </c>
      <c r="AT64" t="s">
        <v>54</v>
      </c>
      <c r="AU64" t="s">
        <v>54</v>
      </c>
      <c r="AV64" t="s">
        <v>54</v>
      </c>
      <c r="AW64" t="s">
        <v>54</v>
      </c>
      <c r="AX64">
        <v>60</v>
      </c>
      <c r="AZ64">
        <v>1850</v>
      </c>
      <c r="BA64" t="s">
        <v>55</v>
      </c>
    </row>
    <row r="65" spans="1:53" x14ac:dyDescent="0.45">
      <c r="A65">
        <v>23</v>
      </c>
      <c r="C65" t="str">
        <f>RIGHT([1]Raw_Granville_1850!B68,LEN([1]Raw_Granville_1850!B68)-1)</f>
        <v>damagle</v>
      </c>
      <c r="D65" t="s">
        <v>118</v>
      </c>
      <c r="F65">
        <v>65</v>
      </c>
      <c r="G65">
        <v>60</v>
      </c>
      <c r="H65">
        <v>1000</v>
      </c>
      <c r="I65">
        <v>60</v>
      </c>
      <c r="J65">
        <v>1</v>
      </c>
      <c r="K65" t="s">
        <v>54</v>
      </c>
      <c r="L65">
        <v>3</v>
      </c>
      <c r="M65">
        <v>4</v>
      </c>
      <c r="N65">
        <v>4</v>
      </c>
      <c r="O65">
        <v>53</v>
      </c>
      <c r="P65">
        <v>2</v>
      </c>
      <c r="Q65">
        <v>375</v>
      </c>
      <c r="R65">
        <v>14</v>
      </c>
      <c r="S65">
        <v>9</v>
      </c>
      <c r="T65">
        <v>20</v>
      </c>
      <c r="U65" t="s">
        <v>54</v>
      </c>
      <c r="V65" t="s">
        <v>54</v>
      </c>
      <c r="W65" t="s">
        <v>54</v>
      </c>
      <c r="X65" t="s">
        <v>54</v>
      </c>
      <c r="Y65">
        <v>170</v>
      </c>
      <c r="Z65">
        <v>2</v>
      </c>
      <c r="AA65">
        <v>150</v>
      </c>
      <c r="AB65" t="s">
        <v>54</v>
      </c>
      <c r="AC65" t="s">
        <v>54</v>
      </c>
      <c r="AD65" t="s">
        <v>54</v>
      </c>
      <c r="AE65" t="s">
        <v>54</v>
      </c>
      <c r="AF65" t="s">
        <v>54</v>
      </c>
      <c r="AG65" t="s">
        <v>54</v>
      </c>
      <c r="AH65">
        <v>300</v>
      </c>
      <c r="AI65" t="s">
        <v>54</v>
      </c>
      <c r="AJ65">
        <v>35</v>
      </c>
      <c r="AK65" t="s">
        <v>54</v>
      </c>
      <c r="AL65">
        <v>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>
        <v>100</v>
      </c>
      <c r="AT65" t="s">
        <v>54</v>
      </c>
      <c r="AU65" t="s">
        <v>54</v>
      </c>
      <c r="AV65" t="s">
        <v>54</v>
      </c>
      <c r="AW65" t="s">
        <v>54</v>
      </c>
      <c r="AX65">
        <v>20</v>
      </c>
      <c r="AZ65">
        <v>1850</v>
      </c>
      <c r="BA65" t="s">
        <v>55</v>
      </c>
    </row>
    <row r="66" spans="1:53" x14ac:dyDescent="0.45">
      <c r="A66">
        <v>24</v>
      </c>
      <c r="C66" t="str">
        <f>RIGHT([1]Raw_Granville_1850!B69,LEN([1]Raw_Granville_1850!B69)-1)</f>
        <v>Lawyer Enoch Day</v>
      </c>
      <c r="D66" t="s">
        <v>119</v>
      </c>
      <c r="F66">
        <v>60</v>
      </c>
      <c r="G66">
        <v>20</v>
      </c>
      <c r="H66">
        <v>700</v>
      </c>
      <c r="I66">
        <v>40</v>
      </c>
      <c r="J66">
        <v>1</v>
      </c>
      <c r="K66" t="s">
        <v>54</v>
      </c>
      <c r="L66">
        <v>2</v>
      </c>
      <c r="M66">
        <v>2</v>
      </c>
      <c r="N66">
        <v>3</v>
      </c>
      <c r="O66">
        <v>60</v>
      </c>
      <c r="P66">
        <v>2</v>
      </c>
      <c r="Q66">
        <v>320</v>
      </c>
      <c r="R66" t="s">
        <v>54</v>
      </c>
      <c r="S66" t="s">
        <v>54</v>
      </c>
      <c r="T66">
        <v>15</v>
      </c>
      <c r="U66">
        <v>20</v>
      </c>
      <c r="V66" t="s">
        <v>54</v>
      </c>
      <c r="W66" t="s">
        <v>54</v>
      </c>
      <c r="X66" t="s">
        <v>54</v>
      </c>
      <c r="Y66">
        <v>190</v>
      </c>
      <c r="Z66" t="s">
        <v>54</v>
      </c>
      <c r="AA66">
        <v>200</v>
      </c>
      <c r="AB66" t="s">
        <v>54</v>
      </c>
      <c r="AC66" t="s">
        <v>54</v>
      </c>
      <c r="AD66">
        <v>15</v>
      </c>
      <c r="AE66">
        <v>40</v>
      </c>
      <c r="AF66" t="s">
        <v>54</v>
      </c>
      <c r="AG66" t="s">
        <v>54</v>
      </c>
      <c r="AH66">
        <v>200</v>
      </c>
      <c r="AI66" t="s">
        <v>54</v>
      </c>
      <c r="AJ66">
        <v>40</v>
      </c>
      <c r="AK66" t="s">
        <v>54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>
        <v>200</v>
      </c>
      <c r="AT66" t="s">
        <v>54</v>
      </c>
      <c r="AU66" t="s">
        <v>54</v>
      </c>
      <c r="AV66" t="s">
        <v>54</v>
      </c>
      <c r="AW66" t="s">
        <v>54</v>
      </c>
      <c r="AX66">
        <v>60</v>
      </c>
      <c r="AZ66">
        <v>1850</v>
      </c>
      <c r="BA66" t="s">
        <v>55</v>
      </c>
    </row>
    <row r="67" spans="1:53" x14ac:dyDescent="0.45">
      <c r="A67">
        <v>25</v>
      </c>
      <c r="C67" t="str">
        <f>RIGHT([1]Raw_Granville_1850!B70,LEN([1]Raw_Granville_1850!B70)-1)</f>
        <v>County Back</v>
      </c>
      <c r="D67" t="s">
        <v>120</v>
      </c>
      <c r="F67">
        <v>50</v>
      </c>
      <c r="G67">
        <v>100</v>
      </c>
      <c r="H67">
        <v>1500</v>
      </c>
      <c r="I67">
        <v>100</v>
      </c>
      <c r="J67">
        <v>2</v>
      </c>
      <c r="K67" t="s">
        <v>54</v>
      </c>
      <c r="L67">
        <v>2</v>
      </c>
      <c r="M67">
        <v>2</v>
      </c>
      <c r="N67">
        <v>1</v>
      </c>
      <c r="O67">
        <v>18</v>
      </c>
      <c r="P67">
        <v>1</v>
      </c>
      <c r="Q67">
        <v>325</v>
      </c>
      <c r="R67" t="s">
        <v>54</v>
      </c>
      <c r="S67" t="s">
        <v>54</v>
      </c>
      <c r="T67">
        <v>30</v>
      </c>
      <c r="U67" t="s">
        <v>54</v>
      </c>
      <c r="V67" t="s">
        <v>54</v>
      </c>
      <c r="W67" t="s">
        <v>54</v>
      </c>
      <c r="X67" t="s">
        <v>54</v>
      </c>
      <c r="Y67">
        <v>60</v>
      </c>
      <c r="Z67">
        <v>5</v>
      </c>
      <c r="AA67">
        <v>100</v>
      </c>
      <c r="AB67" t="s">
        <v>54</v>
      </c>
      <c r="AC67" t="s">
        <v>54</v>
      </c>
      <c r="AD67">
        <v>80</v>
      </c>
      <c r="AE67">
        <v>20</v>
      </c>
      <c r="AF67" t="s">
        <v>54</v>
      </c>
      <c r="AG67" t="s">
        <v>54</v>
      </c>
      <c r="AH67">
        <v>300</v>
      </c>
      <c r="AI67" t="s">
        <v>54</v>
      </c>
      <c r="AJ67">
        <v>50</v>
      </c>
      <c r="AK67" t="s">
        <v>54</v>
      </c>
      <c r="AL67">
        <v>10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  <c r="AV67" t="s">
        <v>54</v>
      </c>
      <c r="AW67" t="s">
        <v>54</v>
      </c>
      <c r="AX67">
        <v>50</v>
      </c>
      <c r="AZ67">
        <v>1850</v>
      </c>
      <c r="BA67" t="s">
        <v>55</v>
      </c>
    </row>
    <row r="68" spans="1:53" x14ac:dyDescent="0.45">
      <c r="A68">
        <v>26</v>
      </c>
      <c r="C68" t="str">
        <f>RIGHT([1]Raw_Granville_1850!B71,LEN([1]Raw_Granville_1850!B71)-1)</f>
        <v>Nathan Hand</v>
      </c>
      <c r="D68" t="s">
        <v>121</v>
      </c>
      <c r="F68">
        <v>40</v>
      </c>
      <c r="G68">
        <v>45</v>
      </c>
      <c r="H68">
        <v>900</v>
      </c>
      <c r="I68">
        <v>80</v>
      </c>
      <c r="J68">
        <v>3</v>
      </c>
      <c r="K68" t="s">
        <v>54</v>
      </c>
      <c r="L68">
        <v>2</v>
      </c>
      <c r="M68">
        <v>2</v>
      </c>
      <c r="N68" t="s">
        <v>54</v>
      </c>
      <c r="O68">
        <v>25</v>
      </c>
      <c r="P68">
        <v>1</v>
      </c>
      <c r="Q68">
        <v>220</v>
      </c>
      <c r="R68">
        <v>12</v>
      </c>
      <c r="S68">
        <v>5</v>
      </c>
      <c r="T68" t="s">
        <v>54</v>
      </c>
      <c r="U68">
        <v>20</v>
      </c>
      <c r="V68" t="s">
        <v>54</v>
      </c>
      <c r="W68" t="s">
        <v>54</v>
      </c>
      <c r="X68" t="s">
        <v>54</v>
      </c>
      <c r="Y68">
        <v>56</v>
      </c>
      <c r="Z68">
        <v>5</v>
      </c>
      <c r="AA68">
        <v>200</v>
      </c>
      <c r="AB68" t="s">
        <v>54</v>
      </c>
      <c r="AC68" t="s">
        <v>54</v>
      </c>
      <c r="AD68" t="s">
        <v>54</v>
      </c>
      <c r="AE68" t="s">
        <v>54</v>
      </c>
      <c r="AF68" t="s">
        <v>54</v>
      </c>
      <c r="AG68" t="s">
        <v>54</v>
      </c>
      <c r="AH68">
        <v>200</v>
      </c>
      <c r="AI68" t="s">
        <v>54</v>
      </c>
      <c r="AJ68">
        <v>15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>
        <v>200</v>
      </c>
      <c r="AT68" t="s">
        <v>54</v>
      </c>
      <c r="AU68" t="s">
        <v>54</v>
      </c>
      <c r="AV68" t="s">
        <v>54</v>
      </c>
      <c r="AW68">
        <v>20</v>
      </c>
      <c r="AX68">
        <v>50</v>
      </c>
      <c r="AZ68">
        <v>1850</v>
      </c>
      <c r="BA68" t="s">
        <v>55</v>
      </c>
    </row>
    <row r="69" spans="1:53" x14ac:dyDescent="0.45">
      <c r="A69">
        <v>27</v>
      </c>
      <c r="C69" t="str">
        <f>RIGHT([1]Raw_Granville_1850!B72,LEN([1]Raw_Granville_1850!B72)-1)</f>
        <v>Buy withington</v>
      </c>
      <c r="D69" t="s">
        <v>122</v>
      </c>
      <c r="F69">
        <v>110</v>
      </c>
      <c r="G69">
        <v>90</v>
      </c>
      <c r="H69">
        <v>1500</v>
      </c>
      <c r="I69">
        <v>73</v>
      </c>
      <c r="J69">
        <v>2</v>
      </c>
      <c r="K69" t="s">
        <v>54</v>
      </c>
      <c r="L69">
        <v>1</v>
      </c>
      <c r="M69" t="s">
        <v>54</v>
      </c>
      <c r="N69" t="s">
        <v>54</v>
      </c>
      <c r="O69">
        <v>4</v>
      </c>
      <c r="P69">
        <v>2</v>
      </c>
      <c r="Q69">
        <v>195</v>
      </c>
      <c r="R69">
        <v>17</v>
      </c>
      <c r="S69" t="s">
        <v>54</v>
      </c>
      <c r="T69">
        <v>10</v>
      </c>
      <c r="U69">
        <v>150</v>
      </c>
      <c r="V69" t="s">
        <v>54</v>
      </c>
      <c r="W69" t="s">
        <v>54</v>
      </c>
      <c r="X69" t="s">
        <v>54</v>
      </c>
      <c r="Y69">
        <v>12</v>
      </c>
      <c r="Z69">
        <v>3</v>
      </c>
      <c r="AA69">
        <v>300</v>
      </c>
      <c r="AB69" t="s">
        <v>54</v>
      </c>
      <c r="AC69" t="s">
        <v>54</v>
      </c>
      <c r="AD69" t="s">
        <v>54</v>
      </c>
      <c r="AE69">
        <v>20</v>
      </c>
      <c r="AF69" t="s">
        <v>54</v>
      </c>
      <c r="AG69" t="s">
        <v>54</v>
      </c>
      <c r="AH69">
        <v>100</v>
      </c>
      <c r="AI69" t="s">
        <v>54</v>
      </c>
      <c r="AJ69">
        <v>35</v>
      </c>
      <c r="AK69" t="s">
        <v>54</v>
      </c>
      <c r="AL69">
        <v>6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>
        <v>50</v>
      </c>
      <c r="AT69" t="s">
        <v>54</v>
      </c>
      <c r="AU69" t="s">
        <v>54</v>
      </c>
      <c r="AV69" t="s">
        <v>54</v>
      </c>
      <c r="AW69" t="s">
        <v>54</v>
      </c>
      <c r="AX69">
        <v>25</v>
      </c>
      <c r="AZ69">
        <v>1850</v>
      </c>
      <c r="BA69" t="s">
        <v>55</v>
      </c>
    </row>
    <row r="70" spans="1:53" x14ac:dyDescent="0.45">
      <c r="A70">
        <v>28</v>
      </c>
      <c r="C70" t="str">
        <f>RIGHT([1]Raw_Granville_1850!B73,LEN([1]Raw_Granville_1850!B73)-1)</f>
        <v>ench Taylor</v>
      </c>
      <c r="D70" t="s">
        <v>123</v>
      </c>
      <c r="F70">
        <v>70</v>
      </c>
      <c r="G70">
        <v>50</v>
      </c>
      <c r="H70">
        <v>700</v>
      </c>
      <c r="I70">
        <v>60</v>
      </c>
      <c r="J70">
        <v>2</v>
      </c>
      <c r="K70" t="s">
        <v>54</v>
      </c>
      <c r="L70">
        <v>2</v>
      </c>
      <c r="M70" t="s">
        <v>54</v>
      </c>
      <c r="N70">
        <v>5</v>
      </c>
      <c r="O70">
        <v>25</v>
      </c>
      <c r="P70">
        <v>2</v>
      </c>
      <c r="Q70">
        <v>200</v>
      </c>
      <c r="R70">
        <v>10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>
        <v>80</v>
      </c>
      <c r="Z70">
        <v>2</v>
      </c>
      <c r="AA70">
        <v>40</v>
      </c>
      <c r="AB70" t="s">
        <v>54</v>
      </c>
      <c r="AC70" t="s">
        <v>54</v>
      </c>
      <c r="AD70">
        <v>10</v>
      </c>
      <c r="AE70" t="s">
        <v>54</v>
      </c>
      <c r="AF70" t="s">
        <v>54</v>
      </c>
      <c r="AG70" t="s">
        <v>54</v>
      </c>
      <c r="AH70">
        <v>200</v>
      </c>
      <c r="AI70" t="s">
        <v>54</v>
      </c>
      <c r="AJ70">
        <v>30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  <c r="AV70" t="s">
        <v>54</v>
      </c>
      <c r="AW70" t="s">
        <v>54</v>
      </c>
      <c r="AX70">
        <v>30</v>
      </c>
      <c r="AZ70">
        <v>1850</v>
      </c>
      <c r="BA70" t="s">
        <v>55</v>
      </c>
    </row>
    <row r="71" spans="1:53" x14ac:dyDescent="0.45">
      <c r="A71">
        <v>29</v>
      </c>
      <c r="C71" t="str">
        <f>RIGHT([1]Raw_Granville_1850!B74,LEN([1]Raw_Granville_1850!B74)-1)</f>
        <v>Alirabon Hook</v>
      </c>
      <c r="D71" t="s">
        <v>124</v>
      </c>
      <c r="F71">
        <v>25</v>
      </c>
      <c r="G71">
        <v>175</v>
      </c>
      <c r="H71">
        <v>200</v>
      </c>
      <c r="I71">
        <v>50</v>
      </c>
      <c r="J71" t="s">
        <v>54</v>
      </c>
      <c r="K71" t="s">
        <v>54</v>
      </c>
      <c r="L71">
        <v>2</v>
      </c>
      <c r="M71">
        <v>2</v>
      </c>
      <c r="N71" t="s">
        <v>54</v>
      </c>
      <c r="O71" t="s">
        <v>54</v>
      </c>
      <c r="P71">
        <v>1</v>
      </c>
      <c r="Q71">
        <v>140</v>
      </c>
      <c r="R71">
        <v>20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54</v>
      </c>
      <c r="AA71">
        <v>100</v>
      </c>
      <c r="AB71" t="s">
        <v>54</v>
      </c>
      <c r="AC71" t="s">
        <v>54</v>
      </c>
      <c r="AD71">
        <v>1</v>
      </c>
      <c r="AE71" t="s">
        <v>54</v>
      </c>
      <c r="AF71" t="s">
        <v>54</v>
      </c>
      <c r="AG71" t="s">
        <v>54</v>
      </c>
      <c r="AH71">
        <v>200</v>
      </c>
      <c r="AI71" t="s">
        <v>54</v>
      </c>
      <c r="AJ71">
        <v>15</v>
      </c>
      <c r="AK71" t="s">
        <v>54</v>
      </c>
      <c r="AL71">
        <v>50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  <c r="AV71" t="s">
        <v>54</v>
      </c>
      <c r="AW71" t="s">
        <v>54</v>
      </c>
      <c r="AX71">
        <v>35</v>
      </c>
      <c r="AZ71">
        <v>1850</v>
      </c>
      <c r="BA71" t="s">
        <v>55</v>
      </c>
    </row>
    <row r="72" spans="1:53" x14ac:dyDescent="0.45">
      <c r="A72">
        <v>30</v>
      </c>
      <c r="C72" t="str">
        <f>RIGHT([1]Raw_Granville_1850!B75,LEN([1]Raw_Granville_1850!B75)-1)</f>
        <v>Aaron Bagley</v>
      </c>
      <c r="D72" t="s">
        <v>125</v>
      </c>
      <c r="F72">
        <v>65</v>
      </c>
      <c r="G72">
        <v>35</v>
      </c>
      <c r="H72">
        <v>750</v>
      </c>
      <c r="I72">
        <v>30</v>
      </c>
      <c r="J72" t="s">
        <v>54</v>
      </c>
      <c r="K72" t="s">
        <v>54</v>
      </c>
      <c r="L72">
        <v>3</v>
      </c>
      <c r="M72">
        <v>2</v>
      </c>
      <c r="N72">
        <v>1</v>
      </c>
      <c r="O72" t="s">
        <v>54</v>
      </c>
      <c r="P72">
        <v>1</v>
      </c>
      <c r="Q72">
        <v>150</v>
      </c>
      <c r="R72" t="s">
        <v>54</v>
      </c>
      <c r="S72" t="s">
        <v>54</v>
      </c>
      <c r="T72">
        <v>6</v>
      </c>
      <c r="U72">
        <v>30</v>
      </c>
      <c r="V72" t="s">
        <v>54</v>
      </c>
      <c r="W72" t="s">
        <v>54</v>
      </c>
      <c r="X72" t="s">
        <v>54</v>
      </c>
      <c r="Y72" t="s">
        <v>54</v>
      </c>
      <c r="Z72" t="s">
        <v>54</v>
      </c>
      <c r="AA72">
        <v>75</v>
      </c>
      <c r="AB72" t="s">
        <v>54</v>
      </c>
      <c r="AC72" t="s">
        <v>54</v>
      </c>
      <c r="AD72">
        <v>6</v>
      </c>
      <c r="AE72" t="s">
        <v>54</v>
      </c>
      <c r="AF72" t="s">
        <v>54</v>
      </c>
      <c r="AG72" t="s">
        <v>54</v>
      </c>
      <c r="AH72">
        <v>300</v>
      </c>
      <c r="AI72" t="s">
        <v>54</v>
      </c>
      <c r="AJ72">
        <v>30</v>
      </c>
      <c r="AK72" t="s">
        <v>54</v>
      </c>
      <c r="AL72">
        <v>30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>
        <v>40</v>
      </c>
      <c r="AT72" t="s">
        <v>54</v>
      </c>
      <c r="AU72" t="s">
        <v>54</v>
      </c>
      <c r="AV72" t="s">
        <v>54</v>
      </c>
      <c r="AW72" t="s">
        <v>54</v>
      </c>
      <c r="AX72">
        <v>25</v>
      </c>
      <c r="AZ72">
        <v>1850</v>
      </c>
      <c r="BA72" t="s">
        <v>55</v>
      </c>
    </row>
    <row r="73" spans="1:53" x14ac:dyDescent="0.45">
      <c r="A73">
        <v>31</v>
      </c>
      <c r="C73" t="str">
        <f>RIGHT([1]Raw_Granville_1850!B76,LEN([1]Raw_Granville_1850!B76)-1)</f>
        <v>Limelan Preston</v>
      </c>
      <c r="D73" t="s">
        <v>126</v>
      </c>
      <c r="F73">
        <v>60</v>
      </c>
      <c r="G73">
        <v>20</v>
      </c>
      <c r="H73">
        <v>300</v>
      </c>
      <c r="I73">
        <v>40</v>
      </c>
      <c r="J73">
        <v>1</v>
      </c>
      <c r="K73" t="s">
        <v>54</v>
      </c>
      <c r="L73">
        <v>1</v>
      </c>
      <c r="M73">
        <v>2</v>
      </c>
      <c r="N73" t="s">
        <v>54</v>
      </c>
      <c r="O73">
        <v>2</v>
      </c>
      <c r="P73" t="s">
        <v>54</v>
      </c>
      <c r="Q73">
        <v>175</v>
      </c>
      <c r="R73">
        <v>10</v>
      </c>
      <c r="S73">
        <v>5</v>
      </c>
      <c r="T73">
        <v>12</v>
      </c>
      <c r="U73" t="s">
        <v>54</v>
      </c>
      <c r="V73" t="s">
        <v>54</v>
      </c>
      <c r="W73" t="s">
        <v>54</v>
      </c>
      <c r="X73" t="s">
        <v>54</v>
      </c>
      <c r="Y73">
        <v>8</v>
      </c>
      <c r="Z73">
        <v>2</v>
      </c>
      <c r="AA73">
        <v>75</v>
      </c>
      <c r="AB73" t="s">
        <v>54</v>
      </c>
      <c r="AC73" t="s">
        <v>54</v>
      </c>
      <c r="AD73" t="s">
        <v>54</v>
      </c>
      <c r="AE73" t="s">
        <v>54</v>
      </c>
      <c r="AF73" t="s">
        <v>54</v>
      </c>
      <c r="AG73" t="s">
        <v>54</v>
      </c>
      <c r="AH73">
        <v>100</v>
      </c>
      <c r="AI73" t="s">
        <v>54</v>
      </c>
      <c r="AJ73">
        <v>12</v>
      </c>
      <c r="AK73" t="s">
        <v>54</v>
      </c>
      <c r="AL73">
        <v>10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>
        <v>200</v>
      </c>
      <c r="AT73" t="s">
        <v>54</v>
      </c>
      <c r="AU73" t="s">
        <v>54</v>
      </c>
      <c r="AV73" t="s">
        <v>54</v>
      </c>
      <c r="AW73" t="s">
        <v>54</v>
      </c>
      <c r="AX73">
        <v>25</v>
      </c>
      <c r="AZ73">
        <v>1850</v>
      </c>
      <c r="BA73" t="s">
        <v>55</v>
      </c>
    </row>
    <row r="74" spans="1:53" x14ac:dyDescent="0.45">
      <c r="A74">
        <v>32</v>
      </c>
      <c r="C74" t="str">
        <f>RIGHT([1]Raw_Granville_1850!B77,LEN([1]Raw_Granville_1850!B77)-1)</f>
        <v>Dolen Angine</v>
      </c>
      <c r="D74" t="s">
        <v>127</v>
      </c>
      <c r="F74">
        <v>25</v>
      </c>
      <c r="G74">
        <v>75</v>
      </c>
      <c r="H74">
        <v>500</v>
      </c>
      <c r="I74">
        <v>35</v>
      </c>
      <c r="J74">
        <v>1</v>
      </c>
      <c r="K74" t="s">
        <v>54</v>
      </c>
      <c r="L74">
        <v>4</v>
      </c>
      <c r="M74">
        <v>2</v>
      </c>
      <c r="N74" t="s">
        <v>54</v>
      </c>
      <c r="O74">
        <v>5</v>
      </c>
      <c r="P74">
        <v>1</v>
      </c>
      <c r="Q74">
        <v>215</v>
      </c>
      <c r="R74" t="s">
        <v>54</v>
      </c>
      <c r="S74">
        <v>6</v>
      </c>
      <c r="T74">
        <v>10</v>
      </c>
      <c r="U74" t="s">
        <v>54</v>
      </c>
      <c r="V74" t="s">
        <v>54</v>
      </c>
      <c r="W74" t="s">
        <v>54</v>
      </c>
      <c r="X74" t="s">
        <v>54</v>
      </c>
      <c r="Y74">
        <v>18</v>
      </c>
      <c r="Z74" t="s">
        <v>54</v>
      </c>
      <c r="AA74">
        <v>100</v>
      </c>
      <c r="AB74" t="s">
        <v>54</v>
      </c>
      <c r="AC74" t="s">
        <v>54</v>
      </c>
      <c r="AD74">
        <v>10</v>
      </c>
      <c r="AE74" t="s">
        <v>54</v>
      </c>
      <c r="AF74" t="s">
        <v>54</v>
      </c>
      <c r="AG74" t="s">
        <v>54</v>
      </c>
      <c r="AH74">
        <v>200</v>
      </c>
      <c r="AI74" t="s">
        <v>54</v>
      </c>
      <c r="AJ74">
        <v>8</v>
      </c>
      <c r="AK74" t="s">
        <v>54</v>
      </c>
      <c r="AL74">
        <v>8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>
        <v>100</v>
      </c>
      <c r="AT74" t="s">
        <v>54</v>
      </c>
      <c r="AU74" t="s">
        <v>54</v>
      </c>
      <c r="AV74" t="s">
        <v>54</v>
      </c>
      <c r="AW74" t="s">
        <v>54</v>
      </c>
      <c r="AX74">
        <v>40</v>
      </c>
      <c r="AZ74">
        <v>1850</v>
      </c>
      <c r="BA74" t="s">
        <v>55</v>
      </c>
    </row>
    <row r="75" spans="1:53" x14ac:dyDescent="0.45">
      <c r="A75">
        <v>33</v>
      </c>
      <c r="C75" t="str">
        <f>RIGHT([1]Raw_Granville_1850!B78,LEN([1]Raw_Granville_1850!B78)-1)</f>
        <v>Salum Barrett</v>
      </c>
      <c r="D75" t="s">
        <v>128</v>
      </c>
      <c r="F75">
        <v>40</v>
      </c>
      <c r="G75">
        <v>60</v>
      </c>
      <c r="H75">
        <v>800</v>
      </c>
      <c r="I75">
        <v>50</v>
      </c>
      <c r="J75">
        <v>3</v>
      </c>
      <c r="K75" t="s">
        <v>54</v>
      </c>
      <c r="L75">
        <v>3</v>
      </c>
      <c r="M75" t="s">
        <v>54</v>
      </c>
      <c r="N75">
        <v>4</v>
      </c>
      <c r="O75" t="s">
        <v>54</v>
      </c>
      <c r="P75">
        <v>1</v>
      </c>
      <c r="Q75">
        <v>250</v>
      </c>
      <c r="R75">
        <v>8</v>
      </c>
      <c r="S75" t="s">
        <v>54</v>
      </c>
      <c r="T75">
        <v>25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>
        <v>5</v>
      </c>
      <c r="AA75">
        <v>100</v>
      </c>
      <c r="AB75" t="s">
        <v>54</v>
      </c>
      <c r="AC75" t="s">
        <v>54</v>
      </c>
      <c r="AD75" t="s">
        <v>54</v>
      </c>
      <c r="AE75" t="s">
        <v>54</v>
      </c>
      <c r="AF75" t="s">
        <v>54</v>
      </c>
      <c r="AG75" t="s">
        <v>54</v>
      </c>
      <c r="AH75">
        <v>500</v>
      </c>
      <c r="AI75">
        <v>75</v>
      </c>
      <c r="AJ75">
        <v>20</v>
      </c>
      <c r="AK75" t="s">
        <v>54</v>
      </c>
      <c r="AL75">
        <v>10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>
        <v>150</v>
      </c>
      <c r="AT75" t="s">
        <v>54</v>
      </c>
      <c r="AU75" t="s">
        <v>54</v>
      </c>
      <c r="AV75" t="s">
        <v>54</v>
      </c>
      <c r="AW75">
        <v>10</v>
      </c>
      <c r="AX75">
        <v>40</v>
      </c>
      <c r="AZ75">
        <v>1850</v>
      </c>
      <c r="BA75" t="s">
        <v>55</v>
      </c>
    </row>
    <row r="76" spans="1:53" x14ac:dyDescent="0.45">
      <c r="A76">
        <v>34</v>
      </c>
      <c r="C76" t="str">
        <f>RIGHT([1]Raw_Granville_1850!B79,LEN([1]Raw_Granville_1850!B79)-1)</f>
        <v>Lucus martine</v>
      </c>
      <c r="D76" t="s">
        <v>129</v>
      </c>
      <c r="F76">
        <v>40</v>
      </c>
      <c r="G76">
        <v>70</v>
      </c>
      <c r="H76">
        <v>700</v>
      </c>
      <c r="I76">
        <v>50</v>
      </c>
      <c r="J76">
        <v>2</v>
      </c>
      <c r="K76" t="s">
        <v>54</v>
      </c>
      <c r="L76">
        <v>3</v>
      </c>
      <c r="M76">
        <v>2</v>
      </c>
      <c r="N76">
        <v>3</v>
      </c>
      <c r="O76">
        <v>12</v>
      </c>
      <c r="P76">
        <v>2</v>
      </c>
      <c r="Q76">
        <v>305</v>
      </c>
      <c r="R76">
        <v>15</v>
      </c>
      <c r="S76">
        <v>15</v>
      </c>
      <c r="T76" t="s">
        <v>54</v>
      </c>
      <c r="U76">
        <v>20</v>
      </c>
      <c r="V76" t="s">
        <v>54</v>
      </c>
      <c r="W76" t="s">
        <v>54</v>
      </c>
      <c r="X76" t="s">
        <v>54</v>
      </c>
      <c r="Y76">
        <v>48</v>
      </c>
      <c r="Z76" t="s">
        <v>54</v>
      </c>
      <c r="AA76">
        <v>150</v>
      </c>
      <c r="AB76" t="s">
        <v>54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>
        <v>300</v>
      </c>
      <c r="AI76">
        <v>100</v>
      </c>
      <c r="AJ76">
        <v>20</v>
      </c>
      <c r="AK76" t="s">
        <v>54</v>
      </c>
      <c r="AL76">
        <v>5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>
        <v>150</v>
      </c>
      <c r="AT76" t="s">
        <v>54</v>
      </c>
      <c r="AU76" t="s">
        <v>54</v>
      </c>
      <c r="AV76" t="s">
        <v>54</v>
      </c>
      <c r="AW76">
        <v>10</v>
      </c>
      <c r="AX76">
        <v>50</v>
      </c>
      <c r="AZ76">
        <v>1850</v>
      </c>
      <c r="BA76" t="s">
        <v>55</v>
      </c>
    </row>
    <row r="77" spans="1:53" x14ac:dyDescent="0.45">
      <c r="A77">
        <v>35</v>
      </c>
      <c r="C77" t="str">
        <f>RIGHT([1]Raw_Granville_1850!B80,LEN([1]Raw_Granville_1850!B80)-1)</f>
        <v>dollarm Dyar</v>
      </c>
      <c r="D77" t="s">
        <v>130</v>
      </c>
      <c r="F77">
        <v>30</v>
      </c>
      <c r="G77">
        <v>85</v>
      </c>
      <c r="H77">
        <v>700</v>
      </c>
      <c r="I77">
        <v>50</v>
      </c>
      <c r="J77" t="s">
        <v>54</v>
      </c>
      <c r="K77" t="s">
        <v>54</v>
      </c>
      <c r="L77">
        <v>1</v>
      </c>
      <c r="M77">
        <v>2</v>
      </c>
      <c r="N77">
        <v>1</v>
      </c>
      <c r="O77">
        <v>6</v>
      </c>
      <c r="P77">
        <v>1</v>
      </c>
      <c r="Q77">
        <v>100</v>
      </c>
      <c r="R77">
        <v>10</v>
      </c>
      <c r="S77" t="s">
        <v>54</v>
      </c>
      <c r="T77" t="s">
        <v>54</v>
      </c>
      <c r="U77">
        <v>20</v>
      </c>
      <c r="V77" t="s">
        <v>54</v>
      </c>
      <c r="W77" t="s">
        <v>54</v>
      </c>
      <c r="X77" t="s">
        <v>54</v>
      </c>
      <c r="Y77">
        <v>28</v>
      </c>
      <c r="Z77">
        <v>2</v>
      </c>
      <c r="AA77">
        <v>75</v>
      </c>
      <c r="AB77" t="s">
        <v>54</v>
      </c>
      <c r="AC77" t="s">
        <v>54</v>
      </c>
      <c r="AD77" t="s">
        <v>54</v>
      </c>
      <c r="AE77" t="s">
        <v>54</v>
      </c>
      <c r="AF77" t="s">
        <v>54</v>
      </c>
      <c r="AG77" t="s">
        <v>54</v>
      </c>
      <c r="AH77">
        <v>100</v>
      </c>
      <c r="AI77" t="s">
        <v>54</v>
      </c>
      <c r="AJ77">
        <v>15</v>
      </c>
      <c r="AK77" t="s">
        <v>54</v>
      </c>
      <c r="AL77">
        <v>15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>
        <v>150</v>
      </c>
      <c r="AT77" t="s">
        <v>54</v>
      </c>
      <c r="AU77" t="s">
        <v>54</v>
      </c>
      <c r="AV77" t="s">
        <v>54</v>
      </c>
      <c r="AW77" t="s">
        <v>54</v>
      </c>
      <c r="AX77">
        <v>25</v>
      </c>
      <c r="AZ77">
        <v>1850</v>
      </c>
      <c r="BA77" t="s">
        <v>55</v>
      </c>
    </row>
    <row r="78" spans="1:53" x14ac:dyDescent="0.45">
      <c r="A78">
        <v>36</v>
      </c>
      <c r="C78" t="str">
        <f>RIGHT([1]Raw_Granville_1850!B81,LEN([1]Raw_Granville_1850!B81)-1)</f>
        <v>balling Pelis</v>
      </c>
      <c r="D78" t="s">
        <v>131</v>
      </c>
      <c r="F78">
        <v>15</v>
      </c>
      <c r="G78">
        <v>15</v>
      </c>
      <c r="H78">
        <v>700</v>
      </c>
      <c r="I78">
        <v>40</v>
      </c>
      <c r="J78">
        <v>1</v>
      </c>
      <c r="K78" t="s">
        <v>54</v>
      </c>
      <c r="L78">
        <v>2</v>
      </c>
      <c r="M78" t="s">
        <v>54</v>
      </c>
      <c r="N78" t="s">
        <v>54</v>
      </c>
      <c r="O78" t="s">
        <v>54</v>
      </c>
      <c r="P78" t="s">
        <v>54</v>
      </c>
      <c r="Q78">
        <v>120</v>
      </c>
      <c r="R78" t="s">
        <v>54</v>
      </c>
      <c r="S78" t="s">
        <v>54</v>
      </c>
      <c r="T78">
        <v>15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>
        <v>2</v>
      </c>
      <c r="AA78">
        <v>20</v>
      </c>
      <c r="AB78" t="s">
        <v>54</v>
      </c>
      <c r="AC78" t="s">
        <v>54</v>
      </c>
      <c r="AD78" t="s">
        <v>54</v>
      </c>
      <c r="AE78" t="s">
        <v>54</v>
      </c>
      <c r="AF78" t="s">
        <v>54</v>
      </c>
      <c r="AG78" t="s">
        <v>54</v>
      </c>
      <c r="AH78">
        <v>200</v>
      </c>
      <c r="AI78" t="s">
        <v>54</v>
      </c>
      <c r="AJ78">
        <v>10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>
        <v>200</v>
      </c>
      <c r="AT78" t="s">
        <v>54</v>
      </c>
      <c r="AU78" t="s">
        <v>54</v>
      </c>
      <c r="AV78" t="s">
        <v>54</v>
      </c>
      <c r="AW78" t="s">
        <v>54</v>
      </c>
      <c r="AX78">
        <v>25</v>
      </c>
      <c r="AZ78">
        <v>1850</v>
      </c>
      <c r="BA78" t="s">
        <v>55</v>
      </c>
    </row>
    <row r="79" spans="1:53" x14ac:dyDescent="0.45">
      <c r="A79">
        <v>37</v>
      </c>
      <c r="C79" t="str">
        <f>RIGHT([1]Raw_Granville_1850!B82,LEN([1]Raw_Granville_1850!B82)-1)</f>
        <v>night Gibson</v>
      </c>
      <c r="D79" t="s">
        <v>132</v>
      </c>
      <c r="F79">
        <v>50</v>
      </c>
      <c r="G79">
        <v>150</v>
      </c>
      <c r="H79">
        <v>600</v>
      </c>
      <c r="I79">
        <v>50</v>
      </c>
      <c r="J79">
        <v>1</v>
      </c>
      <c r="K79" t="s">
        <v>54</v>
      </c>
      <c r="L79">
        <v>2</v>
      </c>
      <c r="M79">
        <v>2</v>
      </c>
      <c r="N79">
        <v>6</v>
      </c>
      <c r="O79">
        <v>22</v>
      </c>
      <c r="P79">
        <v>1</v>
      </c>
      <c r="Q79">
        <v>275</v>
      </c>
      <c r="R79">
        <v>40</v>
      </c>
      <c r="S79" t="s">
        <v>54</v>
      </c>
      <c r="T79" t="s">
        <v>54</v>
      </c>
      <c r="U79">
        <v>100</v>
      </c>
      <c r="V79" t="s">
        <v>54</v>
      </c>
      <c r="W79" t="s">
        <v>54</v>
      </c>
      <c r="X79" t="s">
        <v>54</v>
      </c>
      <c r="Y79">
        <v>75</v>
      </c>
      <c r="Z79" t="s">
        <v>54</v>
      </c>
      <c r="AA79">
        <v>200</v>
      </c>
      <c r="AB79" t="s">
        <v>54</v>
      </c>
      <c r="AC79" t="s">
        <v>54</v>
      </c>
      <c r="AD79">
        <v>40</v>
      </c>
      <c r="AE79" t="s">
        <v>54</v>
      </c>
      <c r="AF79" t="s">
        <v>54</v>
      </c>
      <c r="AG79" t="s">
        <v>54</v>
      </c>
      <c r="AH79">
        <v>200</v>
      </c>
      <c r="AI79" t="s">
        <v>54</v>
      </c>
      <c r="AJ79">
        <v>40</v>
      </c>
      <c r="AK79" t="s">
        <v>54</v>
      </c>
      <c r="AL79">
        <v>25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>
        <v>500</v>
      </c>
      <c r="AT79" t="s">
        <v>54</v>
      </c>
      <c r="AU79" t="s">
        <v>54</v>
      </c>
      <c r="AV79" t="s">
        <v>54</v>
      </c>
      <c r="AW79" t="s">
        <v>54</v>
      </c>
      <c r="AX79">
        <v>25</v>
      </c>
      <c r="AZ79">
        <v>1850</v>
      </c>
      <c r="BA79" t="s">
        <v>55</v>
      </c>
    </row>
    <row r="80" spans="1:53" x14ac:dyDescent="0.45">
      <c r="A80">
        <v>38</v>
      </c>
      <c r="C80" t="str">
        <f>RIGHT([1]Raw_Granville_1850!B83,LEN([1]Raw_Granville_1850!B83)-1)</f>
        <v>Hemitress</v>
      </c>
      <c r="D80" t="s">
        <v>133</v>
      </c>
      <c r="F80">
        <v>40</v>
      </c>
      <c r="G80">
        <v>26</v>
      </c>
      <c r="H80">
        <v>1100</v>
      </c>
      <c r="I80">
        <v>25</v>
      </c>
      <c r="J80">
        <v>1</v>
      </c>
      <c r="K80" t="s">
        <v>54</v>
      </c>
      <c r="L80">
        <v>4</v>
      </c>
      <c r="M80">
        <v>4</v>
      </c>
      <c r="N80">
        <v>5</v>
      </c>
      <c r="O80" t="s">
        <v>54</v>
      </c>
      <c r="P80">
        <v>2</v>
      </c>
      <c r="Q80">
        <v>320</v>
      </c>
      <c r="R80" t="s">
        <v>54</v>
      </c>
      <c r="S80">
        <v>10</v>
      </c>
      <c r="T80">
        <v>30</v>
      </c>
      <c r="U80">
        <v>80</v>
      </c>
      <c r="V80" t="s">
        <v>54</v>
      </c>
      <c r="W80" t="s">
        <v>54</v>
      </c>
      <c r="X80" t="s">
        <v>54</v>
      </c>
      <c r="Y80" t="s">
        <v>54</v>
      </c>
      <c r="Z80" t="s">
        <v>54</v>
      </c>
      <c r="AA80">
        <v>150</v>
      </c>
      <c r="AB80" t="s">
        <v>54</v>
      </c>
      <c r="AC80" t="s">
        <v>54</v>
      </c>
      <c r="AD80">
        <v>10</v>
      </c>
      <c r="AE80" t="s">
        <v>54</v>
      </c>
      <c r="AF80" t="s">
        <v>54</v>
      </c>
      <c r="AG80" t="s">
        <v>54</v>
      </c>
      <c r="AH80">
        <v>200</v>
      </c>
      <c r="AI80" t="s">
        <v>54</v>
      </c>
      <c r="AJ80">
        <v>25</v>
      </c>
      <c r="AK80" t="s">
        <v>54</v>
      </c>
      <c r="AL80">
        <v>5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>
        <v>300</v>
      </c>
      <c r="AT80" t="s">
        <v>54</v>
      </c>
      <c r="AU80" t="s">
        <v>54</v>
      </c>
      <c r="AV80" t="s">
        <v>54</v>
      </c>
      <c r="AW80" t="s">
        <v>54</v>
      </c>
      <c r="AX80">
        <v>60</v>
      </c>
      <c r="AZ80">
        <v>1850</v>
      </c>
      <c r="BA80" t="s">
        <v>55</v>
      </c>
    </row>
    <row r="81" spans="1:53" x14ac:dyDescent="0.45">
      <c r="A81">
        <v>39</v>
      </c>
      <c r="C81" t="str">
        <f>RIGHT([1]Raw_Granville_1850!B84,LEN([1]Raw_Granville_1850!B84)-1)</f>
        <v>Alvin Cady</v>
      </c>
      <c r="D81" t="s">
        <v>134</v>
      </c>
      <c r="F81">
        <v>25</v>
      </c>
      <c r="G81">
        <v>35</v>
      </c>
      <c r="H81">
        <v>400</v>
      </c>
      <c r="I81">
        <v>40</v>
      </c>
      <c r="J81" t="s">
        <v>54</v>
      </c>
      <c r="K81" t="s">
        <v>54</v>
      </c>
      <c r="L81">
        <v>2</v>
      </c>
      <c r="M81" t="s">
        <v>54</v>
      </c>
      <c r="N81">
        <v>2</v>
      </c>
      <c r="O81">
        <v>5</v>
      </c>
      <c r="P81" t="s">
        <v>54</v>
      </c>
      <c r="Q81">
        <v>100</v>
      </c>
      <c r="R81" t="s">
        <v>54</v>
      </c>
      <c r="S81" t="s">
        <v>54</v>
      </c>
      <c r="T81">
        <v>10</v>
      </c>
      <c r="U81" t="s">
        <v>54</v>
      </c>
      <c r="V81" t="s">
        <v>54</v>
      </c>
      <c r="W81" t="s">
        <v>54</v>
      </c>
      <c r="X81" t="s">
        <v>54</v>
      </c>
      <c r="Y81">
        <v>10</v>
      </c>
      <c r="Z81">
        <v>2</v>
      </c>
      <c r="AA81">
        <v>60</v>
      </c>
      <c r="AB81" t="s">
        <v>54</v>
      </c>
      <c r="AC81" t="s">
        <v>54</v>
      </c>
      <c r="AD81" t="s">
        <v>54</v>
      </c>
      <c r="AE81" t="s">
        <v>54</v>
      </c>
      <c r="AF81" t="s">
        <v>54</v>
      </c>
      <c r="AG81" t="s">
        <v>54</v>
      </c>
      <c r="AH81">
        <v>200</v>
      </c>
      <c r="AI81" t="s">
        <v>54</v>
      </c>
      <c r="AJ81">
        <v>12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  <c r="AV81" t="s">
        <v>54</v>
      </c>
      <c r="AW81" t="s">
        <v>54</v>
      </c>
      <c r="AX81">
        <v>40</v>
      </c>
      <c r="AZ81">
        <v>1850</v>
      </c>
      <c r="BA81" t="s">
        <v>55</v>
      </c>
    </row>
    <row r="82" spans="1:53" x14ac:dyDescent="0.45">
      <c r="A82">
        <v>40</v>
      </c>
      <c r="C82" t="str">
        <f>RIGHT([1]Raw_Granville_1850!B85,LEN([1]Raw_Granville_1850!B85)-1)</f>
        <v>Asnac Lull</v>
      </c>
      <c r="D82" t="s">
        <v>135</v>
      </c>
      <c r="F82">
        <v>75</v>
      </c>
      <c r="G82">
        <v>75</v>
      </c>
      <c r="H82">
        <v>1000</v>
      </c>
      <c r="I82">
        <v>50</v>
      </c>
      <c r="J82" t="s">
        <v>54</v>
      </c>
      <c r="K82" t="s">
        <v>54</v>
      </c>
      <c r="L82">
        <v>1</v>
      </c>
      <c r="M82">
        <v>2</v>
      </c>
      <c r="N82">
        <v>1</v>
      </c>
      <c r="O82">
        <v>95</v>
      </c>
      <c r="P82">
        <v>2</v>
      </c>
      <c r="Q82">
        <v>210</v>
      </c>
      <c r="R82">
        <v>9</v>
      </c>
      <c r="S82" t="s">
        <v>54</v>
      </c>
      <c r="T82">
        <v>6</v>
      </c>
      <c r="U82">
        <v>30</v>
      </c>
      <c r="V82" t="s">
        <v>54</v>
      </c>
      <c r="W82" t="s">
        <v>54</v>
      </c>
      <c r="X82" t="s">
        <v>54</v>
      </c>
      <c r="Y82">
        <v>300</v>
      </c>
      <c r="Z82" t="s">
        <v>54</v>
      </c>
      <c r="AA82">
        <v>200</v>
      </c>
      <c r="AB82" t="s">
        <v>54</v>
      </c>
      <c r="AC82" t="s">
        <v>54</v>
      </c>
      <c r="AD82" t="s">
        <v>54</v>
      </c>
      <c r="AE82" t="s">
        <v>54</v>
      </c>
      <c r="AF82" t="s">
        <v>54</v>
      </c>
      <c r="AG82" t="s">
        <v>54</v>
      </c>
      <c r="AH82">
        <v>100</v>
      </c>
      <c r="AI82" t="s">
        <v>54</v>
      </c>
      <c r="AJ82">
        <v>20</v>
      </c>
      <c r="AK82" t="s">
        <v>54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>
        <v>320</v>
      </c>
      <c r="AT82" t="s">
        <v>54</v>
      </c>
      <c r="AU82" t="s">
        <v>54</v>
      </c>
      <c r="AV82" t="s">
        <v>54</v>
      </c>
      <c r="AW82" t="s">
        <v>54</v>
      </c>
      <c r="AX82">
        <v>50</v>
      </c>
      <c r="AZ82">
        <v>1850</v>
      </c>
      <c r="BA82" t="s">
        <v>55</v>
      </c>
    </row>
    <row r="83" spans="1:53" x14ac:dyDescent="0.45">
      <c r="A83">
        <v>41</v>
      </c>
      <c r="B83" s="2"/>
      <c r="C83" s="2" t="str">
        <f>RIGHT([1]Raw_Granville_1850!B86,LEN([1]Raw_Granville_1850!B86)-1)</f>
        <v>Wuren Ford</v>
      </c>
      <c r="D83" s="2" t="s">
        <v>136</v>
      </c>
      <c r="E83" s="2"/>
      <c r="F83" s="2">
        <v>40</v>
      </c>
      <c r="G83" s="2">
        <v>30</v>
      </c>
      <c r="H83" s="2">
        <v>600</v>
      </c>
      <c r="I83" s="2">
        <v>45</v>
      </c>
      <c r="J83" s="2">
        <v>1</v>
      </c>
      <c r="K83" s="2" t="s">
        <v>54</v>
      </c>
      <c r="L83" s="2">
        <v>2</v>
      </c>
      <c r="M83" s="2">
        <v>2</v>
      </c>
      <c r="N83" s="2">
        <v>2</v>
      </c>
      <c r="O83" s="2">
        <v>16</v>
      </c>
      <c r="P83" s="2">
        <v>2</v>
      </c>
      <c r="Q83" s="2">
        <v>230</v>
      </c>
      <c r="R83" s="2" t="s">
        <v>54</v>
      </c>
      <c r="S83" s="2" t="s">
        <v>54</v>
      </c>
      <c r="T83" s="2">
        <v>20</v>
      </c>
      <c r="U83" s="2">
        <v>30</v>
      </c>
      <c r="V83" s="2" t="s">
        <v>54</v>
      </c>
      <c r="W83" s="2" t="s">
        <v>54</v>
      </c>
      <c r="X83" s="2" t="s">
        <v>54</v>
      </c>
      <c r="Y83" s="2">
        <v>52</v>
      </c>
      <c r="Z83" s="2" t="s">
        <v>54</v>
      </c>
      <c r="AA83" s="2">
        <v>150</v>
      </c>
      <c r="AB83" s="2" t="s">
        <v>54</v>
      </c>
      <c r="AC83" s="2" t="s">
        <v>54</v>
      </c>
      <c r="AD83" s="2">
        <v>16</v>
      </c>
      <c r="AE83" s="2" t="s">
        <v>54</v>
      </c>
      <c r="AF83" s="2" t="s">
        <v>54</v>
      </c>
      <c r="AG83" s="2" t="s">
        <v>54</v>
      </c>
      <c r="AH83" s="2">
        <v>250</v>
      </c>
      <c r="AI83" s="2">
        <v>100</v>
      </c>
      <c r="AJ83" s="2">
        <v>20</v>
      </c>
      <c r="AK83" s="2" t="s">
        <v>54</v>
      </c>
      <c r="AL83" s="2" t="s">
        <v>54</v>
      </c>
      <c r="AM83" s="2" t="s">
        <v>54</v>
      </c>
      <c r="AN83" s="2" t="s">
        <v>54</v>
      </c>
      <c r="AO83" s="2" t="s">
        <v>54</v>
      </c>
      <c r="AP83" s="2" t="s">
        <v>54</v>
      </c>
      <c r="AQ83" s="2" t="s">
        <v>54</v>
      </c>
      <c r="AR83" s="2" t="s">
        <v>54</v>
      </c>
      <c r="AS83" s="2">
        <v>300</v>
      </c>
      <c r="AT83" s="2" t="s">
        <v>54</v>
      </c>
      <c r="AU83" s="2" t="s">
        <v>54</v>
      </c>
      <c r="AV83" s="2" t="s">
        <v>54</v>
      </c>
      <c r="AW83" s="2" t="s">
        <v>54</v>
      </c>
      <c r="AX83" s="2">
        <v>40</v>
      </c>
      <c r="AZ83">
        <v>1850</v>
      </c>
      <c r="BA83" t="s">
        <v>55</v>
      </c>
    </row>
    <row r="84" spans="1:53" x14ac:dyDescent="0.45">
      <c r="A84">
        <v>1</v>
      </c>
      <c r="C84" t="str">
        <f>RIGHT([1]Raw_Granville_1850!B87,LEN([1]Raw_Granville_1850!B87)-1)</f>
        <v>Ecastus Church</v>
      </c>
      <c r="D84" t="s">
        <v>137</v>
      </c>
      <c r="F84">
        <v>28</v>
      </c>
      <c r="G84">
        <v>50</v>
      </c>
      <c r="H84">
        <v>400</v>
      </c>
      <c r="I84">
        <v>40</v>
      </c>
      <c r="J84">
        <v>1</v>
      </c>
      <c r="K84" t="s">
        <v>54</v>
      </c>
      <c r="L84">
        <v>2</v>
      </c>
      <c r="M84">
        <v>2</v>
      </c>
      <c r="N84">
        <v>4</v>
      </c>
      <c r="O84" t="s">
        <v>54</v>
      </c>
      <c r="P84">
        <v>2</v>
      </c>
      <c r="Q84">
        <v>242</v>
      </c>
      <c r="R84" t="s">
        <v>54</v>
      </c>
      <c r="S84">
        <v>10</v>
      </c>
      <c r="T84">
        <v>20</v>
      </c>
      <c r="U84">
        <v>30</v>
      </c>
      <c r="V84" t="s">
        <v>54</v>
      </c>
      <c r="W84" t="s">
        <v>54</v>
      </c>
      <c r="X84" t="s">
        <v>54</v>
      </c>
      <c r="Y84" t="s">
        <v>54</v>
      </c>
      <c r="Z84" t="s">
        <v>54</v>
      </c>
      <c r="AA84">
        <v>150</v>
      </c>
      <c r="AB84" t="s">
        <v>54</v>
      </c>
      <c r="AC84" t="s">
        <v>54</v>
      </c>
      <c r="AD84">
        <v>20</v>
      </c>
      <c r="AE84" t="s">
        <v>54</v>
      </c>
      <c r="AF84" t="s">
        <v>54</v>
      </c>
      <c r="AG84" t="s">
        <v>54</v>
      </c>
      <c r="AH84">
        <v>200</v>
      </c>
      <c r="AI84" t="s">
        <v>54</v>
      </c>
      <c r="AJ84">
        <v>30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>
        <v>100</v>
      </c>
      <c r="AT84" t="s">
        <v>54</v>
      </c>
      <c r="AU84" t="s">
        <v>54</v>
      </c>
      <c r="AV84" t="s">
        <v>54</v>
      </c>
      <c r="AW84" t="s">
        <v>54</v>
      </c>
      <c r="AX84">
        <v>25</v>
      </c>
      <c r="AZ84">
        <v>1850</v>
      </c>
      <c r="BA84" t="s">
        <v>55</v>
      </c>
    </row>
    <row r="85" spans="1:53" x14ac:dyDescent="0.45">
      <c r="A85">
        <v>2</v>
      </c>
      <c r="C85" t="str">
        <f>RIGHT([1]Raw_Granville_1850!B88,LEN([1]Raw_Granville_1850!B88)-1)</f>
        <v>Love Washburn</v>
      </c>
      <c r="D85" t="s">
        <v>138</v>
      </c>
      <c r="F85">
        <v>50</v>
      </c>
      <c r="G85">
        <v>50</v>
      </c>
      <c r="H85">
        <v>500</v>
      </c>
      <c r="I85">
        <v>50</v>
      </c>
      <c r="J85">
        <v>1</v>
      </c>
      <c r="K85" t="s">
        <v>54</v>
      </c>
      <c r="L85">
        <v>3</v>
      </c>
      <c r="M85">
        <v>2</v>
      </c>
      <c r="N85" t="s">
        <v>54</v>
      </c>
      <c r="O85">
        <v>20</v>
      </c>
      <c r="P85">
        <v>1</v>
      </c>
      <c r="Q85">
        <v>240</v>
      </c>
      <c r="R85">
        <v>10</v>
      </c>
      <c r="S85" t="s">
        <v>54</v>
      </c>
      <c r="T85">
        <v>15</v>
      </c>
      <c r="U85" t="s">
        <v>54</v>
      </c>
      <c r="V85" t="s">
        <v>54</v>
      </c>
      <c r="W85" t="s">
        <v>54</v>
      </c>
      <c r="X85" t="s">
        <v>54</v>
      </c>
      <c r="Y85">
        <v>66</v>
      </c>
      <c r="Z85" t="s">
        <v>54</v>
      </c>
      <c r="AA85">
        <v>100</v>
      </c>
      <c r="AB85" t="s">
        <v>54</v>
      </c>
      <c r="AC85" t="s">
        <v>54</v>
      </c>
      <c r="AD85" t="s">
        <v>54</v>
      </c>
      <c r="AE85" t="s">
        <v>54</v>
      </c>
      <c r="AF85" t="s">
        <v>54</v>
      </c>
      <c r="AG85" t="s">
        <v>54</v>
      </c>
      <c r="AH85">
        <v>400</v>
      </c>
      <c r="AI85" t="s">
        <v>54</v>
      </c>
      <c r="AJ85">
        <v>25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>
        <v>150</v>
      </c>
      <c r="AT85" t="s">
        <v>54</v>
      </c>
      <c r="AU85" t="s">
        <v>54</v>
      </c>
      <c r="AV85" t="s">
        <v>54</v>
      </c>
      <c r="AW85" t="s">
        <v>54</v>
      </c>
      <c r="AX85">
        <v>40</v>
      </c>
      <c r="AZ85">
        <v>1850</v>
      </c>
      <c r="BA85" t="s">
        <v>55</v>
      </c>
    </row>
    <row r="86" spans="1:53" x14ac:dyDescent="0.45">
      <c r="A86">
        <v>3</v>
      </c>
      <c r="C86" t="str">
        <f>RIGHT([1]Raw_Granville_1850!B89,LEN([1]Raw_Granville_1850!B89)-1)</f>
        <v>Austin Leonard</v>
      </c>
      <c r="D86" t="s">
        <v>139</v>
      </c>
      <c r="F86">
        <v>60</v>
      </c>
      <c r="G86">
        <v>150</v>
      </c>
      <c r="H86">
        <v>1000</v>
      </c>
      <c r="I86">
        <v>100</v>
      </c>
      <c r="J86">
        <v>3</v>
      </c>
      <c r="K86" t="s">
        <v>54</v>
      </c>
      <c r="L86">
        <v>6</v>
      </c>
      <c r="M86">
        <v>4</v>
      </c>
      <c r="N86">
        <v>4</v>
      </c>
      <c r="O86" t="s">
        <v>54</v>
      </c>
      <c r="P86">
        <v>3</v>
      </c>
      <c r="Q86" t="s">
        <v>54</v>
      </c>
      <c r="R86">
        <v>200</v>
      </c>
      <c r="S86" t="s">
        <v>54</v>
      </c>
      <c r="T86" t="s">
        <v>54</v>
      </c>
      <c r="U86">
        <v>20</v>
      </c>
      <c r="V86" t="s">
        <v>54</v>
      </c>
      <c r="W86" t="s">
        <v>54</v>
      </c>
      <c r="X86" t="s">
        <v>54</v>
      </c>
      <c r="Y86" t="s">
        <v>54</v>
      </c>
      <c r="Z86" t="s">
        <v>54</v>
      </c>
      <c r="AA86">
        <v>250</v>
      </c>
      <c r="AB86" t="s">
        <v>54</v>
      </c>
      <c r="AC86" t="s">
        <v>54</v>
      </c>
      <c r="AD86">
        <v>10</v>
      </c>
      <c r="AE86" t="s">
        <v>54</v>
      </c>
      <c r="AF86" t="s">
        <v>54</v>
      </c>
      <c r="AG86" t="s">
        <v>54</v>
      </c>
      <c r="AH86">
        <v>500</v>
      </c>
      <c r="AI86">
        <v>500</v>
      </c>
      <c r="AJ86">
        <v>40</v>
      </c>
      <c r="AK86" t="s">
        <v>54</v>
      </c>
      <c r="AL86">
        <v>100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>
        <v>400</v>
      </c>
      <c r="AT86" t="s">
        <v>54</v>
      </c>
      <c r="AU86" t="s">
        <v>54</v>
      </c>
      <c r="AV86" t="s">
        <v>54</v>
      </c>
      <c r="AW86" t="s">
        <v>54</v>
      </c>
      <c r="AX86">
        <v>75</v>
      </c>
      <c r="AZ86">
        <v>1850</v>
      </c>
      <c r="BA86" t="s">
        <v>55</v>
      </c>
    </row>
    <row r="87" spans="1:53" x14ac:dyDescent="0.45">
      <c r="A87">
        <v>4</v>
      </c>
      <c r="C87" t="str">
        <f>RIGHT([1]Raw_Granville_1850!B90,LEN([1]Raw_Granville_1850!B90)-1)</f>
        <v>Larensjo Church</v>
      </c>
      <c r="D87" t="s">
        <v>65</v>
      </c>
      <c r="F87">
        <v>40</v>
      </c>
      <c r="G87">
        <v>25</v>
      </c>
      <c r="H87">
        <v>400</v>
      </c>
      <c r="I87">
        <v>60</v>
      </c>
      <c r="J87">
        <v>1</v>
      </c>
      <c r="K87" t="s">
        <v>54</v>
      </c>
      <c r="L87">
        <v>2</v>
      </c>
      <c r="M87">
        <v>2</v>
      </c>
      <c r="N87" t="s">
        <v>54</v>
      </c>
      <c r="O87" t="s">
        <v>54</v>
      </c>
      <c r="P87">
        <v>1</v>
      </c>
      <c r="Q87">
        <v>185</v>
      </c>
      <c r="R87" t="s">
        <v>54</v>
      </c>
      <c r="S87" t="s">
        <v>54</v>
      </c>
      <c r="T87">
        <v>20</v>
      </c>
      <c r="U87">
        <v>40</v>
      </c>
      <c r="V87" t="s">
        <v>54</v>
      </c>
      <c r="W87" t="s">
        <v>54</v>
      </c>
      <c r="X87" t="s">
        <v>54</v>
      </c>
      <c r="Y87" t="s">
        <v>54</v>
      </c>
      <c r="Z87" t="s">
        <v>54</v>
      </c>
      <c r="AA87">
        <v>100</v>
      </c>
      <c r="AB87" t="s">
        <v>54</v>
      </c>
      <c r="AC87" t="s">
        <v>54</v>
      </c>
      <c r="AD87" t="s">
        <v>54</v>
      </c>
      <c r="AE87" t="s">
        <v>54</v>
      </c>
      <c r="AF87" t="s">
        <v>54</v>
      </c>
      <c r="AG87" t="s">
        <v>54</v>
      </c>
      <c r="AH87">
        <v>150</v>
      </c>
      <c r="AI87" t="s">
        <v>54</v>
      </c>
      <c r="AJ87">
        <v>20</v>
      </c>
      <c r="AK87" t="s">
        <v>54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>
        <v>100</v>
      </c>
      <c r="AT87" t="s">
        <v>54</v>
      </c>
      <c r="AU87" t="s">
        <v>54</v>
      </c>
      <c r="AV87" t="s">
        <v>54</v>
      </c>
      <c r="AW87" t="s">
        <v>54</v>
      </c>
      <c r="AX87">
        <v>20</v>
      </c>
      <c r="AZ87">
        <v>1850</v>
      </c>
      <c r="BA87" t="s">
        <v>55</v>
      </c>
    </row>
    <row r="88" spans="1:53" x14ac:dyDescent="0.45">
      <c r="A88">
        <v>5</v>
      </c>
      <c r="C88" t="str">
        <f>RIGHT([1]Raw_Granville_1850!B91,LEN([1]Raw_Granville_1850!B91)-1)</f>
        <v>Glyab Albee</v>
      </c>
      <c r="D88" t="s">
        <v>140</v>
      </c>
      <c r="F88">
        <v>20</v>
      </c>
      <c r="G88">
        <v>150</v>
      </c>
      <c r="H88">
        <v>3500</v>
      </c>
      <c r="I88">
        <v>80</v>
      </c>
      <c r="J88">
        <v>2</v>
      </c>
      <c r="K88" t="s">
        <v>54</v>
      </c>
      <c r="L88">
        <v>2</v>
      </c>
      <c r="M88" t="s">
        <v>54</v>
      </c>
      <c r="N88" t="s">
        <v>54</v>
      </c>
      <c r="O88">
        <v>150</v>
      </c>
      <c r="P88">
        <v>1</v>
      </c>
      <c r="Q88">
        <v>300</v>
      </c>
      <c r="R88">
        <v>20</v>
      </c>
      <c r="S88" t="s">
        <v>54</v>
      </c>
      <c r="T88">
        <v>40</v>
      </c>
      <c r="U88">
        <v>100</v>
      </c>
      <c r="V88" t="s">
        <v>54</v>
      </c>
      <c r="W88" t="s">
        <v>54</v>
      </c>
      <c r="X88" t="s">
        <v>54</v>
      </c>
      <c r="Y88">
        <v>500</v>
      </c>
      <c r="Z88" t="s">
        <v>54</v>
      </c>
      <c r="AA88">
        <v>150</v>
      </c>
      <c r="AB88" t="s">
        <v>54</v>
      </c>
      <c r="AC88" t="s">
        <v>54</v>
      </c>
      <c r="AD88">
        <v>20</v>
      </c>
      <c r="AE88" t="s">
        <v>54</v>
      </c>
      <c r="AF88" t="s">
        <v>54</v>
      </c>
      <c r="AG88" t="s">
        <v>54</v>
      </c>
      <c r="AH88">
        <v>200</v>
      </c>
      <c r="AI88" t="s">
        <v>54</v>
      </c>
      <c r="AJ88">
        <v>40</v>
      </c>
      <c r="AK88" t="s">
        <v>54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  <c r="AV88" t="s">
        <v>54</v>
      </c>
      <c r="AW88" t="s">
        <v>54</v>
      </c>
      <c r="AX88">
        <v>75</v>
      </c>
      <c r="AZ88">
        <v>1850</v>
      </c>
      <c r="BA88" t="s">
        <v>55</v>
      </c>
    </row>
    <row r="89" spans="1:53" x14ac:dyDescent="0.45">
      <c r="A89">
        <v>6</v>
      </c>
      <c r="C89" t="str">
        <f>RIGHT([1]Raw_Granville_1850!B92,LEN([1]Raw_Granville_1850!B92)-1)</f>
        <v>Alexelopher Heubbard</v>
      </c>
      <c r="D89" t="s">
        <v>141</v>
      </c>
      <c r="F89">
        <v>100</v>
      </c>
      <c r="G89">
        <v>75</v>
      </c>
      <c r="H89">
        <v>2000</v>
      </c>
      <c r="I89">
        <v>100</v>
      </c>
      <c r="J89">
        <v>1</v>
      </c>
      <c r="K89" t="s">
        <v>54</v>
      </c>
      <c r="L89">
        <v>11</v>
      </c>
      <c r="M89">
        <v>2</v>
      </c>
      <c r="N89">
        <v>3</v>
      </c>
      <c r="O89">
        <v>5</v>
      </c>
      <c r="P89">
        <v>4</v>
      </c>
      <c r="Q89">
        <v>585</v>
      </c>
      <c r="R89" t="s">
        <v>54</v>
      </c>
      <c r="S89" t="s">
        <v>54</v>
      </c>
      <c r="T89">
        <v>40</v>
      </c>
      <c r="U89">
        <v>75</v>
      </c>
      <c r="V89" t="s">
        <v>54</v>
      </c>
      <c r="W89" t="s">
        <v>54</v>
      </c>
      <c r="X89" t="s">
        <v>54</v>
      </c>
      <c r="Y89">
        <v>160</v>
      </c>
      <c r="Z89" t="s">
        <v>54</v>
      </c>
      <c r="AA89">
        <v>300</v>
      </c>
      <c r="AB89" t="s">
        <v>54</v>
      </c>
      <c r="AC89" t="s">
        <v>54</v>
      </c>
      <c r="AD89">
        <v>26</v>
      </c>
      <c r="AE89" t="s">
        <v>54</v>
      </c>
      <c r="AF89" t="s">
        <v>54</v>
      </c>
      <c r="AG89" t="s">
        <v>54</v>
      </c>
      <c r="AH89">
        <v>800</v>
      </c>
      <c r="AI89">
        <v>800</v>
      </c>
      <c r="AJ89">
        <v>33</v>
      </c>
      <c r="AK89" t="s">
        <v>54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>
        <v>350</v>
      </c>
      <c r="AT89" t="s">
        <v>54</v>
      </c>
      <c r="AU89" t="s">
        <v>54</v>
      </c>
      <c r="AV89" t="s">
        <v>54</v>
      </c>
      <c r="AW89" t="s">
        <v>54</v>
      </c>
      <c r="AX89">
        <v>60</v>
      </c>
      <c r="AZ89">
        <v>1850</v>
      </c>
      <c r="BA89" t="s">
        <v>55</v>
      </c>
    </row>
    <row r="90" spans="1:53" x14ac:dyDescent="0.45">
      <c r="A90">
        <v>7</v>
      </c>
      <c r="C90" t="str">
        <f>RIGHT([1]Raw_Granville_1850!B93,LEN([1]Raw_Granville_1850!B93)-1)</f>
        <v>Philander Hay's</v>
      </c>
      <c r="D90" t="s">
        <v>142</v>
      </c>
      <c r="F90">
        <v>100</v>
      </c>
      <c r="G90">
        <v>50</v>
      </c>
      <c r="H90">
        <v>2000</v>
      </c>
      <c r="I90">
        <v>100</v>
      </c>
      <c r="J90">
        <v>1</v>
      </c>
      <c r="K90" t="s">
        <v>54</v>
      </c>
      <c r="L90">
        <v>4</v>
      </c>
      <c r="M90">
        <v>4</v>
      </c>
      <c r="N90">
        <v>4</v>
      </c>
      <c r="O90">
        <v>29</v>
      </c>
      <c r="P90">
        <v>1</v>
      </c>
      <c r="Q90">
        <v>375</v>
      </c>
      <c r="R90" t="s">
        <v>54</v>
      </c>
      <c r="S90" t="s">
        <v>54</v>
      </c>
      <c r="T90">
        <v>5</v>
      </c>
      <c r="U90">
        <v>75</v>
      </c>
      <c r="V90" t="s">
        <v>54</v>
      </c>
      <c r="W90" t="s">
        <v>54</v>
      </c>
      <c r="X90" t="s">
        <v>54</v>
      </c>
      <c r="Y90">
        <v>80</v>
      </c>
      <c r="Z90" t="s">
        <v>54</v>
      </c>
      <c r="AA90">
        <v>150</v>
      </c>
      <c r="AB90" t="s">
        <v>54</v>
      </c>
      <c r="AC90" t="s">
        <v>54</v>
      </c>
      <c r="AD90">
        <v>20</v>
      </c>
      <c r="AE90" t="s">
        <v>54</v>
      </c>
      <c r="AF90" t="s">
        <v>54</v>
      </c>
      <c r="AG90" t="s">
        <v>54</v>
      </c>
      <c r="AH90">
        <v>400</v>
      </c>
      <c r="AI90" t="s">
        <v>54</v>
      </c>
      <c r="AJ90">
        <v>35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T90" t="s">
        <v>54</v>
      </c>
      <c r="AU90" t="s">
        <v>54</v>
      </c>
      <c r="AV90" t="s">
        <v>54</v>
      </c>
      <c r="AW90" t="s">
        <v>54</v>
      </c>
      <c r="AX90">
        <v>50</v>
      </c>
      <c r="AZ90">
        <v>1850</v>
      </c>
      <c r="BA90" t="s">
        <v>55</v>
      </c>
    </row>
  </sheetData>
  <conditionalFormatting sqref="F2:AX90 AZ2:AZ90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2024-07-09T19:31:12Z</dcterms:modified>
</cp:coreProperties>
</file>