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New Haven_NoNames" sheetId="1" r:id="rId4"/>
  </sheets>
  <definedNames/>
  <calcPr/>
</workbook>
</file>

<file path=xl/sharedStrings.xml><?xml version="1.0" encoding="utf-8"?>
<sst xmlns="http://schemas.openxmlformats.org/spreadsheetml/2006/main" count="6723" uniqueCount="608">
  <si>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</si>
  <si>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</si>
  <si>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</si>
  <si>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</si>
  <si>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</si>
  <si>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</si>
  <si>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</si>
  <si>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</si>
  <si>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</si>
  <si>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</si>
  <si>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</si>
  <si>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</si>
  <si>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</si>
  <si>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</si>
  <si>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</si>
  <si>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</si>
  <si>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</si>
  <si>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</si>
  <si>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</si>
  <si>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</si>
  <si>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</si>
  <si>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</si>
  <si>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</si>
  <si>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</si>
  <si>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</si>
  <si>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</si>
  <si>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</si>
  <si>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</si>
  <si>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</si>
  <si>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</si>
  <si>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</si>
  <si>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</si>
  <si>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</si>
  <si>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</si>
  <si>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</si>
  <si>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</si>
  <si>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</si>
  <si>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</si>
  <si>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</si>
  <si>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</si>
  <si>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</si>
  <si>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</si>
  <si>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</si>
  <si>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</si>
  <si>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</si>
  <si>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</si>
  <si>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</si>
  <si>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</si>
  <si>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</si>
  <si>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</si>
  <si>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</si>
  <si>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</si>
  <si>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</si>
  <si>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</si>
  <si>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</si>
  <si>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</si>
  <si>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</si>
  <si>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</si>
  <si>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</si>
  <si>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</si>
  <si>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</si>
  <si>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</si>
  <si>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</si>
  <si>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</si>
  <si>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</si>
  <si>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</si>
  <si>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</si>
  <si>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</si>
  <si>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</si>
  <si>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</si>
  <si>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</si>
  <si>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</si>
  <si>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</si>
  <si>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</si>
  <si>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</si>
  <si>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</si>
  <si>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</si>
  <si>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</si>
  <si>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</si>
  <si>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</si>
  <si>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</si>
  <si>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</si>
  <si>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</si>
  <si>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</si>
  <si>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</si>
  <si>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</si>
  <si>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</si>
  <si>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</si>
  <si>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</si>
  <si>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</si>
  <si>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</si>
  <si>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</si>
  <si>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</si>
  <si>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</si>
  <si>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</si>
  <si>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</si>
  <si>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</si>
  <si>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</si>
  <si>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</si>
  <si>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</si>
  <si>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</si>
  <si>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</si>
  <si>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</si>
  <si>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</si>
  <si>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New Haven</t>
  </si>
  <si>
    <t>80</t>
  </si>
  <si>
    <t>150</t>
  </si>
  <si>
    <t>20</t>
  </si>
  <si>
    <t>9112</t>
  </si>
  <si>
    <t>200</t>
  </si>
  <si>
    <t>1670</t>
  </si>
  <si>
    <t>12</t>
  </si>
  <si>
    <t>8</t>
  </si>
  <si>
    <t>300</t>
  </si>
  <si>
    <t>41</t>
  </si>
  <si>
    <t>1223</t>
  </si>
  <si>
    <t>60</t>
  </si>
  <si>
    <t>190</t>
  </si>
  <si>
    <t>120</t>
  </si>
  <si>
    <t>3</t>
  </si>
  <si>
    <t>42</t>
  </si>
  <si>
    <t>18</t>
  </si>
  <si>
    <t>14</t>
  </si>
  <si>
    <t>4365</t>
  </si>
  <si>
    <t>3500</t>
  </si>
  <si>
    <t>140</t>
  </si>
  <si>
    <t>2</t>
  </si>
  <si>
    <t>7</t>
  </si>
  <si>
    <t>85</t>
  </si>
  <si>
    <t>4</t>
  </si>
  <si>
    <t>115</t>
  </si>
  <si>
    <t>75</t>
  </si>
  <si>
    <t>5</t>
  </si>
  <si>
    <t>225</t>
  </si>
  <si>
    <t>125</t>
  </si>
  <si>
    <t>100</t>
  </si>
  <si>
    <t>30</t>
  </si>
  <si>
    <t>10</t>
  </si>
  <si>
    <t>92</t>
  </si>
  <si>
    <t>1500</t>
  </si>
  <si>
    <t>70</t>
  </si>
  <si>
    <t>37</t>
  </si>
  <si>
    <t>4500</t>
  </si>
  <si>
    <t>740</t>
  </si>
  <si>
    <t>25</t>
  </si>
  <si>
    <t>350</t>
  </si>
  <si>
    <t>78</t>
  </si>
  <si>
    <t>700</t>
  </si>
  <si>
    <t>17</t>
  </si>
  <si>
    <t>40</t>
  </si>
  <si>
    <t>13</t>
  </si>
  <si>
    <t>5400</t>
  </si>
  <si>
    <t>11</t>
  </si>
  <si>
    <t>44</t>
  </si>
  <si>
    <t>50</t>
  </si>
  <si>
    <t>139</t>
  </si>
  <si>
    <t>22</t>
  </si>
  <si>
    <t>38</t>
  </si>
  <si>
    <t>7000</t>
  </si>
  <si>
    <t>809</t>
  </si>
  <si>
    <t>59</t>
  </si>
  <si>
    <t>900</t>
  </si>
  <si>
    <t>6</t>
  </si>
  <si>
    <t>750</t>
  </si>
  <si>
    <t>62</t>
  </si>
  <si>
    <t>496</t>
  </si>
  <si>
    <t>15</t>
  </si>
  <si>
    <t>35</t>
  </si>
  <si>
    <t>360</t>
  </si>
  <si>
    <t>45</t>
  </si>
  <si>
    <t>2800</t>
  </si>
  <si>
    <t>235</t>
  </si>
  <si>
    <t>39</t>
  </si>
  <si>
    <t>507</t>
  </si>
  <si>
    <t>56</t>
  </si>
  <si>
    <t>980</t>
  </si>
  <si>
    <t>600</t>
  </si>
  <si>
    <t>36</t>
  </si>
  <si>
    <t>32</t>
  </si>
  <si>
    <t>130</t>
  </si>
  <si>
    <t>6500</t>
  </si>
  <si>
    <t>1135</t>
  </si>
  <si>
    <t>204</t>
  </si>
  <si>
    <t>1005</t>
  </si>
  <si>
    <t>9</t>
  </si>
  <si>
    <t>1861</t>
  </si>
  <si>
    <t>5600</t>
  </si>
  <si>
    <t>1000</t>
  </si>
  <si>
    <t>52</t>
  </si>
  <si>
    <t>1031</t>
  </si>
  <si>
    <t>2440</t>
  </si>
  <si>
    <t>400</t>
  </si>
  <si>
    <t>19</t>
  </si>
  <si>
    <t>132</t>
  </si>
  <si>
    <t>9000</t>
  </si>
  <si>
    <t>1380</t>
  </si>
  <si>
    <t>220</t>
  </si>
  <si>
    <t>1817</t>
  </si>
  <si>
    <t>145</t>
  </si>
  <si>
    <t>26</t>
  </si>
  <si>
    <t>21</t>
  </si>
  <si>
    <t>7375</t>
  </si>
  <si>
    <t>1200</t>
  </si>
  <si>
    <t>250</t>
  </si>
  <si>
    <t>67</t>
  </si>
  <si>
    <t>49</t>
  </si>
  <si>
    <t>4740</t>
  </si>
  <si>
    <t>138</t>
  </si>
  <si>
    <t>523</t>
  </si>
  <si>
    <t>575</t>
  </si>
  <si>
    <t>96</t>
  </si>
  <si>
    <t>65</t>
  </si>
  <si>
    <t>47</t>
  </si>
  <si>
    <t>4625</t>
  </si>
  <si>
    <t>142</t>
  </si>
  <si>
    <t>528</t>
  </si>
  <si>
    <t>143</t>
  </si>
  <si>
    <t>1002</t>
  </si>
  <si>
    <t>55</t>
  </si>
  <si>
    <t>57</t>
  </si>
  <si>
    <t>6220</t>
  </si>
  <si>
    <t>823</t>
  </si>
  <si>
    <t>95</t>
  </si>
  <si>
    <t>180</t>
  </si>
  <si>
    <t>175</t>
  </si>
  <si>
    <t>110</t>
  </si>
  <si>
    <t>8550</t>
  </si>
  <si>
    <t>1155</t>
  </si>
  <si>
    <t>1405</t>
  </si>
  <si>
    <t>2000</t>
  </si>
  <si>
    <t>550</t>
  </si>
  <si>
    <t>5070</t>
  </si>
  <si>
    <t>395</t>
  </si>
  <si>
    <t>650</t>
  </si>
  <si>
    <t>84</t>
  </si>
  <si>
    <t>16</t>
  </si>
  <si>
    <t>48</t>
  </si>
  <si>
    <t>24</t>
  </si>
  <si>
    <t>3000</t>
  </si>
  <si>
    <t>450</t>
  </si>
  <si>
    <t>872</t>
  </si>
  <si>
    <t>275</t>
  </si>
  <si>
    <t>2250</t>
  </si>
  <si>
    <t>355</t>
  </si>
  <si>
    <t>2500</t>
  </si>
  <si>
    <t>625</t>
  </si>
  <si>
    <t>751</t>
  </si>
  <si>
    <t>1575</t>
  </si>
  <si>
    <t>260</t>
  </si>
  <si>
    <t>1800</t>
  </si>
  <si>
    <t>105</t>
  </si>
  <si>
    <t>826</t>
  </si>
  <si>
    <t>622</t>
  </si>
  <si>
    <t>31</t>
  </si>
  <si>
    <t>6000</t>
  </si>
  <si>
    <t>1352</t>
  </si>
  <si>
    <t>500</t>
  </si>
  <si>
    <t>560</t>
  </si>
  <si>
    <t>1750</t>
  </si>
  <si>
    <t>6200</t>
  </si>
  <si>
    <t>1156</t>
  </si>
  <si>
    <t>1332</t>
  </si>
  <si>
    <t>1600</t>
  </si>
  <si>
    <t>228</t>
  </si>
  <si>
    <t>461</t>
  </si>
  <si>
    <t>2880</t>
  </si>
  <si>
    <t>215</t>
  </si>
  <si>
    <t>565</t>
  </si>
  <si>
    <t>1150</t>
  </si>
  <si>
    <t>169</t>
  </si>
  <si>
    <t>90</t>
  </si>
  <si>
    <t>117</t>
  </si>
  <si>
    <t>375</t>
  </si>
  <si>
    <t>663</t>
  </si>
  <si>
    <t>86</t>
  </si>
  <si>
    <t>4000</t>
  </si>
  <si>
    <t>153</t>
  </si>
  <si>
    <t>930</t>
  </si>
  <si>
    <t>119</t>
  </si>
  <si>
    <t>28</t>
  </si>
  <si>
    <t>248</t>
  </si>
  <si>
    <t>128</t>
  </si>
  <si>
    <t>310</t>
  </si>
  <si>
    <t>8000</t>
  </si>
  <si>
    <t>10000</t>
  </si>
  <si>
    <t>4050</t>
  </si>
  <si>
    <t>1100</t>
  </si>
  <si>
    <t>46</t>
  </si>
  <si>
    <t>800</t>
  </si>
  <si>
    <t>3300</t>
  </si>
  <si>
    <t>99</t>
  </si>
  <si>
    <t>335</t>
  </si>
  <si>
    <t>2900</t>
  </si>
  <si>
    <t>3700</t>
  </si>
  <si>
    <t>937</t>
  </si>
  <si>
    <t>1900</t>
  </si>
  <si>
    <t>23</t>
  </si>
  <si>
    <t>1950</t>
  </si>
  <si>
    <t>27</t>
  </si>
  <si>
    <t>29</t>
  </si>
  <si>
    <t>106</t>
  </si>
  <si>
    <t>1160</t>
  </si>
  <si>
    <t>1690</t>
  </si>
  <si>
    <t>170</t>
  </si>
  <si>
    <t>13000</t>
  </si>
  <si>
    <t>104</t>
  </si>
  <si>
    <t>2580</t>
  </si>
  <si>
    <t>230</t>
  </si>
  <si>
    <t>7570</t>
  </si>
  <si>
    <t>468</t>
  </si>
  <si>
    <t>33</t>
  </si>
  <si>
    <t>16000</t>
  </si>
  <si>
    <t>1700</t>
  </si>
  <si>
    <t>3050</t>
  </si>
  <si>
    <t>5300</t>
  </si>
  <si>
    <t>34</t>
  </si>
  <si>
    <t>5000</t>
  </si>
  <si>
    <t>843</t>
  </si>
  <si>
    <t>320</t>
  </si>
  <si>
    <t>436</t>
  </si>
  <si>
    <t>475</t>
  </si>
  <si>
    <t>340</t>
  </si>
  <si>
    <t>477</t>
  </si>
  <si>
    <t>2280</t>
  </si>
  <si>
    <t>1525</t>
  </si>
  <si>
    <t>555</t>
  </si>
  <si>
    <t>124</t>
  </si>
  <si>
    <t>2082</t>
  </si>
  <si>
    <t>7760</t>
  </si>
  <si>
    <t>434</t>
  </si>
  <si>
    <t>5500</t>
  </si>
  <si>
    <t>670</t>
  </si>
  <si>
    <t>2200</t>
  </si>
  <si>
    <t>160</t>
  </si>
  <si>
    <t>774</t>
  </si>
  <si>
    <t>43</t>
  </si>
  <si>
    <t>975</t>
  </si>
  <si>
    <t>1400</t>
  </si>
  <si>
    <t>302</t>
  </si>
  <si>
    <t>280</t>
  </si>
  <si>
    <t>504</t>
  </si>
  <si>
    <t>82</t>
  </si>
  <si>
    <t>1050</t>
  </si>
  <si>
    <t>410</t>
  </si>
  <si>
    <t>1020</t>
  </si>
  <si>
    <t>152</t>
  </si>
  <si>
    <t>212</t>
  </si>
  <si>
    <t>72</t>
  </si>
  <si>
    <t>325</t>
  </si>
  <si>
    <t>387</t>
  </si>
  <si>
    <t>685</t>
  </si>
  <si>
    <t>981</t>
  </si>
  <si>
    <t>769</t>
  </si>
  <si>
    <t>141</t>
  </si>
  <si>
    <t>12000</t>
  </si>
  <si>
    <t>1130</t>
  </si>
  <si>
    <t>66</t>
  </si>
  <si>
    <t>6050</t>
  </si>
  <si>
    <t>1300</t>
  </si>
  <si>
    <t>365</t>
  </si>
  <si>
    <t>539</t>
  </si>
  <si>
    <t>665</t>
  </si>
  <si>
    <t>736</t>
  </si>
  <si>
    <t>185</t>
  </si>
  <si>
    <t>108</t>
  </si>
  <si>
    <t>680</t>
  </si>
  <si>
    <t>93</t>
  </si>
  <si>
    <t>893</t>
  </si>
  <si>
    <t>63</t>
  </si>
  <si>
    <t>1056</t>
  </si>
  <si>
    <t>358</t>
  </si>
  <si>
    <t>2089</t>
  </si>
  <si>
    <t>165</t>
  </si>
  <si>
    <t>3600</t>
  </si>
  <si>
    <t>290</t>
  </si>
  <si>
    <t>590</t>
  </si>
  <si>
    <t>173</t>
  </si>
  <si>
    <t>960</t>
  </si>
  <si>
    <t>113</t>
  </si>
  <si>
    <t>208</t>
  </si>
  <si>
    <t>1330</t>
  </si>
  <si>
    <t>430</t>
  </si>
  <si>
    <t>852</t>
  </si>
  <si>
    <t>6700</t>
  </si>
  <si>
    <t>2952</t>
  </si>
  <si>
    <t>351</t>
  </si>
  <si>
    <t>210</t>
  </si>
  <si>
    <t>5800</t>
  </si>
  <si>
    <t>1170</t>
  </si>
  <si>
    <t>1431</t>
  </si>
  <si>
    <t>2924</t>
  </si>
  <si>
    <t>112</t>
  </si>
  <si>
    <t>382</t>
  </si>
  <si>
    <t>1161</t>
  </si>
  <si>
    <t>64</t>
  </si>
  <si>
    <t>88</t>
  </si>
  <si>
    <t>784</t>
  </si>
  <si>
    <t>167</t>
  </si>
  <si>
    <t>570</t>
  </si>
  <si>
    <t>971</t>
  </si>
  <si>
    <t>97</t>
  </si>
  <si>
    <t>559</t>
  </si>
  <si>
    <t>68</t>
  </si>
  <si>
    <t>544</t>
  </si>
  <si>
    <t>1825</t>
  </si>
  <si>
    <t>289</t>
  </si>
  <si>
    <t>1250</t>
  </si>
  <si>
    <t>273</t>
  </si>
  <si>
    <t>542</t>
  </si>
  <si>
    <t>134</t>
  </si>
  <si>
    <t>0</t>
  </si>
  <si>
    <t>87</t>
  </si>
  <si>
    <t>425</t>
  </si>
  <si>
    <t>144</t>
  </si>
  <si>
    <t>4544</t>
  </si>
  <si>
    <t>2541</t>
  </si>
  <si>
    <t>116</t>
  </si>
  <si>
    <t>1044</t>
  </si>
  <si>
    <t>620</t>
  </si>
  <si>
    <t>527</t>
  </si>
  <si>
    <t>950</t>
  </si>
  <si>
    <t>602</t>
  </si>
  <si>
    <t>548</t>
  </si>
  <si>
    <t>1850</t>
  </si>
  <si>
    <t>197</t>
  </si>
  <si>
    <t>894</t>
  </si>
  <si>
    <t>1260</t>
  </si>
  <si>
    <t>2400</t>
  </si>
  <si>
    <t>465</t>
  </si>
  <si>
    <t>1193</t>
  </si>
  <si>
    <t>855</t>
  </si>
  <si>
    <t>1209</t>
  </si>
  <si>
    <t>1655</t>
  </si>
  <si>
    <t>933</t>
  </si>
  <si>
    <t>431</t>
  </si>
  <si>
    <t>236</t>
  </si>
  <si>
    <t>118</t>
  </si>
  <si>
    <t>745</t>
  </si>
  <si>
    <t>818</t>
  </si>
  <si>
    <t>540</t>
  </si>
  <si>
    <t>455</t>
  </si>
  <si>
    <t>243</t>
  </si>
  <si>
    <t>531</t>
  </si>
  <si>
    <t>370</t>
  </si>
  <si>
    <t>742</t>
  </si>
  <si>
    <t>287</t>
  </si>
  <si>
    <t>164</t>
  </si>
  <si>
    <t>962</t>
  </si>
  <si>
    <t>522</t>
  </si>
  <si>
    <t>1859</t>
  </si>
  <si>
    <t>3200</t>
  </si>
  <si>
    <t>1314</t>
  </si>
  <si>
    <t>74</t>
  </si>
  <si>
    <t>2700</t>
  </si>
  <si>
    <t>161</t>
  </si>
  <si>
    <t>696</t>
  </si>
  <si>
    <t>58</t>
  </si>
  <si>
    <t>339</t>
  </si>
  <si>
    <t>363</t>
  </si>
  <si>
    <t>725</t>
  </si>
  <si>
    <t>227</t>
  </si>
  <si>
    <t>1036</t>
  </si>
  <si>
    <t>2100</t>
  </si>
  <si>
    <t>536</t>
  </si>
  <si>
    <t>418</t>
  </si>
  <si>
    <t>15000</t>
  </si>
  <si>
    <t>391</t>
  </si>
  <si>
    <t>3484</t>
  </si>
  <si>
    <t>791</t>
  </si>
  <si>
    <t>301</t>
  </si>
  <si>
    <t>448</t>
  </si>
  <si>
    <t>3545</t>
  </si>
  <si>
    <t>3238</t>
  </si>
  <si>
    <t>135</t>
  </si>
  <si>
    <t>282</t>
  </si>
  <si>
    <t>7500</t>
  </si>
  <si>
    <t>1035</t>
  </si>
  <si>
    <t>319</t>
  </si>
  <si>
    <t>216</t>
  </si>
  <si>
    <t>226</t>
  </si>
  <si>
    <t>480</t>
  </si>
  <si>
    <t>613</t>
  </si>
  <si>
    <t>54</t>
  </si>
  <si>
    <t>1985</t>
  </si>
  <si>
    <t>4750</t>
  </si>
  <si>
    <t>315</t>
  </si>
  <si>
    <t>515</t>
  </si>
  <si>
    <t>865</t>
  </si>
  <si>
    <t>1493</t>
  </si>
  <si>
    <t>1065</t>
  </si>
  <si>
    <t>1675</t>
  </si>
  <si>
    <t>3270</t>
  </si>
  <si>
    <t>73</t>
  </si>
  <si>
    <t>426</t>
  </si>
  <si>
    <t>162</t>
  </si>
  <si>
    <t>925</t>
  </si>
  <si>
    <t>1553</t>
  </si>
  <si>
    <t>1280</t>
  </si>
  <si>
    <t>520</t>
  </si>
  <si>
    <t>158</t>
  </si>
  <si>
    <t>5200</t>
  </si>
  <si>
    <t>870</t>
  </si>
  <si>
    <t>283</t>
  </si>
  <si>
    <t>1095</t>
  </si>
  <si>
    <t>767</t>
  </si>
  <si>
    <t>77</t>
  </si>
  <si>
    <t>616</t>
  </si>
  <si>
    <t>810</t>
  </si>
  <si>
    <t>1354</t>
  </si>
  <si>
    <t>53</t>
  </si>
  <si>
    <t>1531</t>
  </si>
  <si>
    <t>211</t>
  </si>
  <si>
    <t>775</t>
  </si>
  <si>
    <t>270</t>
  </si>
  <si>
    <t>1569</t>
  </si>
  <si>
    <t>2220</t>
  </si>
  <si>
    <t>91</t>
  </si>
  <si>
    <t>5761</t>
  </si>
  <si>
    <t>224</t>
  </si>
  <si>
    <t>990</t>
  </si>
  <si>
    <t>334</t>
  </si>
  <si>
    <t>2065</t>
  </si>
  <si>
    <t>850</t>
  </si>
  <si>
    <t>1497</t>
  </si>
  <si>
    <t>568</t>
  </si>
  <si>
    <t>1932</t>
  </si>
  <si>
    <t>484</t>
  </si>
  <si>
    <t>129</t>
  </si>
  <si>
    <t>806</t>
  </si>
  <si>
    <t>723</t>
  </si>
  <si>
    <t>176</t>
  </si>
  <si>
    <t>1105</t>
  </si>
  <si>
    <t>1867</t>
  </si>
  <si>
    <t>361</t>
  </si>
  <si>
    <t>24000</t>
  </si>
  <si>
    <t>3060</t>
  </si>
  <si>
    <t>860</t>
  </si>
  <si>
    <t>4679</t>
  </si>
  <si>
    <t>8701</t>
  </si>
  <si>
    <t>1795</t>
  </si>
  <si>
    <t>1577</t>
  </si>
  <si>
    <t>3746</t>
  </si>
  <si>
    <t>107</t>
  </si>
  <si>
    <t>703</t>
  </si>
  <si>
    <t>931</t>
  </si>
  <si>
    <t>1770</t>
  </si>
  <si>
    <t>1365</t>
  </si>
  <si>
    <t>1433</t>
  </si>
  <si>
    <t>583</t>
  </si>
  <si>
    <t>240</t>
  </si>
  <si>
    <t>913</t>
  </si>
  <si>
    <t>1694</t>
  </si>
  <si>
    <t>890</t>
  </si>
  <si>
    <t>109</t>
  </si>
  <si>
    <t>1450</t>
  </si>
  <si>
    <t>244</t>
  </si>
  <si>
    <t>553</t>
  </si>
  <si>
    <t>910</t>
  </si>
  <si>
    <t>330</t>
  </si>
  <si>
    <t>1171</t>
  </si>
  <si>
    <t>189</t>
  </si>
  <si>
    <t>163</t>
  </si>
  <si>
    <t>2470</t>
  </si>
  <si>
    <t>630</t>
  </si>
  <si>
    <t>2177</t>
  </si>
  <si>
    <t>177</t>
  </si>
  <si>
    <t>76</t>
  </si>
  <si>
    <t>545</t>
  </si>
  <si>
    <t>422</t>
  </si>
  <si>
    <t>834</t>
  </si>
  <si>
    <t>126</t>
  </si>
  <si>
    <t>10500</t>
  </si>
  <si>
    <t>1375</t>
  </si>
  <si>
    <t>1455</t>
  </si>
  <si>
    <t>18000</t>
  </si>
  <si>
    <t>2925</t>
  </si>
  <si>
    <t>2833</t>
  </si>
  <si>
    <t>168</t>
  </si>
  <si>
    <t>332</t>
  </si>
  <si>
    <t>720</t>
  </si>
  <si>
    <t>452</t>
  </si>
  <si>
    <t>415</t>
  </si>
  <si>
    <t>814</t>
  </si>
  <si>
    <t>1331</t>
  </si>
  <si>
    <t>286</t>
  </si>
  <si>
    <t>1358</t>
  </si>
  <si>
    <t>296</t>
  </si>
  <si>
    <t>1430</t>
  </si>
  <si>
    <t>352</t>
  </si>
  <si>
    <t>1402</t>
  </si>
  <si>
    <t>390</t>
  </si>
  <si>
    <t>242</t>
  </si>
  <si>
    <t>1326</t>
  </si>
  <si>
    <t>155</t>
  </si>
  <si>
    <t>1397</t>
  </si>
  <si>
    <t>192</t>
  </si>
  <si>
    <t>959</t>
  </si>
  <si>
    <t>3750</t>
  </si>
  <si>
    <t>585</t>
  </si>
  <si>
    <t>1049</t>
  </si>
  <si>
    <t>196</t>
  </si>
  <si>
    <t>547</t>
  </si>
  <si>
    <t>266</t>
  </si>
  <si>
    <t>20000</t>
  </si>
  <si>
    <t>1062</t>
  </si>
  <si>
    <t>3410</t>
  </si>
  <si>
    <t>406</t>
  </si>
  <si>
    <t>840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</si>
</sst>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 readingOrder="0"/>
    </xf>
    <xf borderId="0" fillId="0" fontId="4" numFmtId="2" xfId="0" applyAlignment="1" applyFont="1" applyNumberFormat="1">
      <alignment horizontal="right" readingOrder="0"/>
    </xf>
    <xf borderId="0" fillId="0" fontId="2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6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2"/>
      <c r="DA1" s="2"/>
      <c r="DB1" s="2"/>
    </row>
    <row r="2" ht="15.75" customHeight="1">
      <c r="A2" s="3" t="s">
        <v>103</v>
      </c>
      <c r="B2" s="3" t="s">
        <v>103</v>
      </c>
      <c r="C2" s="3" t="s">
        <v>104</v>
      </c>
      <c r="D2" s="3"/>
      <c r="E2" s="3" t="s">
        <v>103</v>
      </c>
      <c r="F2" s="3"/>
      <c r="G2" s="3"/>
      <c r="H2" s="3" t="s">
        <v>105</v>
      </c>
      <c r="I2" s="3" t="s">
        <v>106</v>
      </c>
      <c r="J2" s="3" t="s">
        <v>107</v>
      </c>
      <c r="K2" s="3"/>
      <c r="L2" s="3" t="s">
        <v>108</v>
      </c>
      <c r="M2" s="3" t="s">
        <v>109</v>
      </c>
      <c r="N2" s="3" t="s">
        <v>110</v>
      </c>
      <c r="O2" s="3" t="s">
        <v>111</v>
      </c>
      <c r="P2" s="3" t="s">
        <v>112</v>
      </c>
      <c r="Q2" s="3" t="s">
        <v>113</v>
      </c>
      <c r="R2" s="3" t="s">
        <v>114</v>
      </c>
      <c r="S2" s="3" t="s">
        <v>115</v>
      </c>
      <c r="T2" s="3" t="s">
        <v>116</v>
      </c>
      <c r="U2" s="3" t="s">
        <v>117</v>
      </c>
      <c r="V2" s="3" t="s">
        <v>118</v>
      </c>
      <c r="W2" s="3"/>
      <c r="X2" s="3"/>
      <c r="Y2" s="3" t="s">
        <v>119</v>
      </c>
      <c r="Z2" s="3"/>
      <c r="AA2" s="3"/>
      <c r="AB2" s="3" t="s">
        <v>107</v>
      </c>
      <c r="AC2" s="3" t="s">
        <v>120</v>
      </c>
      <c r="AD2" s="3" t="s">
        <v>121</v>
      </c>
      <c r="AE2" s="3" t="s">
        <v>119</v>
      </c>
      <c r="AF2" s="3" t="s">
        <v>122</v>
      </c>
      <c r="AG2" s="3"/>
      <c r="AH2" s="3"/>
      <c r="AI2" s="3" t="s">
        <v>123</v>
      </c>
      <c r="AJ2" s="3" t="s">
        <v>124</v>
      </c>
      <c r="AK2" s="3"/>
      <c r="AL2" s="3" t="s">
        <v>107</v>
      </c>
      <c r="AM2" s="3" t="s">
        <v>107</v>
      </c>
      <c r="AN2" s="3"/>
      <c r="AO2" s="3"/>
      <c r="AP2" s="3"/>
      <c r="AQ2" s="3"/>
      <c r="AR2" s="3"/>
      <c r="AS2" s="3"/>
      <c r="AT2" s="3" t="s">
        <v>107</v>
      </c>
      <c r="AU2" s="3" t="s">
        <v>125</v>
      </c>
      <c r="AV2" s="3" t="s">
        <v>126</v>
      </c>
      <c r="AW2" s="3" t="s">
        <v>127</v>
      </c>
      <c r="AX2" s="3"/>
      <c r="AY2" s="3" t="s">
        <v>128</v>
      </c>
      <c r="AZ2" s="3" t="s">
        <v>129</v>
      </c>
      <c r="BA2" s="3" t="s">
        <v>130</v>
      </c>
      <c r="BB2" s="3"/>
      <c r="BC2" s="3"/>
      <c r="BD2" s="3" t="s">
        <v>126</v>
      </c>
      <c r="BE2" s="3" t="s">
        <v>131</v>
      </c>
      <c r="BF2" s="3" t="s">
        <v>132</v>
      </c>
      <c r="BG2" s="3" t="s">
        <v>133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 t="s">
        <v>103</v>
      </c>
      <c r="CD2" s="3" t="s">
        <v>106</v>
      </c>
      <c r="CE2" s="3"/>
      <c r="CF2" s="3"/>
      <c r="CG2" s="3"/>
      <c r="CH2" s="3"/>
      <c r="CI2" s="3" t="s">
        <v>126</v>
      </c>
      <c r="CJ2" s="3" t="s">
        <v>134</v>
      </c>
      <c r="CK2" s="3" t="s">
        <v>135</v>
      </c>
      <c r="CL2" s="3"/>
      <c r="CM2" s="3"/>
      <c r="CN2" s="3"/>
      <c r="CO2" s="3" t="s">
        <v>136</v>
      </c>
      <c r="CP2" s="3"/>
      <c r="CQ2" s="3"/>
      <c r="CR2" s="3"/>
      <c r="CS2" s="3"/>
      <c r="CT2" s="3"/>
      <c r="CU2" s="3"/>
      <c r="CV2" s="3"/>
      <c r="CW2" s="3"/>
      <c r="CX2" s="3" t="s">
        <v>137</v>
      </c>
      <c r="CY2" s="3" t="s">
        <v>136</v>
      </c>
      <c r="CZ2" s="3"/>
      <c r="DA2" s="3"/>
      <c r="DB2" s="3"/>
    </row>
    <row r="3" ht="15.75" customHeight="1">
      <c r="A3" s="3" t="s">
        <v>126</v>
      </c>
      <c r="B3" s="3" t="s">
        <v>103</v>
      </c>
      <c r="C3" s="3" t="s">
        <v>104</v>
      </c>
      <c r="D3" s="3"/>
      <c r="E3" s="3"/>
      <c r="F3" s="3" t="s">
        <v>103</v>
      </c>
      <c r="G3" s="3"/>
      <c r="H3" s="3" t="s">
        <v>112</v>
      </c>
      <c r="I3" s="3" t="s">
        <v>138</v>
      </c>
      <c r="J3" s="3"/>
      <c r="K3" s="3"/>
      <c r="L3" s="3" t="s">
        <v>139</v>
      </c>
      <c r="M3" s="3"/>
      <c r="N3" s="3"/>
      <c r="O3" s="3" t="s">
        <v>119</v>
      </c>
      <c r="P3" s="3"/>
      <c r="Q3" s="3"/>
      <c r="R3" s="3"/>
      <c r="S3" s="3"/>
      <c r="T3" s="3" t="s">
        <v>112</v>
      </c>
      <c r="U3" s="3" t="s">
        <v>138</v>
      </c>
      <c r="V3" s="3" t="s">
        <v>137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>
        <f>1/2</f>
        <v>0.5</v>
      </c>
      <c r="CD3" s="3" t="s">
        <v>140</v>
      </c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</row>
    <row r="4" ht="15.75" customHeight="1">
      <c r="A4" s="3" t="s">
        <v>119</v>
      </c>
      <c r="B4" s="3" t="s">
        <v>103</v>
      </c>
      <c r="C4" s="3" t="s">
        <v>104</v>
      </c>
      <c r="D4" s="3"/>
      <c r="E4" s="3" t="s">
        <v>103</v>
      </c>
      <c r="F4" s="3"/>
      <c r="G4" s="3"/>
      <c r="H4" s="3" t="s">
        <v>141</v>
      </c>
      <c r="I4" s="3"/>
      <c r="J4" s="3"/>
      <c r="K4" s="3"/>
      <c r="L4" s="3" t="s">
        <v>142</v>
      </c>
      <c r="M4" s="3" t="s">
        <v>113</v>
      </c>
      <c r="N4" s="3" t="s">
        <v>143</v>
      </c>
      <c r="O4" s="3" t="s">
        <v>137</v>
      </c>
      <c r="P4" s="3" t="s">
        <v>144</v>
      </c>
      <c r="Q4" s="3" t="s">
        <v>145</v>
      </c>
      <c r="R4" s="3" t="s">
        <v>146</v>
      </c>
      <c r="S4" s="3" t="s">
        <v>147</v>
      </c>
      <c r="T4" s="3" t="s">
        <v>148</v>
      </c>
      <c r="U4" s="3" t="s">
        <v>137</v>
      </c>
      <c r="V4" s="3" t="s">
        <v>149</v>
      </c>
      <c r="W4" s="3"/>
      <c r="X4" s="3"/>
      <c r="Y4" s="3" t="s">
        <v>119</v>
      </c>
      <c r="Z4" s="3"/>
      <c r="AA4" s="3"/>
      <c r="AB4" s="3" t="s">
        <v>122</v>
      </c>
      <c r="AC4" s="3"/>
      <c r="AD4" s="3" t="s">
        <v>150</v>
      </c>
      <c r="AE4" s="3"/>
      <c r="AF4" s="3"/>
      <c r="AG4" s="3"/>
      <c r="AH4" s="3"/>
      <c r="AI4" s="3" t="s">
        <v>151</v>
      </c>
      <c r="AJ4" s="3" t="s">
        <v>113</v>
      </c>
      <c r="AK4" s="3"/>
      <c r="AL4" s="3" t="s">
        <v>107</v>
      </c>
      <c r="AM4" s="3" t="s">
        <v>152</v>
      </c>
      <c r="AN4" s="3"/>
      <c r="AO4" s="3" t="s">
        <v>107</v>
      </c>
      <c r="AP4" s="3"/>
      <c r="AQ4" s="3"/>
      <c r="AR4" s="3"/>
      <c r="AS4" s="3"/>
      <c r="AT4" s="3"/>
      <c r="AU4" s="3"/>
      <c r="AV4" s="3" t="s">
        <v>129</v>
      </c>
      <c r="AW4" s="3" t="s">
        <v>136</v>
      </c>
      <c r="AX4" s="3"/>
      <c r="AY4" s="3" t="s">
        <v>135</v>
      </c>
      <c r="AZ4" s="3" t="s">
        <v>126</v>
      </c>
      <c r="BA4" s="3" t="s">
        <v>153</v>
      </c>
      <c r="BB4" s="3"/>
      <c r="BC4" s="3"/>
      <c r="BD4" s="3" t="s">
        <v>103</v>
      </c>
      <c r="BE4" s="3" t="s">
        <v>154</v>
      </c>
      <c r="BF4" s="3" t="s">
        <v>119</v>
      </c>
      <c r="BG4" s="3" t="s">
        <v>155</v>
      </c>
      <c r="BH4" s="3"/>
      <c r="BI4" s="3"/>
      <c r="BJ4" s="3" t="s">
        <v>103</v>
      </c>
      <c r="BK4" s="3" t="s">
        <v>156</v>
      </c>
      <c r="BL4" s="3" t="s">
        <v>153</v>
      </c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 t="s">
        <v>103</v>
      </c>
      <c r="CD4" s="3" t="s">
        <v>134</v>
      </c>
      <c r="CE4" s="3"/>
      <c r="CF4" s="3"/>
      <c r="CG4" s="3"/>
      <c r="CH4" s="3"/>
      <c r="CI4" s="3">
        <f t="shared" ref="CI4:CI6" si="1">1/4</f>
        <v>0.25</v>
      </c>
      <c r="CJ4" s="3" t="s">
        <v>107</v>
      </c>
      <c r="CK4" s="3" t="s">
        <v>134</v>
      </c>
      <c r="CL4" s="3"/>
      <c r="CM4" s="3"/>
      <c r="CN4" s="3"/>
      <c r="CO4" s="4" t="s">
        <v>157</v>
      </c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</row>
    <row r="5" ht="15.75" customHeight="1">
      <c r="A5" s="3" t="s">
        <v>129</v>
      </c>
      <c r="B5" s="3" t="s">
        <v>103</v>
      </c>
      <c r="C5" s="3" t="s">
        <v>104</v>
      </c>
      <c r="D5" s="3"/>
      <c r="E5" s="3"/>
      <c r="F5" s="3" t="s">
        <v>103</v>
      </c>
      <c r="G5" s="3"/>
      <c r="H5" s="3" t="s">
        <v>131</v>
      </c>
      <c r="I5" s="3" t="s">
        <v>144</v>
      </c>
      <c r="J5" s="3"/>
      <c r="K5" s="3"/>
      <c r="L5" s="3" t="s">
        <v>158</v>
      </c>
      <c r="M5" s="3" t="s">
        <v>109</v>
      </c>
      <c r="N5" s="3" t="s">
        <v>159</v>
      </c>
      <c r="O5" s="3"/>
      <c r="P5" s="3"/>
      <c r="Q5" s="3" t="s">
        <v>113</v>
      </c>
      <c r="R5" s="3" t="s">
        <v>160</v>
      </c>
      <c r="S5" s="3" t="s">
        <v>161</v>
      </c>
      <c r="T5" s="3" t="s">
        <v>149</v>
      </c>
      <c r="U5" s="3" t="s">
        <v>116</v>
      </c>
      <c r="V5" s="3" t="s">
        <v>149</v>
      </c>
      <c r="W5" s="3"/>
      <c r="X5" s="3"/>
      <c r="Y5" s="3" t="s">
        <v>129</v>
      </c>
      <c r="Z5" s="3"/>
      <c r="AA5" s="3"/>
      <c r="AB5" s="3" t="s">
        <v>162</v>
      </c>
      <c r="AC5" s="3"/>
      <c r="AD5" s="3" t="s">
        <v>132</v>
      </c>
      <c r="AE5" s="3"/>
      <c r="AF5" s="3"/>
      <c r="AG5" s="3"/>
      <c r="AH5" s="3"/>
      <c r="AI5" s="3"/>
      <c r="AJ5" s="3" t="s">
        <v>163</v>
      </c>
      <c r="AK5" s="3"/>
      <c r="AL5" s="3" t="s">
        <v>164</v>
      </c>
      <c r="AM5" s="3" t="s">
        <v>121</v>
      </c>
      <c r="AN5" s="3" t="s">
        <v>154</v>
      </c>
      <c r="AO5" s="3" t="s">
        <v>122</v>
      </c>
      <c r="AP5" s="3" t="s">
        <v>112</v>
      </c>
      <c r="AQ5" s="3"/>
      <c r="AR5" s="3"/>
      <c r="AS5" s="3"/>
      <c r="AT5" s="3" t="s">
        <v>164</v>
      </c>
      <c r="AU5" s="3" t="s">
        <v>165</v>
      </c>
      <c r="AV5" s="3" t="s">
        <v>126</v>
      </c>
      <c r="AW5" s="3" t="s">
        <v>166</v>
      </c>
      <c r="AX5" s="3"/>
      <c r="AY5" s="3" t="s">
        <v>116</v>
      </c>
      <c r="AZ5" s="3" t="s">
        <v>119</v>
      </c>
      <c r="BA5" s="3" t="s">
        <v>167</v>
      </c>
      <c r="BB5" s="3"/>
      <c r="BC5" s="3"/>
      <c r="BD5" s="3" t="s">
        <v>126</v>
      </c>
      <c r="BE5" s="3" t="s">
        <v>154</v>
      </c>
      <c r="BF5" s="3" t="s">
        <v>137</v>
      </c>
      <c r="BG5" s="3" t="s">
        <v>168</v>
      </c>
      <c r="BH5" s="3"/>
      <c r="BI5" s="3"/>
      <c r="BJ5" s="3"/>
      <c r="BK5" s="3"/>
      <c r="BL5" s="3" t="s">
        <v>169</v>
      </c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 t="s">
        <v>103</v>
      </c>
      <c r="CD5" s="3" t="s">
        <v>135</v>
      </c>
      <c r="CE5" s="3"/>
      <c r="CF5" s="3"/>
      <c r="CG5" s="3"/>
      <c r="CH5" s="3"/>
      <c r="CI5" s="3">
        <f t="shared" si="1"/>
        <v>0.25</v>
      </c>
      <c r="CJ5" s="3" t="s">
        <v>107</v>
      </c>
      <c r="CK5" s="3" t="s">
        <v>107</v>
      </c>
      <c r="CL5" s="3"/>
      <c r="CM5" s="3"/>
      <c r="CN5" s="3"/>
      <c r="CO5" s="3" t="s">
        <v>137</v>
      </c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</row>
    <row r="6" ht="15.75" customHeight="1">
      <c r="A6" s="3" t="s">
        <v>132</v>
      </c>
      <c r="B6" s="3" t="s">
        <v>103</v>
      </c>
      <c r="C6" s="3" t="s">
        <v>104</v>
      </c>
      <c r="D6" s="3"/>
      <c r="E6" s="3" t="s">
        <v>103</v>
      </c>
      <c r="F6" s="3"/>
      <c r="G6" s="3"/>
      <c r="H6" s="3" t="s">
        <v>107</v>
      </c>
      <c r="I6" s="3" t="s">
        <v>114</v>
      </c>
      <c r="J6" s="3" t="s">
        <v>132</v>
      </c>
      <c r="K6" s="3"/>
      <c r="L6" s="3" t="s">
        <v>170</v>
      </c>
      <c r="M6" s="3" t="s">
        <v>131</v>
      </c>
      <c r="N6" s="3" t="s">
        <v>171</v>
      </c>
      <c r="O6" s="3"/>
      <c r="P6" s="3"/>
      <c r="Q6" s="3" t="s">
        <v>106</v>
      </c>
      <c r="R6" s="3" t="s">
        <v>172</v>
      </c>
      <c r="S6" s="3" t="s">
        <v>173</v>
      </c>
      <c r="T6" s="3" t="s">
        <v>137</v>
      </c>
      <c r="U6" s="3" t="s">
        <v>174</v>
      </c>
      <c r="V6" s="3" t="s">
        <v>144</v>
      </c>
      <c r="W6" s="3"/>
      <c r="X6" s="3"/>
      <c r="Y6" s="3" t="s">
        <v>103</v>
      </c>
      <c r="Z6" s="3"/>
      <c r="AA6" s="3"/>
      <c r="AB6" s="3" t="s">
        <v>129</v>
      </c>
      <c r="AC6" s="3" t="s">
        <v>162</v>
      </c>
      <c r="AD6" s="3" t="s">
        <v>127</v>
      </c>
      <c r="AE6" s="3"/>
      <c r="AF6" s="3" t="s">
        <v>126</v>
      </c>
      <c r="AG6" s="3"/>
      <c r="AH6" s="3"/>
      <c r="AI6" s="3" t="s">
        <v>175</v>
      </c>
      <c r="AJ6" s="3" t="s">
        <v>176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 t="s">
        <v>126</v>
      </c>
      <c r="AW6" s="3" t="s">
        <v>111</v>
      </c>
      <c r="AX6" s="3"/>
      <c r="AY6" s="3" t="s">
        <v>177</v>
      </c>
      <c r="AZ6" s="3" t="s">
        <v>126</v>
      </c>
      <c r="BA6" s="3" t="s">
        <v>178</v>
      </c>
      <c r="BB6" s="3"/>
      <c r="BC6" s="3"/>
      <c r="BD6" s="3" t="s">
        <v>119</v>
      </c>
      <c r="BE6" s="3" t="s">
        <v>135</v>
      </c>
      <c r="BF6" s="3" t="s">
        <v>119</v>
      </c>
      <c r="BG6" s="3" t="s">
        <v>179</v>
      </c>
      <c r="BH6" s="3"/>
      <c r="BI6" s="3"/>
      <c r="BJ6" s="3" t="s">
        <v>103</v>
      </c>
      <c r="BK6" s="3" t="s">
        <v>111</v>
      </c>
      <c r="BL6" s="3" t="s">
        <v>137</v>
      </c>
      <c r="BM6" s="3"/>
      <c r="BN6" s="3"/>
      <c r="BO6" s="3"/>
      <c r="BP6" s="3"/>
      <c r="BQ6" s="3"/>
      <c r="BR6" s="3"/>
      <c r="BS6" s="3"/>
      <c r="BT6" s="3"/>
      <c r="BU6" s="3"/>
      <c r="BV6" s="3"/>
      <c r="BW6" s="3" t="s">
        <v>109</v>
      </c>
      <c r="BX6" s="3" t="s">
        <v>119</v>
      </c>
      <c r="BY6" s="3"/>
      <c r="BZ6" s="3"/>
      <c r="CA6" s="3"/>
      <c r="CB6" s="3"/>
      <c r="CC6" s="3">
        <f>1/2</f>
        <v>0.5</v>
      </c>
      <c r="CD6" s="3" t="s">
        <v>149</v>
      </c>
      <c r="CE6" s="3"/>
      <c r="CF6" s="3"/>
      <c r="CG6" s="3"/>
      <c r="CH6" s="3"/>
      <c r="CI6" s="3">
        <f t="shared" si="1"/>
        <v>0.25</v>
      </c>
      <c r="CJ6" s="3" t="s">
        <v>166</v>
      </c>
      <c r="CK6" s="3" t="s">
        <v>154</v>
      </c>
      <c r="CL6" s="3"/>
      <c r="CM6" s="3"/>
      <c r="CN6" s="3"/>
      <c r="CO6" s="3" t="s">
        <v>144</v>
      </c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</row>
    <row r="7" ht="15.75" customHeight="1">
      <c r="A7" s="3" t="s">
        <v>162</v>
      </c>
      <c r="B7" s="3" t="s">
        <v>103</v>
      </c>
      <c r="C7" s="3" t="s">
        <v>104</v>
      </c>
      <c r="D7" s="3"/>
      <c r="E7" s="3" t="s">
        <v>103</v>
      </c>
      <c r="F7" s="3"/>
      <c r="G7" s="3"/>
      <c r="H7" s="3" t="s">
        <v>137</v>
      </c>
      <c r="I7" s="3" t="s">
        <v>179</v>
      </c>
      <c r="J7" s="3" t="s">
        <v>169</v>
      </c>
      <c r="K7" s="3"/>
      <c r="L7" s="3" t="s">
        <v>180</v>
      </c>
      <c r="M7" s="3" t="s">
        <v>133</v>
      </c>
      <c r="N7" s="3" t="s">
        <v>181</v>
      </c>
      <c r="O7" s="3" t="s">
        <v>137</v>
      </c>
      <c r="P7" s="3"/>
      <c r="Q7" s="3" t="s">
        <v>182</v>
      </c>
      <c r="R7" s="3" t="s">
        <v>136</v>
      </c>
      <c r="S7" s="3" t="s">
        <v>183</v>
      </c>
      <c r="T7" s="3" t="s">
        <v>140</v>
      </c>
      <c r="U7" s="3" t="s">
        <v>116</v>
      </c>
      <c r="V7" s="3" t="s">
        <v>128</v>
      </c>
      <c r="W7" s="3"/>
      <c r="X7" s="3"/>
      <c r="Y7" s="3" t="s">
        <v>162</v>
      </c>
      <c r="Z7" s="3"/>
      <c r="AA7" s="3"/>
      <c r="AB7" s="3" t="s">
        <v>150</v>
      </c>
      <c r="AC7" s="3" t="s">
        <v>166</v>
      </c>
      <c r="AD7" s="3" t="s">
        <v>111</v>
      </c>
      <c r="AE7" s="3"/>
      <c r="AF7" s="3" t="s">
        <v>184</v>
      </c>
      <c r="AG7" s="3" t="s">
        <v>103</v>
      </c>
      <c r="AH7" s="3"/>
      <c r="AI7" s="3"/>
      <c r="AJ7" s="3" t="s">
        <v>185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 t="s">
        <v>119</v>
      </c>
      <c r="AW7" s="3" t="s">
        <v>166</v>
      </c>
      <c r="AX7" s="3"/>
      <c r="AY7" s="3" t="s">
        <v>169</v>
      </c>
      <c r="AZ7" s="3" t="s">
        <v>119</v>
      </c>
      <c r="BA7" s="3" t="s">
        <v>116</v>
      </c>
      <c r="BB7" s="3"/>
      <c r="BC7" s="3"/>
      <c r="BD7" s="3" t="s">
        <v>103</v>
      </c>
      <c r="BE7" s="3" t="s">
        <v>144</v>
      </c>
      <c r="BF7" s="3">
        <f>1/2</f>
        <v>0.5</v>
      </c>
      <c r="BG7" s="3" t="s">
        <v>111</v>
      </c>
      <c r="BH7" s="5">
        <f>1 + (1/2)</f>
        <v>1.5</v>
      </c>
      <c r="BI7" s="3" t="s">
        <v>107</v>
      </c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 t="s">
        <v>135</v>
      </c>
      <c r="BX7" s="3"/>
      <c r="BY7" s="3"/>
      <c r="BZ7" s="3"/>
      <c r="CA7" s="3"/>
      <c r="CB7" s="3"/>
      <c r="CC7" s="3">
        <f>3/4</f>
        <v>0.75</v>
      </c>
      <c r="CD7" s="3" t="s">
        <v>116</v>
      </c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 t="s">
        <v>166</v>
      </c>
      <c r="CY7" s="3" t="s">
        <v>169</v>
      </c>
      <c r="CZ7" s="3"/>
      <c r="DA7" s="3"/>
      <c r="DB7" s="3"/>
    </row>
    <row r="8" ht="15.75" customHeight="1">
      <c r="A8" s="3" t="s">
        <v>127</v>
      </c>
      <c r="B8" s="3" t="s">
        <v>103</v>
      </c>
      <c r="C8" s="3" t="s">
        <v>104</v>
      </c>
      <c r="D8" s="3"/>
      <c r="E8" s="3" t="s">
        <v>103</v>
      </c>
      <c r="F8" s="3"/>
      <c r="G8" s="3"/>
      <c r="H8" s="3" t="s">
        <v>105</v>
      </c>
      <c r="I8" s="3" t="s">
        <v>116</v>
      </c>
      <c r="J8" s="3" t="s">
        <v>137</v>
      </c>
      <c r="K8" s="3"/>
      <c r="L8" s="3" t="s">
        <v>186</v>
      </c>
      <c r="M8" s="3" t="s">
        <v>109</v>
      </c>
      <c r="N8" s="3" t="s">
        <v>187</v>
      </c>
      <c r="O8" s="3" t="s">
        <v>154</v>
      </c>
      <c r="P8" s="3"/>
      <c r="Q8" s="3" t="s">
        <v>109</v>
      </c>
      <c r="R8" s="3" t="s">
        <v>188</v>
      </c>
      <c r="S8" s="3" t="s">
        <v>189</v>
      </c>
      <c r="T8" s="3" t="s">
        <v>105</v>
      </c>
      <c r="U8" s="3" t="s">
        <v>116</v>
      </c>
      <c r="V8" s="3" t="s">
        <v>105</v>
      </c>
      <c r="W8" s="3"/>
      <c r="X8" s="3"/>
      <c r="Y8" s="3" t="s">
        <v>162</v>
      </c>
      <c r="Z8" s="3"/>
      <c r="AA8" s="3"/>
      <c r="AB8" s="3" t="s">
        <v>127</v>
      </c>
      <c r="AC8" s="3" t="s">
        <v>184</v>
      </c>
      <c r="AD8" s="3" t="s">
        <v>127</v>
      </c>
      <c r="AE8" s="3"/>
      <c r="AF8" s="3" t="s">
        <v>137</v>
      </c>
      <c r="AG8" s="3" t="s">
        <v>103</v>
      </c>
      <c r="AH8" s="3" t="s">
        <v>103</v>
      </c>
      <c r="AI8" s="3" t="s">
        <v>190</v>
      </c>
      <c r="AJ8" s="3" t="s">
        <v>191</v>
      </c>
      <c r="AK8" s="3"/>
      <c r="AL8" s="3" t="s">
        <v>156</v>
      </c>
      <c r="AM8" s="3" t="s">
        <v>192</v>
      </c>
      <c r="AN8" s="3"/>
      <c r="AO8" s="3"/>
      <c r="AP8" s="3"/>
      <c r="AQ8" s="3"/>
      <c r="AR8" s="3" t="s">
        <v>103</v>
      </c>
      <c r="AS8" s="3"/>
      <c r="AT8" s="3" t="s">
        <v>156</v>
      </c>
      <c r="AU8" s="3" t="s">
        <v>193</v>
      </c>
      <c r="AV8" s="3" t="s">
        <v>119</v>
      </c>
      <c r="AW8" s="3" t="s">
        <v>111</v>
      </c>
      <c r="AX8" s="3"/>
      <c r="AY8" s="3" t="s">
        <v>177</v>
      </c>
      <c r="AZ8" s="3" t="s">
        <v>103</v>
      </c>
      <c r="BA8" s="3" t="s">
        <v>136</v>
      </c>
      <c r="BB8" s="3" t="s">
        <v>126</v>
      </c>
      <c r="BC8" s="3" t="s">
        <v>107</v>
      </c>
      <c r="BD8" s="3" t="s">
        <v>119</v>
      </c>
      <c r="BE8" s="3" t="s">
        <v>154</v>
      </c>
      <c r="BF8" s="3" t="s">
        <v>129</v>
      </c>
      <c r="BG8" s="3" t="s">
        <v>109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 t="s">
        <v>113</v>
      </c>
      <c r="BX8" s="3"/>
      <c r="BY8" s="3"/>
      <c r="BZ8" s="3"/>
      <c r="CA8" s="3"/>
      <c r="CB8" s="3"/>
      <c r="CC8" s="3" t="s">
        <v>103</v>
      </c>
      <c r="CD8" s="3" t="s">
        <v>116</v>
      </c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 t="s">
        <v>137</v>
      </c>
      <c r="CY8" s="3" t="s">
        <v>136</v>
      </c>
      <c r="CZ8" s="3"/>
      <c r="DA8" s="3"/>
      <c r="DB8" s="3"/>
    </row>
    <row r="9" ht="15.75" customHeight="1">
      <c r="A9" s="3" t="s">
        <v>112</v>
      </c>
      <c r="B9" s="3" t="s">
        <v>103</v>
      </c>
      <c r="C9" s="3" t="s">
        <v>104</v>
      </c>
      <c r="D9" s="3"/>
      <c r="E9" s="3" t="s">
        <v>103</v>
      </c>
      <c r="F9" s="3"/>
      <c r="G9" s="3"/>
      <c r="H9" s="3" t="s">
        <v>134</v>
      </c>
      <c r="I9" s="3" t="s">
        <v>118</v>
      </c>
      <c r="J9" s="3" t="s">
        <v>166</v>
      </c>
      <c r="K9" s="3"/>
      <c r="L9" s="3" t="s">
        <v>194</v>
      </c>
      <c r="M9" s="3" t="s">
        <v>135</v>
      </c>
      <c r="N9" s="3" t="s">
        <v>195</v>
      </c>
      <c r="O9" s="3" t="s">
        <v>166</v>
      </c>
      <c r="P9" s="3"/>
      <c r="Q9" s="3" t="s">
        <v>196</v>
      </c>
      <c r="R9" s="3" t="s">
        <v>188</v>
      </c>
      <c r="S9" s="3" t="s">
        <v>197</v>
      </c>
      <c r="T9" s="3" t="s">
        <v>135</v>
      </c>
      <c r="U9" s="3" t="s">
        <v>198</v>
      </c>
      <c r="V9" s="3" t="s">
        <v>179</v>
      </c>
      <c r="W9" s="3"/>
      <c r="X9" s="3"/>
      <c r="Y9" s="3" t="s">
        <v>127</v>
      </c>
      <c r="Z9" s="3"/>
      <c r="AA9" s="3" t="s">
        <v>126</v>
      </c>
      <c r="AB9" s="3" t="s">
        <v>199</v>
      </c>
      <c r="AC9" s="3" t="s">
        <v>152</v>
      </c>
      <c r="AD9" s="3" t="s">
        <v>200</v>
      </c>
      <c r="AE9" s="3" t="s">
        <v>119</v>
      </c>
      <c r="AF9" s="3" t="s">
        <v>148</v>
      </c>
      <c r="AG9" s="3" t="s">
        <v>103</v>
      </c>
      <c r="AH9" s="3"/>
      <c r="AI9" s="3" t="s">
        <v>201</v>
      </c>
      <c r="AJ9" s="3" t="s">
        <v>187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 t="s">
        <v>132</v>
      </c>
      <c r="AW9" s="3" t="s">
        <v>121</v>
      </c>
      <c r="AX9" s="3"/>
      <c r="AY9" s="3" t="s">
        <v>154</v>
      </c>
      <c r="AZ9" s="3"/>
      <c r="BA9" s="3"/>
      <c r="BB9" s="6">
        <f>1 + (1/2)</f>
        <v>1.5</v>
      </c>
      <c r="BC9" s="3" t="s">
        <v>137</v>
      </c>
      <c r="BD9" s="5">
        <f>2 + (1/2)</f>
        <v>2.5</v>
      </c>
      <c r="BE9" s="3" t="s">
        <v>154</v>
      </c>
      <c r="BF9" s="3" t="s">
        <v>137</v>
      </c>
      <c r="BG9" s="3" t="s">
        <v>191</v>
      </c>
      <c r="BH9" s="3"/>
      <c r="BI9" s="3"/>
      <c r="BJ9" s="3" t="s">
        <v>103</v>
      </c>
      <c r="BK9" s="3" t="s">
        <v>121</v>
      </c>
      <c r="BL9" s="3"/>
      <c r="BM9" s="3" t="s">
        <v>162</v>
      </c>
      <c r="BN9" s="3"/>
      <c r="BO9" s="3"/>
      <c r="BP9" s="3"/>
      <c r="BQ9" s="3"/>
      <c r="BR9" s="3"/>
      <c r="BS9" s="3"/>
      <c r="BT9" s="3"/>
      <c r="BU9" s="3"/>
      <c r="BV9" s="3"/>
      <c r="BW9" s="3" t="s">
        <v>202</v>
      </c>
      <c r="BX9" s="3"/>
      <c r="BY9" s="3"/>
      <c r="BZ9" s="3"/>
      <c r="CA9" s="3"/>
      <c r="CB9" s="3"/>
      <c r="CC9" s="5">
        <f>1 + (1/2)</f>
        <v>1.5</v>
      </c>
      <c r="CD9" s="3" t="s">
        <v>109</v>
      </c>
      <c r="CE9" s="3"/>
      <c r="CF9" s="3"/>
      <c r="CG9" s="3"/>
      <c r="CH9" s="3"/>
      <c r="CI9" s="3" t="s">
        <v>119</v>
      </c>
      <c r="CJ9" s="3" t="s">
        <v>109</v>
      </c>
      <c r="CK9" s="3" t="s">
        <v>203</v>
      </c>
      <c r="CL9" s="3"/>
      <c r="CM9" s="3"/>
      <c r="CN9" s="3"/>
      <c r="CO9" s="3" t="s">
        <v>154</v>
      </c>
      <c r="CP9" s="3"/>
      <c r="CQ9" s="3"/>
      <c r="CR9" s="3"/>
      <c r="CS9" s="3"/>
      <c r="CT9" s="3"/>
      <c r="CU9" s="3"/>
      <c r="CV9" s="3"/>
      <c r="CW9" s="3"/>
      <c r="CX9" s="3" t="s">
        <v>166</v>
      </c>
      <c r="CY9" s="3" t="s">
        <v>169</v>
      </c>
      <c r="CZ9" s="3"/>
      <c r="DA9" s="3"/>
      <c r="DB9" s="3"/>
    </row>
    <row r="10" ht="15.75" customHeight="1">
      <c r="A10" s="3" t="s">
        <v>184</v>
      </c>
      <c r="B10" s="3" t="s">
        <v>103</v>
      </c>
      <c r="C10" s="3" t="s">
        <v>104</v>
      </c>
      <c r="D10" s="3"/>
      <c r="E10" s="3" t="s">
        <v>103</v>
      </c>
      <c r="F10" s="3"/>
      <c r="G10" s="3"/>
      <c r="H10" s="3" t="s">
        <v>204</v>
      </c>
      <c r="I10" s="3" t="s">
        <v>205</v>
      </c>
      <c r="J10" s="3" t="s">
        <v>120</v>
      </c>
      <c r="K10" s="3"/>
      <c r="L10" s="3" t="s">
        <v>206</v>
      </c>
      <c r="M10" s="3" t="s">
        <v>207</v>
      </c>
      <c r="N10" s="3" t="s">
        <v>208</v>
      </c>
      <c r="O10" s="3" t="s">
        <v>137</v>
      </c>
      <c r="P10" s="3"/>
      <c r="Q10" s="3" t="s">
        <v>134</v>
      </c>
      <c r="R10" s="3" t="s">
        <v>136</v>
      </c>
      <c r="S10" s="3" t="s">
        <v>209</v>
      </c>
      <c r="T10" s="3" t="s">
        <v>137</v>
      </c>
      <c r="U10" s="3" t="s">
        <v>210</v>
      </c>
      <c r="V10" s="3" t="s">
        <v>137</v>
      </c>
      <c r="W10" s="3"/>
      <c r="X10" s="3"/>
      <c r="Y10" s="3" t="s">
        <v>103</v>
      </c>
      <c r="Z10" s="3"/>
      <c r="AA10" s="3"/>
      <c r="AB10" s="3" t="s">
        <v>119</v>
      </c>
      <c r="AC10" s="3" t="s">
        <v>126</v>
      </c>
      <c r="AD10" s="3" t="s">
        <v>126</v>
      </c>
      <c r="AE10" s="3"/>
      <c r="AF10" s="3"/>
      <c r="AG10" s="3"/>
      <c r="AH10" s="3" t="s">
        <v>103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 t="s">
        <v>103</v>
      </c>
      <c r="AW10" s="3" t="s">
        <v>112</v>
      </c>
      <c r="AX10" s="3"/>
      <c r="AY10" s="3" t="s">
        <v>144</v>
      </c>
      <c r="AZ10" s="3"/>
      <c r="BA10" s="3"/>
      <c r="BB10" s="3"/>
      <c r="BC10" s="3"/>
      <c r="BD10" s="5">
        <f>1 + (1/2)</f>
        <v>1.5</v>
      </c>
      <c r="BE10" s="3" t="s">
        <v>154</v>
      </c>
      <c r="BF10" s="3" t="s">
        <v>119</v>
      </c>
      <c r="BG10" s="3" t="s">
        <v>116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>
        <f>1/2</f>
        <v>0.5</v>
      </c>
      <c r="CD10" s="3" t="s">
        <v>144</v>
      </c>
      <c r="CE10" s="3"/>
      <c r="CF10" s="3"/>
      <c r="CG10" s="3"/>
      <c r="CH10" s="3"/>
      <c r="CI10" s="3" t="s">
        <v>126</v>
      </c>
      <c r="CJ10" s="3" t="s">
        <v>135</v>
      </c>
      <c r="CK10" s="3" t="s">
        <v>154</v>
      </c>
      <c r="CL10" s="3"/>
      <c r="CM10" s="3"/>
      <c r="CN10" s="3"/>
      <c r="CO10" s="3" t="s">
        <v>144</v>
      </c>
      <c r="CP10" s="3"/>
      <c r="CQ10" s="3"/>
      <c r="CR10" s="3"/>
      <c r="CS10" s="3"/>
      <c r="CT10" s="3"/>
      <c r="CU10" s="3"/>
      <c r="CV10" s="3"/>
      <c r="CW10" s="3"/>
      <c r="CX10" s="3" t="s">
        <v>112</v>
      </c>
      <c r="CY10" s="3" t="s">
        <v>107</v>
      </c>
      <c r="CZ10" s="3"/>
      <c r="DA10" s="3"/>
      <c r="DB10" s="3"/>
    </row>
    <row r="11" ht="15.75" customHeight="1">
      <c r="A11" s="3" t="s">
        <v>137</v>
      </c>
      <c r="B11" s="3" t="s">
        <v>103</v>
      </c>
      <c r="C11" s="3" t="s">
        <v>104</v>
      </c>
      <c r="D11" s="3"/>
      <c r="E11" s="3" t="s">
        <v>103</v>
      </c>
      <c r="F11" s="3"/>
      <c r="G11" s="3"/>
      <c r="H11" s="3" t="s">
        <v>211</v>
      </c>
      <c r="I11" s="3" t="s">
        <v>212</v>
      </c>
      <c r="J11" s="3" t="s">
        <v>157</v>
      </c>
      <c r="K11" s="3"/>
      <c r="L11" s="3" t="s">
        <v>213</v>
      </c>
      <c r="M11" s="3" t="s">
        <v>214</v>
      </c>
      <c r="N11" s="3" t="s">
        <v>215</v>
      </c>
      <c r="O11" s="3" t="s">
        <v>136</v>
      </c>
      <c r="P11" s="3" t="s">
        <v>162</v>
      </c>
      <c r="Q11" s="3" t="s">
        <v>216</v>
      </c>
      <c r="R11" s="3" t="s">
        <v>157</v>
      </c>
      <c r="S11" s="3" t="s">
        <v>217</v>
      </c>
      <c r="T11" s="3" t="s">
        <v>218</v>
      </c>
      <c r="U11" s="3" t="s">
        <v>219</v>
      </c>
      <c r="V11" s="3" t="s">
        <v>218</v>
      </c>
      <c r="W11" s="3"/>
      <c r="X11" s="3"/>
      <c r="Y11" s="3" t="s">
        <v>126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s">
        <v>127</v>
      </c>
      <c r="BE11" s="3" t="s">
        <v>109</v>
      </c>
      <c r="BF11" s="3" t="s">
        <v>129</v>
      </c>
      <c r="BG11" s="3" t="s">
        <v>106</v>
      </c>
      <c r="BH11" s="3" t="s">
        <v>126</v>
      </c>
      <c r="BI11" s="3" t="s">
        <v>137</v>
      </c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 t="s">
        <v>135</v>
      </c>
      <c r="BX11" s="3"/>
      <c r="BY11" s="3"/>
      <c r="BZ11" s="3"/>
      <c r="CA11" s="3"/>
      <c r="CB11" s="3"/>
      <c r="CC11" s="3" t="s">
        <v>103</v>
      </c>
      <c r="CD11" s="3" t="s">
        <v>154</v>
      </c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 t="s">
        <v>144</v>
      </c>
      <c r="CY11" s="4" t="s">
        <v>144</v>
      </c>
      <c r="CZ11" s="3"/>
      <c r="DA11" s="3"/>
      <c r="DB11" s="3"/>
    </row>
    <row r="12" ht="15.75" customHeight="1">
      <c r="A12" s="3" t="s">
        <v>103</v>
      </c>
      <c r="B12" s="3" t="s">
        <v>126</v>
      </c>
      <c r="C12" s="3" t="s">
        <v>104</v>
      </c>
      <c r="D12" s="3"/>
      <c r="E12" s="3" t="s">
        <v>103</v>
      </c>
      <c r="F12" s="3"/>
      <c r="G12" s="3"/>
      <c r="H12" s="3" t="s">
        <v>144</v>
      </c>
      <c r="I12" s="3" t="s">
        <v>130</v>
      </c>
      <c r="J12" s="3" t="s">
        <v>169</v>
      </c>
      <c r="K12" s="3"/>
      <c r="L12" s="3" t="s">
        <v>220</v>
      </c>
      <c r="M12" s="3"/>
      <c r="N12" s="3"/>
      <c r="O12" s="3" t="s">
        <v>137</v>
      </c>
      <c r="P12" s="3"/>
      <c r="Q12" s="3" t="s">
        <v>203</v>
      </c>
      <c r="R12" s="3" t="s">
        <v>188</v>
      </c>
      <c r="S12" s="3" t="s">
        <v>221</v>
      </c>
      <c r="T12" s="3" t="s">
        <v>169</v>
      </c>
      <c r="U12" s="3" t="s">
        <v>222</v>
      </c>
      <c r="V12" s="3" t="s">
        <v>116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 t="s">
        <v>176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162</v>
      </c>
      <c r="BE12" s="3" t="s">
        <v>223</v>
      </c>
      <c r="BF12" s="3" t="s">
        <v>162</v>
      </c>
      <c r="BG12" s="3" t="s">
        <v>109</v>
      </c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>
        <f>3/4</f>
        <v>0.75</v>
      </c>
      <c r="CD12" s="3" t="s">
        <v>135</v>
      </c>
      <c r="CE12" s="3"/>
      <c r="CF12" s="3"/>
      <c r="CG12" s="3"/>
      <c r="CH12" s="3"/>
      <c r="CI12" s="3" t="s">
        <v>119</v>
      </c>
      <c r="CJ12" s="3" t="s">
        <v>149</v>
      </c>
      <c r="CK12" s="3" t="s">
        <v>135</v>
      </c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 t="s">
        <v>199</v>
      </c>
      <c r="CY12" s="4" t="s">
        <v>146</v>
      </c>
      <c r="CZ12" s="3"/>
      <c r="DA12" s="3"/>
      <c r="DB12" s="3"/>
    </row>
    <row r="13" ht="15.75" customHeight="1">
      <c r="A13" s="3" t="s">
        <v>126</v>
      </c>
      <c r="B13" s="3" t="s">
        <v>126</v>
      </c>
      <c r="C13" s="3" t="s">
        <v>104</v>
      </c>
      <c r="D13" s="3"/>
      <c r="E13" s="3" t="s">
        <v>103</v>
      </c>
      <c r="F13" s="3"/>
      <c r="G13" s="3"/>
      <c r="H13" s="3" t="s">
        <v>224</v>
      </c>
      <c r="I13" s="3"/>
      <c r="J13" s="3" t="s">
        <v>225</v>
      </c>
      <c r="K13" s="3"/>
      <c r="L13" s="3" t="s">
        <v>226</v>
      </c>
      <c r="M13" s="3" t="s">
        <v>130</v>
      </c>
      <c r="N13" s="3" t="s">
        <v>227</v>
      </c>
      <c r="O13" s="3" t="s">
        <v>107</v>
      </c>
      <c r="P13" s="3" t="s">
        <v>129</v>
      </c>
      <c r="Q13" s="3" t="s">
        <v>144</v>
      </c>
      <c r="R13" s="3" t="s">
        <v>129</v>
      </c>
      <c r="S13" s="3" t="s">
        <v>228</v>
      </c>
      <c r="T13" s="3" t="s">
        <v>116</v>
      </c>
      <c r="U13" s="3" t="s">
        <v>130</v>
      </c>
      <c r="V13" s="3" t="s">
        <v>116</v>
      </c>
      <c r="W13" s="3"/>
      <c r="X13" s="3"/>
      <c r="Y13" s="3" t="s">
        <v>132</v>
      </c>
      <c r="Z13" s="3"/>
      <c r="AA13" s="3"/>
      <c r="AB13" s="3" t="s">
        <v>184</v>
      </c>
      <c r="AC13" s="3" t="s">
        <v>152</v>
      </c>
      <c r="AD13" s="3" t="s">
        <v>184</v>
      </c>
      <c r="AE13" s="3"/>
      <c r="AF13" s="3" t="s">
        <v>162</v>
      </c>
      <c r="AG13" s="3" t="s">
        <v>103</v>
      </c>
      <c r="AH13" s="3"/>
      <c r="AI13" s="3"/>
      <c r="AJ13" s="3" t="s">
        <v>229</v>
      </c>
      <c r="AK13" s="3"/>
      <c r="AL13" s="3" t="s">
        <v>160</v>
      </c>
      <c r="AM13" s="3" t="s">
        <v>178</v>
      </c>
      <c r="AN13" s="3"/>
      <c r="AO13" s="3" t="s">
        <v>103</v>
      </c>
      <c r="AP13" s="3" t="s">
        <v>103</v>
      </c>
      <c r="AQ13" s="3"/>
      <c r="AR13" s="3" t="s">
        <v>103</v>
      </c>
      <c r="AS13" s="3"/>
      <c r="AT13" s="3" t="s">
        <v>160</v>
      </c>
      <c r="AU13" s="3" t="s">
        <v>230</v>
      </c>
      <c r="AV13" s="3" t="s">
        <v>126</v>
      </c>
      <c r="AW13" s="3" t="s">
        <v>107</v>
      </c>
      <c r="AX13" s="3"/>
      <c r="AY13" s="3" t="s">
        <v>116</v>
      </c>
      <c r="AZ13" s="6">
        <f>1 + (3/4)</f>
        <v>1.75</v>
      </c>
      <c r="BA13" s="3" t="s">
        <v>178</v>
      </c>
      <c r="BB13" s="3"/>
      <c r="BC13" s="3"/>
      <c r="BD13" s="3" t="s">
        <v>132</v>
      </c>
      <c r="BE13" s="3" t="s">
        <v>106</v>
      </c>
      <c r="BF13" s="3" t="s">
        <v>127</v>
      </c>
      <c r="BG13" s="3" t="s">
        <v>191</v>
      </c>
      <c r="BH13" s="3"/>
      <c r="BI13" s="3"/>
      <c r="BJ13" s="3" t="s">
        <v>129</v>
      </c>
      <c r="BK13" s="3" t="s">
        <v>149</v>
      </c>
      <c r="BL13" s="3" t="s">
        <v>167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 t="s">
        <v>113</v>
      </c>
      <c r="BX13" s="3" t="s">
        <v>126</v>
      </c>
      <c r="BY13" s="3"/>
      <c r="BZ13" s="3"/>
      <c r="CA13" s="3"/>
      <c r="CB13" s="3"/>
      <c r="CC13" s="3" t="s">
        <v>126</v>
      </c>
      <c r="CD13" s="3" t="s">
        <v>105</v>
      </c>
      <c r="CE13" s="3"/>
      <c r="CF13" s="3"/>
      <c r="CG13" s="3"/>
      <c r="CH13" s="3"/>
      <c r="CI13" s="3" t="s">
        <v>126</v>
      </c>
      <c r="CJ13" s="3" t="s">
        <v>105</v>
      </c>
      <c r="CK13" s="3" t="s">
        <v>154</v>
      </c>
      <c r="CL13" s="3"/>
      <c r="CM13" s="3"/>
      <c r="CN13" s="3"/>
      <c r="CO13" s="3" t="s">
        <v>107</v>
      </c>
      <c r="CP13" s="3"/>
      <c r="CQ13" s="3"/>
      <c r="CR13" s="3"/>
      <c r="CS13" s="3"/>
      <c r="CT13" s="3"/>
      <c r="CU13" s="3"/>
      <c r="CV13" s="3" t="s">
        <v>145</v>
      </c>
      <c r="CW13" s="3" t="s">
        <v>119</v>
      </c>
      <c r="CX13" s="3" t="s">
        <v>144</v>
      </c>
      <c r="CY13" s="3" t="s">
        <v>135</v>
      </c>
      <c r="CZ13" s="3"/>
      <c r="DA13" s="3"/>
      <c r="DB13" s="3"/>
    </row>
    <row r="14" ht="15.75" customHeight="1">
      <c r="A14" s="3" t="s">
        <v>119</v>
      </c>
      <c r="B14" s="3" t="s">
        <v>126</v>
      </c>
      <c r="C14" s="3" t="s">
        <v>104</v>
      </c>
      <c r="D14" s="3"/>
      <c r="E14" s="3" t="s">
        <v>103</v>
      </c>
      <c r="F14" s="3"/>
      <c r="G14" s="3"/>
      <c r="H14" s="3" t="s">
        <v>105</v>
      </c>
      <c r="I14" s="3" t="s">
        <v>205</v>
      </c>
      <c r="J14" s="3" t="s">
        <v>149</v>
      </c>
      <c r="K14" s="3"/>
      <c r="L14" s="3" t="s">
        <v>231</v>
      </c>
      <c r="M14" s="3" t="s">
        <v>109</v>
      </c>
      <c r="N14" s="3" t="s">
        <v>232</v>
      </c>
      <c r="O14" s="3" t="s">
        <v>144</v>
      </c>
      <c r="P14" s="3"/>
      <c r="Q14" s="3" t="s">
        <v>144</v>
      </c>
      <c r="R14" s="3" t="s">
        <v>129</v>
      </c>
      <c r="S14" s="3" t="s">
        <v>233</v>
      </c>
      <c r="T14" s="3" t="s">
        <v>169</v>
      </c>
      <c r="U14" s="3" t="s">
        <v>234</v>
      </c>
      <c r="V14" s="3" t="s">
        <v>169</v>
      </c>
      <c r="W14" s="3"/>
      <c r="X14" s="3"/>
      <c r="Y14" s="3" t="s">
        <v>119</v>
      </c>
      <c r="Z14" s="3"/>
      <c r="AA14" s="3"/>
      <c r="AB14" s="3" t="s">
        <v>162</v>
      </c>
      <c r="AC14" s="3"/>
      <c r="AD14" s="3" t="s">
        <v>129</v>
      </c>
      <c r="AE14" s="3"/>
      <c r="AF14" s="3"/>
      <c r="AG14" s="3"/>
      <c r="AH14" s="3"/>
      <c r="AI14" s="3"/>
      <c r="AJ14" s="3" t="s">
        <v>163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 t="s">
        <v>126</v>
      </c>
      <c r="AW14" s="3" t="s">
        <v>235</v>
      </c>
      <c r="AX14" s="3"/>
      <c r="AY14" s="3" t="s">
        <v>236</v>
      </c>
      <c r="AZ14" s="3"/>
      <c r="BA14" s="3"/>
      <c r="BB14" s="3"/>
      <c r="BC14" s="3"/>
      <c r="BD14" s="3" t="s">
        <v>129</v>
      </c>
      <c r="BE14" s="3" t="s">
        <v>135</v>
      </c>
      <c r="BF14" s="3"/>
      <c r="BG14" s="3"/>
      <c r="BH14" s="3"/>
      <c r="BI14" s="3"/>
      <c r="BJ14" s="3"/>
      <c r="BK14" s="3"/>
      <c r="BL14" s="3" t="s">
        <v>107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 t="s">
        <v>103</v>
      </c>
      <c r="CD14" s="3" t="s">
        <v>149</v>
      </c>
      <c r="CE14" s="3"/>
      <c r="CF14" s="3"/>
      <c r="CG14" s="3"/>
      <c r="CH14" s="3"/>
      <c r="CI14" s="3" t="s">
        <v>119</v>
      </c>
      <c r="CJ14" s="3" t="s">
        <v>113</v>
      </c>
      <c r="CK14" s="3" t="s">
        <v>106</v>
      </c>
      <c r="CL14" s="3"/>
      <c r="CM14" s="3"/>
      <c r="CN14" s="3"/>
      <c r="CO14" s="3" t="s">
        <v>154</v>
      </c>
      <c r="CP14" s="3"/>
      <c r="CQ14" s="3"/>
      <c r="CR14" s="3"/>
      <c r="CS14" s="3"/>
      <c r="CT14" s="3"/>
      <c r="CU14" s="3"/>
      <c r="CV14" s="3"/>
      <c r="CW14" s="3"/>
      <c r="CX14" s="3" t="s">
        <v>112</v>
      </c>
      <c r="CY14" s="3" t="s">
        <v>237</v>
      </c>
      <c r="CZ14" s="3"/>
      <c r="DA14" s="3"/>
      <c r="DB14" s="3"/>
    </row>
    <row r="15" ht="15.75" customHeight="1">
      <c r="A15" s="3" t="s">
        <v>129</v>
      </c>
      <c r="B15" s="3" t="s">
        <v>126</v>
      </c>
      <c r="C15" s="3" t="s">
        <v>104</v>
      </c>
      <c r="D15" s="3"/>
      <c r="E15" s="3" t="s">
        <v>103</v>
      </c>
      <c r="F15" s="3"/>
      <c r="G15" s="3"/>
      <c r="H15" s="3" t="s">
        <v>169</v>
      </c>
      <c r="I15" s="3" t="s">
        <v>149</v>
      </c>
      <c r="J15" s="3" t="s">
        <v>166</v>
      </c>
      <c r="K15" s="3"/>
      <c r="L15" s="3" t="s">
        <v>238</v>
      </c>
      <c r="M15" s="3" t="s">
        <v>109</v>
      </c>
      <c r="N15" s="3" t="s">
        <v>239</v>
      </c>
      <c r="O15" s="3" t="s">
        <v>132</v>
      </c>
      <c r="P15" s="3" t="s">
        <v>129</v>
      </c>
      <c r="Q15" s="3"/>
      <c r="R15" s="3"/>
      <c r="S15" s="3" t="s">
        <v>240</v>
      </c>
      <c r="T15" s="3" t="s">
        <v>144</v>
      </c>
      <c r="U15" s="3" t="s">
        <v>116</v>
      </c>
      <c r="V15" s="3" t="s">
        <v>167</v>
      </c>
      <c r="W15" s="3"/>
      <c r="X15" s="3"/>
      <c r="Y15" s="3" t="s">
        <v>126</v>
      </c>
      <c r="Z15" s="3"/>
      <c r="AA15" s="3"/>
      <c r="AB15" s="3" t="s">
        <v>184</v>
      </c>
      <c r="AC15" s="3" t="s">
        <v>127</v>
      </c>
      <c r="AD15" s="3" t="s">
        <v>184</v>
      </c>
      <c r="AE15" s="3"/>
      <c r="AF15" s="3"/>
      <c r="AG15" s="3" t="s">
        <v>126</v>
      </c>
      <c r="AH15" s="3"/>
      <c r="AI15" s="3"/>
      <c r="AJ15" s="3" t="s">
        <v>139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 t="s">
        <v>129</v>
      </c>
      <c r="AW15" s="3" t="s">
        <v>166</v>
      </c>
      <c r="AX15" s="3"/>
      <c r="AY15" s="3" t="s">
        <v>154</v>
      </c>
      <c r="AZ15" s="3"/>
      <c r="BA15" s="3"/>
      <c r="BB15" s="3"/>
      <c r="BC15" s="3"/>
      <c r="BD15" s="5">
        <f>2 + (1/2)</f>
        <v>2.5</v>
      </c>
      <c r="BE15" s="3" t="s">
        <v>134</v>
      </c>
      <c r="BF15" s="3" t="s">
        <v>127</v>
      </c>
      <c r="BG15" s="3" t="s">
        <v>241</v>
      </c>
      <c r="BH15" s="3"/>
      <c r="BI15" s="3"/>
      <c r="BJ15" s="3" t="s">
        <v>103</v>
      </c>
      <c r="BK15" s="3" t="s">
        <v>107</v>
      </c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>
        <f>1/2</f>
        <v>0.5</v>
      </c>
      <c r="CD15" s="3" t="s">
        <v>131</v>
      </c>
      <c r="CE15" s="3"/>
      <c r="CF15" s="3"/>
      <c r="CG15" s="3"/>
      <c r="CH15" s="3"/>
      <c r="CI15" s="3" t="s">
        <v>129</v>
      </c>
      <c r="CJ15" s="3" t="s">
        <v>135</v>
      </c>
      <c r="CK15" s="3" t="s">
        <v>109</v>
      </c>
      <c r="CL15" s="3"/>
      <c r="CM15" s="3"/>
      <c r="CN15" s="3"/>
      <c r="CO15" s="3" t="s">
        <v>144</v>
      </c>
      <c r="CP15" s="3"/>
      <c r="CQ15" s="3"/>
      <c r="CR15" s="3"/>
      <c r="CS15" s="3"/>
      <c r="CT15" s="3"/>
      <c r="CU15" s="3"/>
      <c r="CV15" s="3"/>
      <c r="CW15" s="3"/>
      <c r="CX15" s="3" t="s">
        <v>144</v>
      </c>
      <c r="CY15" s="3" t="s">
        <v>131</v>
      </c>
      <c r="CZ15" s="3"/>
      <c r="DA15" s="3"/>
      <c r="DB15" s="3"/>
    </row>
    <row r="16" ht="15.75" customHeight="1">
      <c r="A16" s="3" t="s">
        <v>132</v>
      </c>
      <c r="B16" s="3" t="s">
        <v>126</v>
      </c>
      <c r="C16" s="3" t="s">
        <v>104</v>
      </c>
      <c r="D16" s="3"/>
      <c r="E16" s="3" t="s">
        <v>103</v>
      </c>
      <c r="F16" s="3"/>
      <c r="G16" s="3"/>
      <c r="H16" s="3" t="s">
        <v>218</v>
      </c>
      <c r="I16" s="3"/>
      <c r="J16" s="3" t="s">
        <v>144</v>
      </c>
      <c r="K16" s="3"/>
      <c r="L16" s="3" t="s">
        <v>242</v>
      </c>
      <c r="M16" s="3" t="s">
        <v>106</v>
      </c>
      <c r="N16" s="4" t="s">
        <v>145</v>
      </c>
      <c r="O16" s="3" t="s">
        <v>144</v>
      </c>
      <c r="P16" s="3"/>
      <c r="Q16" s="3" t="s">
        <v>131</v>
      </c>
      <c r="R16" s="3" t="s">
        <v>237</v>
      </c>
      <c r="S16" s="3" t="s">
        <v>243</v>
      </c>
      <c r="T16" s="3" t="s">
        <v>107</v>
      </c>
      <c r="U16" s="3" t="s">
        <v>167</v>
      </c>
      <c r="V16" s="3" t="s">
        <v>107</v>
      </c>
      <c r="W16" s="3"/>
      <c r="X16" s="3"/>
      <c r="Y16" s="3" t="s">
        <v>126</v>
      </c>
      <c r="Z16" s="3"/>
      <c r="AA16" s="3"/>
      <c r="AB16" s="3" t="s">
        <v>129</v>
      </c>
      <c r="AC16" s="3" t="s">
        <v>119</v>
      </c>
      <c r="AD16" s="3" t="s">
        <v>129</v>
      </c>
      <c r="AE16" s="3"/>
      <c r="AF16" s="3" t="s">
        <v>126</v>
      </c>
      <c r="AG16" s="3"/>
      <c r="AH16" s="3"/>
      <c r="AI16" s="3"/>
      <c r="AJ16" s="3" t="s">
        <v>176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 t="s">
        <v>111</v>
      </c>
      <c r="AX16" s="3"/>
      <c r="AY16" s="3" t="s">
        <v>177</v>
      </c>
      <c r="AZ16" s="3"/>
      <c r="BA16" s="3"/>
      <c r="BB16" s="3"/>
      <c r="BC16" s="3"/>
      <c r="BD16" s="5">
        <f>1 + (1/2)</f>
        <v>1.5</v>
      </c>
      <c r="BE16" s="3" t="s">
        <v>149</v>
      </c>
      <c r="BF16" s="3" t="s">
        <v>162</v>
      </c>
      <c r="BG16" s="3" t="s">
        <v>116</v>
      </c>
      <c r="BH16" s="3"/>
      <c r="BI16" s="3"/>
      <c r="BJ16" s="3"/>
      <c r="BK16" s="3"/>
      <c r="BL16" s="3" t="s">
        <v>152</v>
      </c>
      <c r="BM16" s="3" t="s">
        <v>122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 t="s">
        <v>103</v>
      </c>
      <c r="CD16" s="3" t="s">
        <v>149</v>
      </c>
      <c r="CE16" s="3"/>
      <c r="CF16" s="3"/>
      <c r="CG16" s="3"/>
      <c r="CH16" s="3"/>
      <c r="CI16" s="3">
        <f>1/2</f>
        <v>0.5</v>
      </c>
      <c r="CJ16" s="3" t="s">
        <v>144</v>
      </c>
      <c r="CK16" s="3" t="s">
        <v>116</v>
      </c>
      <c r="CL16" s="3"/>
      <c r="CM16" s="3"/>
      <c r="CN16" s="3"/>
      <c r="CO16" s="3" t="s">
        <v>144</v>
      </c>
      <c r="CP16" s="3"/>
      <c r="CQ16" s="3"/>
      <c r="CR16" s="3"/>
      <c r="CS16" s="3"/>
      <c r="CT16" s="3"/>
      <c r="CU16" s="3"/>
      <c r="CV16" s="3"/>
      <c r="CW16" s="3"/>
      <c r="CX16" s="3" t="s">
        <v>107</v>
      </c>
      <c r="CY16" s="3" t="s">
        <v>116</v>
      </c>
      <c r="CZ16" s="3"/>
      <c r="DA16" s="3"/>
      <c r="DB16" s="3"/>
    </row>
    <row r="17" ht="15.75" customHeight="1">
      <c r="A17" s="3" t="s">
        <v>162</v>
      </c>
      <c r="B17" s="3" t="s">
        <v>126</v>
      </c>
      <c r="C17" s="3" t="s">
        <v>104</v>
      </c>
      <c r="D17" s="3"/>
      <c r="E17" s="3" t="s">
        <v>103</v>
      </c>
      <c r="F17" s="3"/>
      <c r="G17" s="3"/>
      <c r="H17" s="3" t="s">
        <v>140</v>
      </c>
      <c r="I17" s="3" t="s">
        <v>136</v>
      </c>
      <c r="J17" s="3" t="s">
        <v>132</v>
      </c>
      <c r="K17" s="3"/>
      <c r="L17" s="3" t="s">
        <v>244</v>
      </c>
      <c r="M17" s="3" t="s">
        <v>203</v>
      </c>
      <c r="N17" s="3" t="s">
        <v>245</v>
      </c>
      <c r="O17" s="3" t="s">
        <v>137</v>
      </c>
      <c r="P17" s="3" t="s">
        <v>112</v>
      </c>
      <c r="Q17" s="3" t="s">
        <v>154</v>
      </c>
      <c r="R17" s="3" t="s">
        <v>127</v>
      </c>
      <c r="S17" s="3" t="s">
        <v>246</v>
      </c>
      <c r="T17" s="3" t="s">
        <v>136</v>
      </c>
      <c r="U17" s="3" t="s">
        <v>140</v>
      </c>
      <c r="V17" s="3" t="s">
        <v>149</v>
      </c>
      <c r="W17" s="3"/>
      <c r="X17" s="3"/>
      <c r="Y17" s="3" t="s">
        <v>129</v>
      </c>
      <c r="Z17" s="3"/>
      <c r="AA17" s="3"/>
      <c r="AB17" s="3" t="s">
        <v>137</v>
      </c>
      <c r="AC17" s="3" t="s">
        <v>126</v>
      </c>
      <c r="AD17" s="3" t="s">
        <v>150</v>
      </c>
      <c r="AE17" s="3"/>
      <c r="AF17" s="3" t="s">
        <v>126</v>
      </c>
      <c r="AG17" s="3" t="s">
        <v>103</v>
      </c>
      <c r="AH17" s="3" t="s">
        <v>103</v>
      </c>
      <c r="AI17" s="3"/>
      <c r="AJ17" s="3" t="s">
        <v>247</v>
      </c>
      <c r="AK17" s="3"/>
      <c r="AL17" s="3" t="s">
        <v>205</v>
      </c>
      <c r="AM17" s="3" t="s">
        <v>136</v>
      </c>
      <c r="AN17" s="3" t="s">
        <v>103</v>
      </c>
      <c r="AO17" s="3" t="s">
        <v>137</v>
      </c>
      <c r="AP17" s="3"/>
      <c r="AQ17" s="3"/>
      <c r="AR17" s="3"/>
      <c r="AS17" s="3"/>
      <c r="AT17" s="3" t="s">
        <v>154</v>
      </c>
      <c r="AU17" s="3" t="s">
        <v>239</v>
      </c>
      <c r="AV17" s="3" t="s">
        <v>129</v>
      </c>
      <c r="AW17" s="3" t="s">
        <v>122</v>
      </c>
      <c r="AX17" s="3"/>
      <c r="AY17" s="3" t="s">
        <v>120</v>
      </c>
      <c r="AZ17" s="3"/>
      <c r="BA17" s="3"/>
      <c r="BB17" s="3"/>
      <c r="BC17" s="3"/>
      <c r="BD17" s="3" t="s">
        <v>129</v>
      </c>
      <c r="BE17" s="3" t="s">
        <v>106</v>
      </c>
      <c r="BF17" s="3" t="s">
        <v>137</v>
      </c>
      <c r="BG17" s="3" t="s">
        <v>248</v>
      </c>
      <c r="BH17" s="3"/>
      <c r="BI17" s="3"/>
      <c r="BJ17" s="3" t="s">
        <v>126</v>
      </c>
      <c r="BK17" s="3" t="s">
        <v>154</v>
      </c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>
        <f>3/4</f>
        <v>0.75</v>
      </c>
      <c r="CD17" s="3" t="s">
        <v>116</v>
      </c>
      <c r="CE17" s="3"/>
      <c r="CF17" s="3"/>
      <c r="CG17" s="3"/>
      <c r="CH17" s="3"/>
      <c r="CI17" s="3" t="s">
        <v>126</v>
      </c>
      <c r="CJ17" s="3" t="s">
        <v>144</v>
      </c>
      <c r="CK17" s="3" t="s">
        <v>224</v>
      </c>
      <c r="CL17" s="3"/>
      <c r="CM17" s="3"/>
      <c r="CN17" s="3"/>
      <c r="CO17" s="3" t="s">
        <v>144</v>
      </c>
      <c r="CP17" s="3"/>
      <c r="CQ17" s="3"/>
      <c r="CR17" s="3"/>
      <c r="CS17" s="3"/>
      <c r="CT17" s="3"/>
      <c r="CU17" s="3"/>
      <c r="CV17" s="3"/>
      <c r="CW17" s="3"/>
      <c r="CX17" s="3" t="s">
        <v>137</v>
      </c>
      <c r="CY17" s="3" t="s">
        <v>144</v>
      </c>
      <c r="CZ17" s="3"/>
      <c r="DA17" s="3"/>
      <c r="DB17" s="3"/>
    </row>
    <row r="18" ht="15.75" customHeight="1">
      <c r="A18" s="3" t="s">
        <v>127</v>
      </c>
      <c r="B18" s="3" t="s">
        <v>126</v>
      </c>
      <c r="C18" s="3" t="s">
        <v>104</v>
      </c>
      <c r="D18" s="3"/>
      <c r="E18" s="3" t="s">
        <v>103</v>
      </c>
      <c r="F18" s="3"/>
      <c r="G18" s="3"/>
      <c r="H18" s="3" t="s">
        <v>107</v>
      </c>
      <c r="I18" s="3"/>
      <c r="J18" s="3"/>
      <c r="K18" s="3"/>
      <c r="L18" s="3" t="s">
        <v>249</v>
      </c>
      <c r="M18" s="3" t="s">
        <v>149</v>
      </c>
      <c r="N18" s="3" t="s">
        <v>128</v>
      </c>
      <c r="O18" s="3"/>
      <c r="P18" s="3"/>
      <c r="Q18" s="3"/>
      <c r="R18" s="3"/>
      <c r="S18" s="3" t="s">
        <v>250</v>
      </c>
      <c r="T18" s="3" t="s">
        <v>132</v>
      </c>
      <c r="U18" s="3" t="s">
        <v>166</v>
      </c>
      <c r="V18" s="3" t="s">
        <v>132</v>
      </c>
      <c r="W18" s="3"/>
      <c r="X18" s="3"/>
      <c r="Y18" s="3" t="s">
        <v>103</v>
      </c>
      <c r="Z18" s="3"/>
      <c r="AA18" s="3"/>
      <c r="AB18" s="3" t="s">
        <v>126</v>
      </c>
      <c r="AC18" s="3"/>
      <c r="AD18" s="3" t="s">
        <v>126</v>
      </c>
      <c r="AE18" s="3" t="s">
        <v>103</v>
      </c>
      <c r="AF18" s="3"/>
      <c r="AG18" s="3"/>
      <c r="AH18" s="3"/>
      <c r="AI18" s="3"/>
      <c r="AJ18" s="3" t="s">
        <v>106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 t="s">
        <v>103</v>
      </c>
      <c r="AW18" s="3" t="s">
        <v>111</v>
      </c>
      <c r="AX18" s="3"/>
      <c r="AY18" s="3" t="s">
        <v>149</v>
      </c>
      <c r="AZ18" s="3"/>
      <c r="BA18" s="3"/>
      <c r="BB18" s="3"/>
      <c r="BC18" s="3"/>
      <c r="BD18" s="3">
        <f>1/2</f>
        <v>0.5</v>
      </c>
      <c r="BE18" s="3" t="s">
        <v>137</v>
      </c>
      <c r="BF18" s="3"/>
      <c r="BG18" s="3"/>
      <c r="BH18" s="3"/>
      <c r="BI18" s="3"/>
      <c r="BJ18" s="3"/>
      <c r="BK18" s="3"/>
      <c r="BL18" s="3" t="s">
        <v>129</v>
      </c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f>1/4</f>
        <v>0.25</v>
      </c>
      <c r="CD18" s="3" t="s">
        <v>166</v>
      </c>
      <c r="CE18" s="3"/>
      <c r="CF18" s="3"/>
      <c r="CG18" s="3"/>
      <c r="CH18" s="3"/>
      <c r="CI18" s="3">
        <f>1/2</f>
        <v>0.5</v>
      </c>
      <c r="CJ18" s="3" t="s">
        <v>107</v>
      </c>
      <c r="CK18" s="3" t="s">
        <v>154</v>
      </c>
      <c r="CL18" s="3"/>
      <c r="CM18" s="3"/>
      <c r="CN18" s="3"/>
      <c r="CO18" s="3" t="s">
        <v>137</v>
      </c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</row>
    <row r="19" ht="15.75" customHeight="1">
      <c r="A19" s="3" t="s">
        <v>112</v>
      </c>
      <c r="B19" s="3" t="s">
        <v>126</v>
      </c>
      <c r="C19" s="3" t="s">
        <v>104</v>
      </c>
      <c r="D19" s="3"/>
      <c r="E19" s="3" t="s">
        <v>103</v>
      </c>
      <c r="F19" s="3"/>
      <c r="G19" s="3"/>
      <c r="H19" s="3" t="s">
        <v>204</v>
      </c>
      <c r="I19" s="3"/>
      <c r="J19" s="3" t="s">
        <v>119</v>
      </c>
      <c r="K19" s="3"/>
      <c r="L19" s="3" t="s">
        <v>238</v>
      </c>
      <c r="M19" s="3" t="s">
        <v>141</v>
      </c>
      <c r="N19" s="3" t="s">
        <v>251</v>
      </c>
      <c r="O19" s="3" t="s">
        <v>132</v>
      </c>
      <c r="P19" s="3"/>
      <c r="Q19" s="3" t="s">
        <v>131</v>
      </c>
      <c r="R19" s="3" t="s">
        <v>166</v>
      </c>
      <c r="S19" s="3" t="s">
        <v>252</v>
      </c>
      <c r="T19" s="3" t="s">
        <v>136</v>
      </c>
      <c r="U19" s="3" t="s">
        <v>141</v>
      </c>
      <c r="V19" s="3" t="s">
        <v>136</v>
      </c>
      <c r="W19" s="3"/>
      <c r="X19" s="3"/>
      <c r="Y19" s="3" t="s">
        <v>119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 t="s">
        <v>126</v>
      </c>
      <c r="AW19" s="3" t="s">
        <v>137</v>
      </c>
      <c r="AX19" s="3"/>
      <c r="AY19" s="3" t="s">
        <v>136</v>
      </c>
      <c r="AZ19" s="3"/>
      <c r="BA19" s="3"/>
      <c r="BB19" s="3"/>
      <c r="BC19" s="3"/>
      <c r="BD19" s="3" t="s">
        <v>126</v>
      </c>
      <c r="BE19" s="3" t="s">
        <v>154</v>
      </c>
      <c r="BF19" s="3" t="s">
        <v>144</v>
      </c>
      <c r="BG19" s="3" t="s">
        <v>106</v>
      </c>
      <c r="BH19" s="3"/>
      <c r="BI19" s="3"/>
      <c r="BJ19" s="3" t="s">
        <v>103</v>
      </c>
      <c r="BK19" s="3" t="s">
        <v>127</v>
      </c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>
        <f>3/4</f>
        <v>0.75</v>
      </c>
      <c r="CD19" s="3" t="s">
        <v>105</v>
      </c>
      <c r="CE19" s="3"/>
      <c r="CF19" s="3"/>
      <c r="CG19" s="3"/>
      <c r="CH19" s="3"/>
      <c r="CI19" s="3">
        <f>3/4</f>
        <v>0.75</v>
      </c>
      <c r="CJ19" s="3" t="s">
        <v>253</v>
      </c>
      <c r="CK19" s="3" t="s">
        <v>135</v>
      </c>
      <c r="CL19" s="3"/>
      <c r="CM19" s="3"/>
      <c r="CN19" s="3"/>
      <c r="CO19" s="3" t="s">
        <v>136</v>
      </c>
      <c r="CP19" s="3"/>
      <c r="CQ19" s="3"/>
      <c r="CR19" s="3"/>
      <c r="CS19" s="3"/>
      <c r="CT19" s="3"/>
      <c r="CU19" s="3"/>
      <c r="CV19" s="3"/>
      <c r="CW19" s="3"/>
      <c r="CX19" s="3" t="s">
        <v>137</v>
      </c>
      <c r="CY19" s="3" t="s">
        <v>107</v>
      </c>
      <c r="CZ19" s="3"/>
      <c r="DA19" s="3"/>
      <c r="DB19" s="3"/>
    </row>
    <row r="20" ht="15.75" customHeight="1">
      <c r="A20" s="3" t="s">
        <v>184</v>
      </c>
      <c r="B20" s="3" t="s">
        <v>126</v>
      </c>
      <c r="C20" s="3" t="s">
        <v>104</v>
      </c>
      <c r="D20" s="3"/>
      <c r="E20" s="3"/>
      <c r="F20" s="3"/>
      <c r="G20" s="3" t="s">
        <v>103</v>
      </c>
      <c r="H20" s="3" t="s">
        <v>225</v>
      </c>
      <c r="I20" s="4" t="s">
        <v>140</v>
      </c>
      <c r="J20" s="3" t="s">
        <v>166</v>
      </c>
      <c r="K20" s="3"/>
      <c r="L20" s="3" t="s">
        <v>254</v>
      </c>
      <c r="M20" s="3" t="s">
        <v>109</v>
      </c>
      <c r="N20" s="3" t="s">
        <v>147</v>
      </c>
      <c r="O20" s="3" t="s">
        <v>132</v>
      </c>
      <c r="P20" s="3"/>
      <c r="Q20" s="3" t="s">
        <v>106</v>
      </c>
      <c r="R20" s="3" t="s">
        <v>167</v>
      </c>
      <c r="S20" s="3" t="s">
        <v>255</v>
      </c>
      <c r="T20" s="3" t="s">
        <v>140</v>
      </c>
      <c r="U20" s="3" t="s">
        <v>225</v>
      </c>
      <c r="V20" s="3" t="s">
        <v>140</v>
      </c>
      <c r="W20" s="3"/>
      <c r="X20" s="3"/>
      <c r="Y20" s="3" t="s">
        <v>119</v>
      </c>
      <c r="Z20" s="3"/>
      <c r="AA20" s="3"/>
      <c r="AB20" s="3" t="s">
        <v>156</v>
      </c>
      <c r="AC20" s="3" t="s">
        <v>235</v>
      </c>
      <c r="AD20" s="3" t="s">
        <v>107</v>
      </c>
      <c r="AE20" s="3" t="s">
        <v>129</v>
      </c>
      <c r="AF20" s="3" t="s">
        <v>129</v>
      </c>
      <c r="AG20" s="3" t="s">
        <v>103</v>
      </c>
      <c r="AH20" s="3"/>
      <c r="AI20" s="3"/>
      <c r="AJ20" s="3" t="s">
        <v>238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 t="s">
        <v>184</v>
      </c>
      <c r="AW20" s="3" t="s">
        <v>150</v>
      </c>
      <c r="AX20" s="3"/>
      <c r="AY20" s="3" t="s">
        <v>154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 t="s">
        <v>103</v>
      </c>
      <c r="CD20" s="3" t="s">
        <v>135</v>
      </c>
      <c r="CE20" s="3"/>
      <c r="CF20" s="3"/>
      <c r="CG20" s="3"/>
      <c r="CH20" s="3"/>
      <c r="CI20" s="3">
        <f>1/2</f>
        <v>0.5</v>
      </c>
      <c r="CJ20" s="3" t="s">
        <v>149</v>
      </c>
      <c r="CK20" s="3" t="s">
        <v>109</v>
      </c>
      <c r="CL20" s="3"/>
      <c r="CM20" s="3"/>
      <c r="CN20" s="3"/>
      <c r="CO20" s="3" t="s">
        <v>154</v>
      </c>
      <c r="CP20" s="3"/>
      <c r="CQ20" s="3"/>
      <c r="CR20" s="3"/>
      <c r="CS20" s="3"/>
      <c r="CT20" s="3"/>
      <c r="CU20" s="3"/>
      <c r="CV20" s="3"/>
      <c r="CW20" s="3"/>
      <c r="CX20" s="3" t="s">
        <v>150</v>
      </c>
      <c r="CY20" s="3" t="s">
        <v>172</v>
      </c>
      <c r="CZ20" s="3"/>
      <c r="DA20" s="3"/>
      <c r="DB20" s="3"/>
    </row>
    <row r="21" ht="15.75" customHeight="1">
      <c r="A21" s="3" t="s">
        <v>137</v>
      </c>
      <c r="B21" s="3" t="s">
        <v>126</v>
      </c>
      <c r="C21" s="3" t="s">
        <v>104</v>
      </c>
      <c r="D21" s="3"/>
      <c r="E21" s="3"/>
      <c r="F21" s="3" t="s">
        <v>103</v>
      </c>
      <c r="G21" s="3"/>
      <c r="H21" s="3" t="s">
        <v>128</v>
      </c>
      <c r="I21" s="3"/>
      <c r="J21" s="3" t="s">
        <v>137</v>
      </c>
      <c r="K21" s="3"/>
      <c r="L21" s="3" t="s">
        <v>238</v>
      </c>
      <c r="M21" s="3" t="s">
        <v>131</v>
      </c>
      <c r="N21" s="3" t="s">
        <v>256</v>
      </c>
      <c r="O21" s="3"/>
      <c r="P21" s="3"/>
      <c r="Q21" s="3" t="s">
        <v>154</v>
      </c>
      <c r="R21" s="3" t="s">
        <v>136</v>
      </c>
      <c r="S21" s="3" t="s">
        <v>257</v>
      </c>
      <c r="T21" s="3" t="s">
        <v>136</v>
      </c>
      <c r="U21" s="3" t="s">
        <v>218</v>
      </c>
      <c r="V21" s="3" t="s">
        <v>136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258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 t="s">
        <v>129</v>
      </c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 t="s">
        <v>103</v>
      </c>
      <c r="CD21" s="3" t="s">
        <v>154</v>
      </c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</row>
    <row r="22" ht="15.75" customHeight="1">
      <c r="A22" s="3" t="s">
        <v>103</v>
      </c>
      <c r="B22" s="3" t="s">
        <v>119</v>
      </c>
      <c r="C22" s="3" t="s">
        <v>104</v>
      </c>
      <c r="D22" s="3"/>
      <c r="E22" s="3" t="s">
        <v>103</v>
      </c>
      <c r="F22" s="3"/>
      <c r="G22" s="3"/>
      <c r="H22" s="3" t="s">
        <v>198</v>
      </c>
      <c r="I22" s="3"/>
      <c r="J22" s="3" t="s">
        <v>166</v>
      </c>
      <c r="K22" s="3"/>
      <c r="L22" s="3" t="s">
        <v>259</v>
      </c>
      <c r="M22" s="3" t="s">
        <v>113</v>
      </c>
      <c r="N22" s="3" t="s">
        <v>260</v>
      </c>
      <c r="O22" s="3" t="s">
        <v>167</v>
      </c>
      <c r="P22" s="3"/>
      <c r="Q22" s="3" t="s">
        <v>241</v>
      </c>
      <c r="R22" s="3" t="s">
        <v>116</v>
      </c>
      <c r="S22" s="3" t="s">
        <v>261</v>
      </c>
      <c r="T22" s="3" t="s">
        <v>154</v>
      </c>
      <c r="U22" s="3" t="s">
        <v>222</v>
      </c>
      <c r="V22" s="3" t="s">
        <v>116</v>
      </c>
      <c r="W22" s="3"/>
      <c r="X22" s="3"/>
      <c r="Y22" s="3" t="s">
        <v>112</v>
      </c>
      <c r="Z22" s="3"/>
      <c r="AA22" s="3"/>
      <c r="AB22" s="3" t="s">
        <v>235</v>
      </c>
      <c r="AC22" s="3" t="s">
        <v>119</v>
      </c>
      <c r="AD22" s="3" t="s">
        <v>152</v>
      </c>
      <c r="AE22" s="3"/>
      <c r="AF22" s="3" t="s">
        <v>132</v>
      </c>
      <c r="AG22" s="3"/>
      <c r="AH22" s="3"/>
      <c r="AI22" s="3"/>
      <c r="AJ22" s="3" t="s">
        <v>262</v>
      </c>
      <c r="AK22" s="3"/>
      <c r="AL22" s="3" t="s">
        <v>157</v>
      </c>
      <c r="AM22" s="3"/>
      <c r="AN22" s="3"/>
      <c r="AO22" s="3" t="s">
        <v>126</v>
      </c>
      <c r="AP22" s="3" t="s">
        <v>103</v>
      </c>
      <c r="AQ22" s="3" t="s">
        <v>103</v>
      </c>
      <c r="AR22" s="3"/>
      <c r="AS22" s="3"/>
      <c r="AT22" s="3" t="s">
        <v>157</v>
      </c>
      <c r="AU22" s="3" t="s">
        <v>263</v>
      </c>
      <c r="AV22" s="3" t="s">
        <v>132</v>
      </c>
      <c r="AW22" s="3" t="s">
        <v>144</v>
      </c>
      <c r="AX22" s="3"/>
      <c r="AY22" s="3" t="s">
        <v>135</v>
      </c>
      <c r="AZ22" s="3" t="s">
        <v>119</v>
      </c>
      <c r="BA22" s="3" t="s">
        <v>149</v>
      </c>
      <c r="BB22" s="3"/>
      <c r="BC22" s="3"/>
      <c r="BD22" s="3" t="s">
        <v>103</v>
      </c>
      <c r="BE22" s="3" t="s">
        <v>149</v>
      </c>
      <c r="BF22" s="3" t="s">
        <v>127</v>
      </c>
      <c r="BG22" s="3" t="s">
        <v>113</v>
      </c>
      <c r="BH22" s="3"/>
      <c r="BI22" s="3"/>
      <c r="BJ22" s="3" t="s">
        <v>129</v>
      </c>
      <c r="BK22" s="3" t="s">
        <v>116</v>
      </c>
      <c r="BL22" s="3" t="s">
        <v>166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 t="s">
        <v>103</v>
      </c>
      <c r="CD22" s="3" t="s">
        <v>106</v>
      </c>
      <c r="CE22" s="3"/>
      <c r="CF22" s="3"/>
      <c r="CG22" s="3"/>
      <c r="CH22" s="3"/>
      <c r="CI22" s="3" t="s">
        <v>126</v>
      </c>
      <c r="CJ22" s="3" t="s">
        <v>154</v>
      </c>
      <c r="CK22" s="3" t="s">
        <v>113</v>
      </c>
      <c r="CL22" s="3"/>
      <c r="CM22" s="3"/>
      <c r="CN22" s="3"/>
      <c r="CO22" s="3" t="s">
        <v>134</v>
      </c>
      <c r="CP22" s="3"/>
      <c r="CQ22" s="3"/>
      <c r="CR22" s="3"/>
      <c r="CS22" s="3"/>
      <c r="CT22" s="3"/>
      <c r="CU22" s="3"/>
      <c r="CV22" s="3"/>
      <c r="CW22" s="3"/>
      <c r="CX22" s="3" t="s">
        <v>107</v>
      </c>
      <c r="CY22" s="3" t="s">
        <v>116</v>
      </c>
      <c r="CZ22" s="3"/>
      <c r="DA22" s="3"/>
      <c r="DB22" s="3"/>
    </row>
    <row r="23" ht="15.75" customHeight="1">
      <c r="A23" s="3" t="s">
        <v>126</v>
      </c>
      <c r="B23" s="3" t="s">
        <v>119</v>
      </c>
      <c r="C23" s="3" t="s">
        <v>104</v>
      </c>
      <c r="D23" s="3"/>
      <c r="E23" s="3" t="s">
        <v>103</v>
      </c>
      <c r="F23" s="3"/>
      <c r="G23" s="3"/>
      <c r="H23" s="3" t="s">
        <v>154</v>
      </c>
      <c r="I23" s="3"/>
      <c r="J23" s="3"/>
      <c r="K23" s="3"/>
      <c r="L23" s="3" t="s">
        <v>244</v>
      </c>
      <c r="M23" s="3" t="s">
        <v>144</v>
      </c>
      <c r="N23" s="3" t="s">
        <v>135</v>
      </c>
      <c r="O23" s="3"/>
      <c r="P23" s="3"/>
      <c r="Q23" s="3" t="s">
        <v>116</v>
      </c>
      <c r="R23" s="3" t="s">
        <v>166</v>
      </c>
      <c r="S23" s="3" t="s">
        <v>264</v>
      </c>
      <c r="T23" s="3" t="s">
        <v>144</v>
      </c>
      <c r="U23" s="3" t="s">
        <v>144</v>
      </c>
      <c r="V23" s="3" t="s">
        <v>149</v>
      </c>
      <c r="W23" s="3"/>
      <c r="X23" s="3"/>
      <c r="Y23" s="3" t="s">
        <v>126</v>
      </c>
      <c r="Z23" s="3"/>
      <c r="AA23" s="3"/>
      <c r="AB23" s="3" t="s">
        <v>103</v>
      </c>
      <c r="AC23" s="3" t="s">
        <v>162</v>
      </c>
      <c r="AD23" s="3"/>
      <c r="AE23" s="3"/>
      <c r="AF23" s="3"/>
      <c r="AG23" s="3"/>
      <c r="AH23" s="3"/>
      <c r="AI23" s="3"/>
      <c r="AJ23" s="3" t="s">
        <v>106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 t="s">
        <v>103</v>
      </c>
      <c r="AW23" s="3" t="s">
        <v>162</v>
      </c>
      <c r="AX23" s="3"/>
      <c r="AY23" s="3" t="s">
        <v>107</v>
      </c>
      <c r="AZ23" s="3" t="s">
        <v>103</v>
      </c>
      <c r="BA23" s="3" t="s">
        <v>237</v>
      </c>
      <c r="BB23" s="3"/>
      <c r="BC23" s="3"/>
      <c r="BD23" s="3" t="s">
        <v>126</v>
      </c>
      <c r="BE23" s="3" t="s">
        <v>149</v>
      </c>
      <c r="BF23" s="3" t="s">
        <v>132</v>
      </c>
      <c r="BG23" s="3" t="s">
        <v>223</v>
      </c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>
        <f>3/4</f>
        <v>0.75</v>
      </c>
      <c r="CD23" s="3" t="s">
        <v>116</v>
      </c>
      <c r="CE23" s="3"/>
      <c r="CF23" s="3"/>
      <c r="CG23" s="3"/>
      <c r="CH23" s="3"/>
      <c r="CI23" s="3">
        <f>1/2</f>
        <v>0.5</v>
      </c>
      <c r="CJ23" s="3" t="s">
        <v>111</v>
      </c>
      <c r="CK23" s="3" t="s">
        <v>136</v>
      </c>
      <c r="CL23" s="3"/>
      <c r="CM23" s="3"/>
      <c r="CN23" s="3"/>
      <c r="CO23" s="3" t="s">
        <v>166</v>
      </c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</row>
    <row r="24" ht="15.75" customHeight="1">
      <c r="A24" s="3" t="s">
        <v>119</v>
      </c>
      <c r="B24" s="3" t="s">
        <v>119</v>
      </c>
      <c r="C24" s="3" t="s">
        <v>104</v>
      </c>
      <c r="D24" s="3"/>
      <c r="E24" s="3" t="s">
        <v>103</v>
      </c>
      <c r="F24" s="3"/>
      <c r="G24" s="3"/>
      <c r="H24" s="3" t="s">
        <v>140</v>
      </c>
      <c r="I24" s="3"/>
      <c r="J24" s="3" t="s">
        <v>137</v>
      </c>
      <c r="K24" s="3"/>
      <c r="L24" s="3" t="s">
        <v>265</v>
      </c>
      <c r="M24" s="3" t="s">
        <v>136</v>
      </c>
      <c r="N24" s="3" t="s">
        <v>266</v>
      </c>
      <c r="O24" s="3" t="s">
        <v>136</v>
      </c>
      <c r="P24" s="3" t="s">
        <v>112</v>
      </c>
      <c r="Q24" s="3"/>
      <c r="R24" s="3"/>
      <c r="S24" s="3" t="s">
        <v>267</v>
      </c>
      <c r="T24" s="3" t="s">
        <v>149</v>
      </c>
      <c r="U24" s="3" t="s">
        <v>136</v>
      </c>
      <c r="V24" s="3" t="s">
        <v>149</v>
      </c>
      <c r="W24" s="3"/>
      <c r="X24" s="3"/>
      <c r="Y24" s="3" t="s">
        <v>126</v>
      </c>
      <c r="Z24" s="3"/>
      <c r="AA24" s="3"/>
      <c r="AB24" s="3" t="s">
        <v>119</v>
      </c>
      <c r="AC24" s="3"/>
      <c r="AD24" s="3" t="s">
        <v>103</v>
      </c>
      <c r="AE24" s="3"/>
      <c r="AF24" s="3" t="s">
        <v>126</v>
      </c>
      <c r="AG24" s="3"/>
      <c r="AH24" s="3" t="s">
        <v>103</v>
      </c>
      <c r="AI24" s="3"/>
      <c r="AJ24" s="3" t="s">
        <v>239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 t="s">
        <v>127</v>
      </c>
      <c r="AX24" s="3"/>
      <c r="AY24" s="3" t="s">
        <v>135</v>
      </c>
      <c r="AZ24" s="3"/>
      <c r="BA24" s="3"/>
      <c r="BB24" s="3" t="s">
        <v>129</v>
      </c>
      <c r="BC24" s="3" t="s">
        <v>107</v>
      </c>
      <c r="BD24" s="3"/>
      <c r="BE24" s="3"/>
      <c r="BF24" s="3" t="s">
        <v>111</v>
      </c>
      <c r="BG24" s="3" t="s">
        <v>191</v>
      </c>
      <c r="BH24" s="3"/>
      <c r="BI24" s="3"/>
      <c r="BJ24" s="3"/>
      <c r="BK24" s="3"/>
      <c r="BL24" s="3"/>
      <c r="BM24" s="3" t="s">
        <v>126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 t="s">
        <v>103</v>
      </c>
      <c r="CD24" s="3" t="s">
        <v>135</v>
      </c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 t="s">
        <v>107</v>
      </c>
      <c r="CY24" s="3" t="s">
        <v>149</v>
      </c>
      <c r="CZ24" s="3"/>
      <c r="DA24" s="3"/>
      <c r="DB24" s="3"/>
    </row>
    <row r="25" ht="15.75" customHeight="1">
      <c r="A25" s="3" t="s">
        <v>129</v>
      </c>
      <c r="B25" s="3" t="s">
        <v>119</v>
      </c>
      <c r="C25" s="3" t="s">
        <v>104</v>
      </c>
      <c r="D25" s="3"/>
      <c r="E25" s="3" t="s">
        <v>103</v>
      </c>
      <c r="F25" s="3"/>
      <c r="G25" s="3"/>
      <c r="H25" s="3" t="s">
        <v>141</v>
      </c>
      <c r="I25" s="3"/>
      <c r="J25" s="3" t="s">
        <v>119</v>
      </c>
      <c r="K25" s="3"/>
      <c r="L25" s="3" t="s">
        <v>268</v>
      </c>
      <c r="M25" s="3" t="s">
        <v>154</v>
      </c>
      <c r="N25" s="3" t="s">
        <v>134</v>
      </c>
      <c r="O25" s="3"/>
      <c r="P25" s="3"/>
      <c r="Q25" s="3"/>
      <c r="R25" s="3"/>
      <c r="S25" s="3" t="s">
        <v>269</v>
      </c>
      <c r="T25" s="3" t="s">
        <v>166</v>
      </c>
      <c r="U25" s="3" t="s">
        <v>156</v>
      </c>
      <c r="V25" s="3" t="s">
        <v>166</v>
      </c>
      <c r="W25" s="3"/>
      <c r="X25" s="3"/>
      <c r="Y25" s="3" t="s">
        <v>126</v>
      </c>
      <c r="Z25" s="3"/>
      <c r="AA25" s="3"/>
      <c r="AB25" s="3" t="s">
        <v>103</v>
      </c>
      <c r="AC25" s="3"/>
      <c r="AD25" s="3"/>
      <c r="AE25" s="3"/>
      <c r="AF25" s="3"/>
      <c r="AG25" s="3"/>
      <c r="AH25" s="3"/>
      <c r="AI25" s="3"/>
      <c r="AJ25" s="3" t="s">
        <v>154</v>
      </c>
      <c r="AK25" s="3"/>
      <c r="AL25" s="4"/>
      <c r="AM25" s="3" t="s">
        <v>126</v>
      </c>
      <c r="AN25" s="3"/>
      <c r="AO25" s="3"/>
      <c r="AP25" s="3"/>
      <c r="AQ25" s="3"/>
      <c r="AR25" s="3"/>
      <c r="AS25" s="3"/>
      <c r="AT25" s="3" t="s">
        <v>126</v>
      </c>
      <c r="AU25" s="3" t="s">
        <v>111</v>
      </c>
      <c r="AV25" s="3"/>
      <c r="AW25" s="3" t="s">
        <v>103</v>
      </c>
      <c r="AX25" s="3" t="s">
        <v>129</v>
      </c>
      <c r="AY25" s="3" t="s">
        <v>162</v>
      </c>
      <c r="AZ25" s="3"/>
      <c r="BA25" s="3"/>
      <c r="BB25" s="3"/>
      <c r="BC25" s="3"/>
      <c r="BD25" s="3" t="s">
        <v>126</v>
      </c>
      <c r="BE25" s="3" t="s">
        <v>144</v>
      </c>
      <c r="BF25" s="3" t="s">
        <v>126</v>
      </c>
      <c r="BG25" s="3" t="s">
        <v>270</v>
      </c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>
        <f>3/4</f>
        <v>0.75</v>
      </c>
      <c r="CD25" s="3" t="s">
        <v>116</v>
      </c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 t="s">
        <v>107</v>
      </c>
      <c r="CY25" s="3" t="s">
        <v>149</v>
      </c>
      <c r="CZ25" s="3"/>
      <c r="DA25" s="3"/>
      <c r="DB25" s="3"/>
    </row>
    <row r="26" ht="15.75" customHeight="1">
      <c r="A26" s="3" t="s">
        <v>132</v>
      </c>
      <c r="B26" s="3" t="s">
        <v>119</v>
      </c>
      <c r="C26" s="3" t="s">
        <v>104</v>
      </c>
      <c r="D26" s="3"/>
      <c r="E26" s="3" t="s">
        <v>103</v>
      </c>
      <c r="F26" s="3"/>
      <c r="G26" s="3"/>
      <c r="H26" s="3" t="s">
        <v>271</v>
      </c>
      <c r="I26" s="3"/>
      <c r="J26" s="3" t="s">
        <v>112</v>
      </c>
      <c r="K26" s="3"/>
      <c r="L26" s="3" t="s">
        <v>244</v>
      </c>
      <c r="M26" s="3" t="s">
        <v>154</v>
      </c>
      <c r="N26" s="3" t="s">
        <v>272</v>
      </c>
      <c r="O26" s="3" t="s">
        <v>132</v>
      </c>
      <c r="P26" s="3"/>
      <c r="Q26" s="3" t="s">
        <v>149</v>
      </c>
      <c r="R26" s="3" t="s">
        <v>132</v>
      </c>
      <c r="S26" s="3" t="s">
        <v>273</v>
      </c>
      <c r="T26" s="3" t="s">
        <v>136</v>
      </c>
      <c r="U26" s="3" t="s">
        <v>274</v>
      </c>
      <c r="V26" s="3" t="s">
        <v>136</v>
      </c>
      <c r="W26" s="3"/>
      <c r="X26" s="3"/>
      <c r="Y26" s="3" t="s">
        <v>119</v>
      </c>
      <c r="Z26" s="3"/>
      <c r="AA26" s="3"/>
      <c r="AB26" s="3" t="s">
        <v>112</v>
      </c>
      <c r="AC26" s="3" t="s">
        <v>137</v>
      </c>
      <c r="AD26" s="3" t="s">
        <v>127</v>
      </c>
      <c r="AE26" s="3"/>
      <c r="AF26" s="3" t="s">
        <v>103</v>
      </c>
      <c r="AG26" s="3"/>
      <c r="AH26" s="3" t="s">
        <v>103</v>
      </c>
      <c r="AI26" s="3"/>
      <c r="AJ26" s="3" t="s">
        <v>202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 t="s">
        <v>126</v>
      </c>
      <c r="AW26" s="3" t="s">
        <v>166</v>
      </c>
      <c r="AX26" s="3"/>
      <c r="AY26" s="3" t="s">
        <v>169</v>
      </c>
      <c r="AZ26" s="3"/>
      <c r="BA26" s="3"/>
      <c r="BB26" s="3"/>
      <c r="BC26" s="3"/>
      <c r="BD26" s="3" t="s">
        <v>126</v>
      </c>
      <c r="BE26" s="3" t="s">
        <v>144</v>
      </c>
      <c r="BF26" s="3" t="s">
        <v>119</v>
      </c>
      <c r="BG26" s="3" t="s">
        <v>223</v>
      </c>
      <c r="BH26" s="3"/>
      <c r="BI26" s="3"/>
      <c r="BJ26" s="5">
        <f t="shared" ref="BJ26:BJ27" si="2">2 + (1/2)</f>
        <v>2.5</v>
      </c>
      <c r="BK26" s="3" t="s">
        <v>178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5">
        <f t="shared" ref="CC26:CC27" si="3">1 + (1/2)</f>
        <v>1.5</v>
      </c>
      <c r="CD26" s="3" t="s">
        <v>105</v>
      </c>
      <c r="CE26" s="3"/>
      <c r="CF26" s="3"/>
      <c r="CG26" s="3"/>
      <c r="CH26" s="3"/>
      <c r="CI26" s="3">
        <f>1/2</f>
        <v>0.5</v>
      </c>
      <c r="CJ26" s="3" t="s">
        <v>136</v>
      </c>
      <c r="CK26" s="3" t="s">
        <v>137</v>
      </c>
      <c r="CL26" s="3"/>
      <c r="CM26" s="3"/>
      <c r="CN26" s="3"/>
      <c r="CO26" s="3" t="s">
        <v>126</v>
      </c>
      <c r="CP26" s="3"/>
      <c r="CQ26" s="3"/>
      <c r="CR26" s="3"/>
      <c r="CS26" s="3"/>
      <c r="CT26" s="3"/>
      <c r="CU26" s="3"/>
      <c r="CV26" s="3"/>
      <c r="CW26" s="3"/>
      <c r="CX26" s="3" t="s">
        <v>144</v>
      </c>
      <c r="CY26" s="3" t="s">
        <v>177</v>
      </c>
      <c r="CZ26" s="3"/>
      <c r="DA26" s="3"/>
      <c r="DB26" s="3"/>
    </row>
    <row r="27" ht="15.75" customHeight="1">
      <c r="A27" s="3" t="s">
        <v>162</v>
      </c>
      <c r="B27" s="3" t="s">
        <v>119</v>
      </c>
      <c r="C27" s="3" t="s">
        <v>104</v>
      </c>
      <c r="D27" s="3"/>
      <c r="E27" s="3" t="s">
        <v>103</v>
      </c>
      <c r="F27" s="3"/>
      <c r="G27" s="3"/>
      <c r="H27" s="3" t="s">
        <v>140</v>
      </c>
      <c r="I27" s="3" t="s">
        <v>131</v>
      </c>
      <c r="J27" s="3" t="s">
        <v>167</v>
      </c>
      <c r="K27" s="3"/>
      <c r="L27" s="3" t="s">
        <v>275</v>
      </c>
      <c r="M27" s="3" t="s">
        <v>176</v>
      </c>
      <c r="N27" s="3" t="s">
        <v>147</v>
      </c>
      <c r="O27" s="3" t="s">
        <v>144</v>
      </c>
      <c r="P27" s="3" t="s">
        <v>112</v>
      </c>
      <c r="Q27" s="3" t="s">
        <v>109</v>
      </c>
      <c r="R27" s="3" t="s">
        <v>188</v>
      </c>
      <c r="S27" s="3" t="s">
        <v>187</v>
      </c>
      <c r="T27" s="3" t="s">
        <v>149</v>
      </c>
      <c r="U27" s="3" t="s">
        <v>250</v>
      </c>
      <c r="V27" s="3" t="s">
        <v>149</v>
      </c>
      <c r="W27" s="3"/>
      <c r="X27" s="3"/>
      <c r="Y27" s="3" t="s">
        <v>119</v>
      </c>
      <c r="Z27" s="3"/>
      <c r="AA27" s="3"/>
      <c r="AB27" s="3" t="s">
        <v>148</v>
      </c>
      <c r="AC27" s="3" t="s">
        <v>129</v>
      </c>
      <c r="AD27" s="3" t="s">
        <v>148</v>
      </c>
      <c r="AE27" s="3"/>
      <c r="AF27" s="3" t="s">
        <v>103</v>
      </c>
      <c r="AG27" s="3" t="s">
        <v>119</v>
      </c>
      <c r="AH27" s="3" t="s">
        <v>126</v>
      </c>
      <c r="AI27" s="3"/>
      <c r="AJ27" s="3" t="s">
        <v>139</v>
      </c>
      <c r="AK27" s="3"/>
      <c r="AL27" s="3" t="s">
        <v>148</v>
      </c>
      <c r="AM27" s="3" t="s">
        <v>162</v>
      </c>
      <c r="AN27" s="3"/>
      <c r="AO27" s="3" t="s">
        <v>119</v>
      </c>
      <c r="AP27" s="3" t="s">
        <v>103</v>
      </c>
      <c r="AQ27" s="3" t="s">
        <v>126</v>
      </c>
      <c r="AR27" s="3" t="s">
        <v>103</v>
      </c>
      <c r="AS27" s="3"/>
      <c r="AT27" s="3" t="s">
        <v>148</v>
      </c>
      <c r="AU27" s="3" t="s">
        <v>276</v>
      </c>
      <c r="AV27" s="3" t="s">
        <v>119</v>
      </c>
      <c r="AW27" s="3" t="s">
        <v>111</v>
      </c>
      <c r="AX27" s="3"/>
      <c r="AY27" s="3" t="s">
        <v>135</v>
      </c>
      <c r="AZ27" s="3"/>
      <c r="BA27" s="3"/>
      <c r="BB27" s="5">
        <f>1 + (1/2)</f>
        <v>1.5</v>
      </c>
      <c r="BC27" s="3" t="s">
        <v>166</v>
      </c>
      <c r="BD27" s="3" t="s">
        <v>129</v>
      </c>
      <c r="BE27" s="3" t="s">
        <v>106</v>
      </c>
      <c r="BF27" s="3" t="s">
        <v>112</v>
      </c>
      <c r="BG27" s="3" t="s">
        <v>145</v>
      </c>
      <c r="BH27" s="3"/>
      <c r="BI27" s="3"/>
      <c r="BJ27" s="5">
        <f t="shared" si="2"/>
        <v>2.5</v>
      </c>
      <c r="BK27" s="3" t="s">
        <v>169</v>
      </c>
      <c r="BL27" s="3"/>
      <c r="BM27" s="3" t="s">
        <v>126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5">
        <f t="shared" si="3"/>
        <v>1.5</v>
      </c>
      <c r="CD27" s="3" t="s">
        <v>106</v>
      </c>
      <c r="CE27" s="3"/>
      <c r="CF27" s="3"/>
      <c r="CG27" s="3"/>
      <c r="CH27" s="3"/>
      <c r="CI27" s="3" t="s">
        <v>103</v>
      </c>
      <c r="CJ27" s="3" t="s">
        <v>136</v>
      </c>
      <c r="CK27" s="3" t="s">
        <v>131</v>
      </c>
      <c r="CL27" s="3"/>
      <c r="CM27" s="3"/>
      <c r="CN27" s="3"/>
      <c r="CO27" s="3" t="s">
        <v>166</v>
      </c>
      <c r="CP27" s="3"/>
      <c r="CQ27" s="3"/>
      <c r="CR27" s="3"/>
      <c r="CS27" s="3"/>
      <c r="CT27" s="3"/>
      <c r="CU27" s="3"/>
      <c r="CV27" s="3"/>
      <c r="CW27" s="3"/>
      <c r="CX27" s="3" t="s">
        <v>154</v>
      </c>
      <c r="CY27" s="3" t="s">
        <v>106</v>
      </c>
      <c r="CZ27" s="3"/>
      <c r="DA27" s="3"/>
      <c r="DB27" s="3"/>
    </row>
    <row r="28" ht="15.75" customHeight="1">
      <c r="A28" s="3" t="s">
        <v>127</v>
      </c>
      <c r="B28" s="3" t="s">
        <v>119</v>
      </c>
      <c r="C28" s="3" t="s">
        <v>104</v>
      </c>
      <c r="D28" s="3"/>
      <c r="E28" s="3" t="s">
        <v>103</v>
      </c>
      <c r="F28" s="3"/>
      <c r="G28" s="3"/>
      <c r="H28" s="3" t="s">
        <v>107</v>
      </c>
      <c r="I28" s="3"/>
      <c r="J28" s="3" t="s">
        <v>137</v>
      </c>
      <c r="K28" s="3"/>
      <c r="L28" s="3" t="s">
        <v>277</v>
      </c>
      <c r="M28" s="3"/>
      <c r="N28" s="3" t="s">
        <v>211</v>
      </c>
      <c r="O28" s="3" t="s">
        <v>144</v>
      </c>
      <c r="P28" s="3"/>
      <c r="Q28" s="3"/>
      <c r="R28" s="3"/>
      <c r="S28" s="3" t="s">
        <v>278</v>
      </c>
      <c r="T28" s="3" t="s">
        <v>132</v>
      </c>
      <c r="U28" s="3" t="s">
        <v>166</v>
      </c>
      <c r="V28" s="3" t="s">
        <v>129</v>
      </c>
      <c r="W28" s="3"/>
      <c r="X28" s="3"/>
      <c r="Y28" s="3"/>
      <c r="Z28" s="3"/>
      <c r="AA28" s="3"/>
      <c r="AB28" s="3" t="s">
        <v>126</v>
      </c>
      <c r="AC28" s="3"/>
      <c r="AD28" s="3" t="s">
        <v>126</v>
      </c>
      <c r="AE28" s="3"/>
      <c r="AF28" s="3"/>
      <c r="AG28" s="3"/>
      <c r="AH28" s="3"/>
      <c r="AI28" s="3"/>
      <c r="AJ28" s="3" t="s">
        <v>113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 t="s">
        <v>103</v>
      </c>
      <c r="AW28" s="3"/>
      <c r="AX28" s="3"/>
      <c r="AY28" s="3" t="s">
        <v>137</v>
      </c>
      <c r="AZ28" s="3"/>
      <c r="BA28" s="3"/>
      <c r="BB28" s="3"/>
      <c r="BC28" s="3"/>
      <c r="BD28" s="3"/>
      <c r="BE28" s="3"/>
      <c r="BF28" s="5">
        <f>1 + (1/2)</f>
        <v>1.5</v>
      </c>
      <c r="BG28" s="3" t="s">
        <v>111</v>
      </c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>
        <f>1/4</f>
        <v>0.25</v>
      </c>
      <c r="CD28" s="3" t="s">
        <v>162</v>
      </c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 t="s">
        <v>166</v>
      </c>
      <c r="CY28" s="3" t="s">
        <v>156</v>
      </c>
      <c r="CZ28" s="3"/>
      <c r="DA28" s="3"/>
      <c r="DB28" s="3"/>
    </row>
    <row r="29" ht="15.75" customHeight="1">
      <c r="A29" s="3" t="s">
        <v>112</v>
      </c>
      <c r="B29" s="3" t="s">
        <v>119</v>
      </c>
      <c r="C29" s="3" t="s">
        <v>104</v>
      </c>
      <c r="D29" s="3"/>
      <c r="E29" s="3" t="s">
        <v>103</v>
      </c>
      <c r="F29" s="3"/>
      <c r="G29" s="3"/>
      <c r="H29" s="3" t="s">
        <v>279</v>
      </c>
      <c r="I29" s="3"/>
      <c r="J29" s="3" t="s">
        <v>126</v>
      </c>
      <c r="K29" s="3"/>
      <c r="L29" s="3" t="s">
        <v>139</v>
      </c>
      <c r="M29" s="3"/>
      <c r="N29" s="3" t="s">
        <v>270</v>
      </c>
      <c r="O29" s="3"/>
      <c r="P29" s="3"/>
      <c r="Q29" s="3"/>
      <c r="R29" s="3"/>
      <c r="S29" s="3" t="s">
        <v>155</v>
      </c>
      <c r="T29" s="3" t="s">
        <v>152</v>
      </c>
      <c r="U29" s="3" t="s">
        <v>148</v>
      </c>
      <c r="V29" s="3" t="s">
        <v>127</v>
      </c>
      <c r="W29" s="3"/>
      <c r="X29" s="3"/>
      <c r="Y29" s="3" t="s">
        <v>103</v>
      </c>
      <c r="Z29" s="3"/>
      <c r="AA29" s="3"/>
      <c r="AB29" s="3" t="s">
        <v>126</v>
      </c>
      <c r="AC29" s="3"/>
      <c r="AD29" s="3" t="s">
        <v>126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 t="s">
        <v>162</v>
      </c>
      <c r="AX29" s="3"/>
      <c r="AY29" s="3" t="s">
        <v>136</v>
      </c>
      <c r="AZ29" s="3"/>
      <c r="BA29" s="3"/>
      <c r="BB29" s="3"/>
      <c r="BC29" s="3"/>
      <c r="BD29" s="3" t="s">
        <v>103</v>
      </c>
      <c r="BE29" s="3" t="s">
        <v>166</v>
      </c>
      <c r="BF29" s="3" t="s">
        <v>103</v>
      </c>
      <c r="BG29" s="3" t="s">
        <v>136</v>
      </c>
      <c r="BH29" s="3"/>
      <c r="BI29" s="3"/>
      <c r="BJ29" s="3" t="s">
        <v>103</v>
      </c>
      <c r="BK29" s="3" t="s">
        <v>111</v>
      </c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>
        <f>1/2</f>
        <v>0.5</v>
      </c>
      <c r="CD29" s="3" t="s">
        <v>166</v>
      </c>
      <c r="CE29" s="3"/>
      <c r="CF29" s="3"/>
      <c r="CG29" s="3"/>
      <c r="CH29" s="3"/>
      <c r="CI29" s="4">
        <f>1/4</f>
        <v>0.25</v>
      </c>
      <c r="CJ29" s="3" t="s">
        <v>111</v>
      </c>
      <c r="CK29" s="3" t="s">
        <v>140</v>
      </c>
      <c r="CL29" s="3"/>
      <c r="CM29" s="3"/>
      <c r="CN29" s="3"/>
      <c r="CO29" s="3" t="s">
        <v>152</v>
      </c>
      <c r="CP29" s="3"/>
      <c r="CQ29" s="3"/>
      <c r="CR29" s="3"/>
      <c r="CS29" s="3"/>
      <c r="CT29" s="3"/>
      <c r="CU29" s="3"/>
      <c r="CV29" s="3"/>
      <c r="CW29" s="3"/>
      <c r="CX29" s="3" t="s">
        <v>137</v>
      </c>
      <c r="CY29" s="3" t="s">
        <v>107</v>
      </c>
      <c r="CZ29" s="3"/>
      <c r="DA29" s="3"/>
      <c r="DB29" s="3"/>
    </row>
    <row r="30" ht="15.75" customHeight="1">
      <c r="A30" s="3" t="s">
        <v>184</v>
      </c>
      <c r="B30" s="3" t="s">
        <v>119</v>
      </c>
      <c r="C30" s="3" t="s">
        <v>104</v>
      </c>
      <c r="D30" s="3"/>
      <c r="E30" s="3" t="s">
        <v>103</v>
      </c>
      <c r="F30" s="3"/>
      <c r="G30" s="3"/>
      <c r="H30" s="3" t="s">
        <v>144</v>
      </c>
      <c r="I30" s="3"/>
      <c r="J30" s="3" t="s">
        <v>137</v>
      </c>
      <c r="K30" s="3"/>
      <c r="L30" s="3" t="s">
        <v>187</v>
      </c>
      <c r="M30" s="3" t="s">
        <v>154</v>
      </c>
      <c r="N30" s="3" t="s">
        <v>109</v>
      </c>
      <c r="O30" s="3" t="s">
        <v>132</v>
      </c>
      <c r="P30" s="3"/>
      <c r="Q30" s="3"/>
      <c r="R30" s="3"/>
      <c r="S30" s="3" t="s">
        <v>280</v>
      </c>
      <c r="T30" s="3" t="s">
        <v>111</v>
      </c>
      <c r="U30" s="3" t="s">
        <v>150</v>
      </c>
      <c r="V30" s="3" t="s">
        <v>137</v>
      </c>
      <c r="W30" s="3"/>
      <c r="X30" s="3"/>
      <c r="Y30" s="3" t="s">
        <v>126</v>
      </c>
      <c r="Z30" s="3"/>
      <c r="AA30" s="3"/>
      <c r="AB30" s="3" t="s">
        <v>126</v>
      </c>
      <c r="AC30" s="3"/>
      <c r="AD30" s="3" t="s">
        <v>126</v>
      </c>
      <c r="AE30" s="3"/>
      <c r="AF30" s="3" t="s">
        <v>119</v>
      </c>
      <c r="AG30" s="3" t="s">
        <v>103</v>
      </c>
      <c r="AH30" s="3"/>
      <c r="AI30" s="3"/>
      <c r="AJ30" s="3" t="s">
        <v>256</v>
      </c>
      <c r="AK30" s="3"/>
      <c r="AL30" s="3" t="s">
        <v>103</v>
      </c>
      <c r="AM30" s="3"/>
      <c r="AN30" s="3"/>
      <c r="AO30" s="3"/>
      <c r="AP30" s="3"/>
      <c r="AQ30" s="3"/>
      <c r="AR30" s="3"/>
      <c r="AS30" s="3"/>
      <c r="AT30" s="3" t="s">
        <v>103</v>
      </c>
      <c r="AU30" s="3" t="s">
        <v>127</v>
      </c>
      <c r="AV30" s="3" t="s">
        <v>103</v>
      </c>
      <c r="AW30" s="3" t="s">
        <v>137</v>
      </c>
      <c r="AX30" s="3"/>
      <c r="AY30" s="3" t="s">
        <v>149</v>
      </c>
      <c r="AZ30" s="3"/>
      <c r="BA30" s="3"/>
      <c r="BB30" s="3" t="s">
        <v>126</v>
      </c>
      <c r="BC30" s="3" t="s">
        <v>137</v>
      </c>
      <c r="BD30" s="3" t="s">
        <v>103</v>
      </c>
      <c r="BE30" s="3" t="s">
        <v>107</v>
      </c>
      <c r="BF30" s="5">
        <f>1 + (1/4)</f>
        <v>1.25</v>
      </c>
      <c r="BG30" s="3" t="s">
        <v>144</v>
      </c>
      <c r="BH30" s="3"/>
      <c r="BI30" s="3"/>
      <c r="BJ30" s="3" t="s">
        <v>103</v>
      </c>
      <c r="BK30" s="3" t="s">
        <v>162</v>
      </c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 t="s">
        <v>113</v>
      </c>
      <c r="BX30" s="3"/>
      <c r="BY30" s="3"/>
      <c r="BZ30" s="3"/>
      <c r="CA30" s="3"/>
      <c r="CB30" s="3"/>
      <c r="CC30" s="3" t="s">
        <v>103</v>
      </c>
      <c r="CD30" s="3" t="s">
        <v>116</v>
      </c>
      <c r="CE30" s="3"/>
      <c r="CF30" s="3"/>
      <c r="CG30" s="3"/>
      <c r="CH30" s="3"/>
      <c r="CI30" s="3">
        <f>1/2</f>
        <v>0.5</v>
      </c>
      <c r="CJ30" s="3" t="s">
        <v>144</v>
      </c>
      <c r="CK30" s="3" t="s">
        <v>106</v>
      </c>
      <c r="CL30" s="3"/>
      <c r="CM30" s="3"/>
      <c r="CN30" s="3"/>
      <c r="CO30" s="3" t="s">
        <v>166</v>
      </c>
      <c r="CP30" s="3"/>
      <c r="CQ30" s="3"/>
      <c r="CR30" s="3"/>
      <c r="CS30" s="3"/>
      <c r="CT30" s="3"/>
      <c r="CU30" s="3"/>
      <c r="CV30" s="3"/>
      <c r="CW30" s="3"/>
      <c r="CX30" s="3" t="s">
        <v>112</v>
      </c>
      <c r="CY30" s="3" t="s">
        <v>235</v>
      </c>
      <c r="CZ30" s="3"/>
      <c r="DA30" s="3"/>
      <c r="DB30" s="3"/>
    </row>
    <row r="31" ht="15.75" customHeight="1">
      <c r="A31" s="3" t="s">
        <v>137</v>
      </c>
      <c r="B31" s="3" t="s">
        <v>119</v>
      </c>
      <c r="C31" s="3" t="s">
        <v>104</v>
      </c>
      <c r="D31" s="3"/>
      <c r="E31" s="3" t="s">
        <v>103</v>
      </c>
      <c r="F31" s="3"/>
      <c r="G31" s="3"/>
      <c r="H31" s="3" t="s">
        <v>199</v>
      </c>
      <c r="I31" s="3" t="s">
        <v>118</v>
      </c>
      <c r="J31" s="3" t="s">
        <v>137</v>
      </c>
      <c r="K31" s="3"/>
      <c r="L31" s="3" t="s">
        <v>180</v>
      </c>
      <c r="M31" s="3" t="s">
        <v>106</v>
      </c>
      <c r="N31" s="3" t="s">
        <v>117</v>
      </c>
      <c r="O31" s="3" t="s">
        <v>132</v>
      </c>
      <c r="P31" s="3" t="s">
        <v>112</v>
      </c>
      <c r="Q31" s="3" t="s">
        <v>106</v>
      </c>
      <c r="R31" s="3" t="s">
        <v>144</v>
      </c>
      <c r="S31" s="3" t="s">
        <v>208</v>
      </c>
      <c r="T31" s="3" t="s">
        <v>121</v>
      </c>
      <c r="U31" s="3" t="s">
        <v>281</v>
      </c>
      <c r="V31" s="3" t="s">
        <v>166</v>
      </c>
      <c r="W31" s="3"/>
      <c r="X31" s="3"/>
      <c r="Y31" s="3" t="s">
        <v>126</v>
      </c>
      <c r="Z31" s="3"/>
      <c r="AA31" s="3"/>
      <c r="AB31" s="3" t="s">
        <v>103</v>
      </c>
      <c r="AC31" s="3"/>
      <c r="AD31" s="3" t="s">
        <v>103</v>
      </c>
      <c r="AE31" s="3"/>
      <c r="AF31" s="3" t="s">
        <v>119</v>
      </c>
      <c r="AG31" s="3"/>
      <c r="AH31" s="3"/>
      <c r="AI31" s="3" t="s">
        <v>282</v>
      </c>
      <c r="AJ31" s="3" t="s">
        <v>239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 t="s">
        <v>103</v>
      </c>
      <c r="AW31" s="3" t="s">
        <v>111</v>
      </c>
      <c r="AX31" s="3"/>
      <c r="AY31" s="3" t="s">
        <v>154</v>
      </c>
      <c r="AZ31" s="3"/>
      <c r="BA31" s="3"/>
      <c r="BB31" s="3"/>
      <c r="BC31" s="3"/>
      <c r="BD31" s="3" t="s">
        <v>126</v>
      </c>
      <c r="BE31" s="3" t="s">
        <v>107</v>
      </c>
      <c r="BF31" s="3"/>
      <c r="BG31" s="3"/>
      <c r="BH31" s="3" t="s">
        <v>119</v>
      </c>
      <c r="BI31" s="3" t="s">
        <v>136</v>
      </c>
      <c r="BJ31" s="3">
        <f>1/2</f>
        <v>0.5</v>
      </c>
      <c r="BK31" s="3" t="s">
        <v>112</v>
      </c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 t="s">
        <v>103</v>
      </c>
      <c r="CJ31" s="3" t="s">
        <v>154</v>
      </c>
      <c r="CK31" s="3" t="s">
        <v>109</v>
      </c>
      <c r="CL31" s="3"/>
      <c r="CM31" s="3"/>
      <c r="CN31" s="3"/>
      <c r="CO31" s="3" t="s">
        <v>135</v>
      </c>
      <c r="CP31" s="3"/>
      <c r="CQ31" s="3"/>
      <c r="CR31" s="3"/>
      <c r="CS31" s="3"/>
      <c r="CT31" s="3"/>
      <c r="CU31" s="3"/>
      <c r="CV31" s="3"/>
      <c r="CW31" s="3"/>
      <c r="CX31" s="3" t="s">
        <v>137</v>
      </c>
      <c r="CY31" s="3" t="s">
        <v>107</v>
      </c>
      <c r="CZ31" s="3"/>
      <c r="DA31" s="3"/>
      <c r="DB31" s="3"/>
    </row>
    <row r="32" ht="15.75" customHeight="1">
      <c r="A32" s="3" t="s">
        <v>103</v>
      </c>
      <c r="B32" s="3" t="s">
        <v>129</v>
      </c>
      <c r="C32" s="3" t="s">
        <v>104</v>
      </c>
      <c r="D32" s="3"/>
      <c r="E32" s="3" t="s">
        <v>103</v>
      </c>
      <c r="F32" s="3"/>
      <c r="G32" s="3"/>
      <c r="H32" s="3" t="s">
        <v>222</v>
      </c>
      <c r="I32" s="3" t="s">
        <v>116</v>
      </c>
      <c r="J32" s="3" t="s">
        <v>132</v>
      </c>
      <c r="K32" s="3"/>
      <c r="L32" s="3" t="s">
        <v>283</v>
      </c>
      <c r="M32" s="3" t="s">
        <v>109</v>
      </c>
      <c r="N32" s="3" t="s">
        <v>209</v>
      </c>
      <c r="O32" s="3" t="s">
        <v>119</v>
      </c>
      <c r="P32" s="3"/>
      <c r="Q32" s="3" t="s">
        <v>118</v>
      </c>
      <c r="R32" s="3" t="s">
        <v>166</v>
      </c>
      <c r="S32" s="3" t="s">
        <v>187</v>
      </c>
      <c r="T32" s="3" t="s">
        <v>105</v>
      </c>
      <c r="U32" s="3" t="s">
        <v>131</v>
      </c>
      <c r="V32" s="3" t="s">
        <v>131</v>
      </c>
      <c r="W32" s="3"/>
      <c r="X32" s="3"/>
      <c r="Y32" s="3" t="s">
        <v>126</v>
      </c>
      <c r="Z32" s="3"/>
      <c r="AA32" s="3"/>
      <c r="AB32" s="3" t="s">
        <v>152</v>
      </c>
      <c r="AC32" s="3" t="s">
        <v>132</v>
      </c>
      <c r="AD32" s="3" t="s">
        <v>137</v>
      </c>
      <c r="AE32" s="3" t="s">
        <v>166</v>
      </c>
      <c r="AF32" s="3"/>
      <c r="AG32" s="3" t="s">
        <v>162</v>
      </c>
      <c r="AH32" s="3" t="s">
        <v>103</v>
      </c>
      <c r="AI32" s="3" t="s">
        <v>229</v>
      </c>
      <c r="AJ32" s="3" t="s">
        <v>241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 t="s">
        <v>137</v>
      </c>
      <c r="AX32" s="3" t="s">
        <v>150</v>
      </c>
      <c r="AY32" s="3" t="s">
        <v>136</v>
      </c>
      <c r="AZ32" s="3"/>
      <c r="BA32" s="3"/>
      <c r="BB32" s="3" t="s">
        <v>103</v>
      </c>
      <c r="BC32" s="3" t="s">
        <v>107</v>
      </c>
      <c r="BD32" s="3"/>
      <c r="BE32" s="3"/>
      <c r="BF32" s="3"/>
      <c r="BG32" s="3"/>
      <c r="BH32" s="5">
        <f>1 + (1/2)</f>
        <v>1.5</v>
      </c>
      <c r="BI32" s="3" t="s">
        <v>166</v>
      </c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>
        <f>1/2</f>
        <v>0.5</v>
      </c>
      <c r="CD32" s="3" t="s">
        <v>136</v>
      </c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</row>
    <row r="33" ht="15.75" customHeight="1">
      <c r="A33" s="3" t="s">
        <v>126</v>
      </c>
      <c r="B33" s="3" t="s">
        <v>129</v>
      </c>
      <c r="C33" s="3" t="s">
        <v>104</v>
      </c>
      <c r="D33" s="3"/>
      <c r="E33" s="3" t="s">
        <v>103</v>
      </c>
      <c r="F33" s="3"/>
      <c r="G33" s="3"/>
      <c r="H33" s="3" t="s">
        <v>171</v>
      </c>
      <c r="I33" s="3"/>
      <c r="J33" s="3" t="s">
        <v>144</v>
      </c>
      <c r="K33" s="3"/>
      <c r="L33" s="3" t="s">
        <v>284</v>
      </c>
      <c r="M33" s="3" t="s">
        <v>109</v>
      </c>
      <c r="N33" s="3" t="s">
        <v>187</v>
      </c>
      <c r="O33" s="3" t="s">
        <v>137</v>
      </c>
      <c r="P33" s="3"/>
      <c r="Q33" s="3" t="s">
        <v>109</v>
      </c>
      <c r="R33" s="3" t="s">
        <v>188</v>
      </c>
      <c r="S33" s="3" t="s">
        <v>229</v>
      </c>
      <c r="T33" s="3" t="s">
        <v>116</v>
      </c>
      <c r="U33" s="3" t="s">
        <v>224</v>
      </c>
      <c r="V33" s="3" t="s">
        <v>131</v>
      </c>
      <c r="W33" s="3"/>
      <c r="X33" s="3"/>
      <c r="Y33" s="3" t="s">
        <v>162</v>
      </c>
      <c r="Z33" s="3"/>
      <c r="AA33" s="3"/>
      <c r="AB33" s="3" t="s">
        <v>199</v>
      </c>
      <c r="AC33" s="3" t="s">
        <v>184</v>
      </c>
      <c r="AD33" s="3" t="s">
        <v>136</v>
      </c>
      <c r="AE33" s="3" t="s">
        <v>103</v>
      </c>
      <c r="AF33" s="3" t="s">
        <v>126</v>
      </c>
      <c r="AG33" s="3" t="s">
        <v>103</v>
      </c>
      <c r="AH33" s="3"/>
      <c r="AI33" s="3" t="s">
        <v>285</v>
      </c>
      <c r="AJ33" s="3" t="s">
        <v>286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 t="s">
        <v>127</v>
      </c>
      <c r="AW33" s="3" t="s">
        <v>137</v>
      </c>
      <c r="AX33" s="3" t="s">
        <v>127</v>
      </c>
      <c r="AY33" s="3" t="s">
        <v>136</v>
      </c>
      <c r="AZ33" s="5">
        <f>1 + (1/2)</f>
        <v>1.5</v>
      </c>
      <c r="BA33" s="3" t="s">
        <v>287</v>
      </c>
      <c r="BB33" s="3">
        <f>1/4</f>
        <v>0.25</v>
      </c>
      <c r="BC33" s="3" t="s">
        <v>127</v>
      </c>
      <c r="BD33" s="5">
        <f>2 + (1/2)</f>
        <v>2.5</v>
      </c>
      <c r="BE33" s="3" t="s">
        <v>131</v>
      </c>
      <c r="BF33" s="3" t="s">
        <v>162</v>
      </c>
      <c r="BG33" s="3" t="s">
        <v>109</v>
      </c>
      <c r="BH33" s="3"/>
      <c r="BI33" s="3"/>
      <c r="BJ33" s="3" t="s">
        <v>126</v>
      </c>
      <c r="BK33" s="3" t="s">
        <v>199</v>
      </c>
      <c r="BL33" s="3" t="s">
        <v>127</v>
      </c>
      <c r="BM33" s="3" t="s">
        <v>132</v>
      </c>
      <c r="BN33" s="3"/>
      <c r="BO33" s="3"/>
      <c r="BP33" s="3"/>
      <c r="BQ33" s="3"/>
      <c r="BR33" s="3"/>
      <c r="BS33" s="3"/>
      <c r="BT33" s="3"/>
      <c r="BU33" s="3"/>
      <c r="BV33" s="3"/>
      <c r="BW33" s="3" t="s">
        <v>109</v>
      </c>
      <c r="BX33" s="3" t="s">
        <v>129</v>
      </c>
      <c r="BY33" s="3"/>
      <c r="BZ33" s="3"/>
      <c r="CA33" s="3"/>
      <c r="CB33" s="3"/>
      <c r="CC33" s="3" t="s">
        <v>103</v>
      </c>
      <c r="CD33" s="3" t="s">
        <v>106</v>
      </c>
      <c r="CE33" s="3"/>
      <c r="CF33" s="3"/>
      <c r="CG33" s="3"/>
      <c r="CH33" s="3"/>
      <c r="CI33" s="3" t="s">
        <v>103</v>
      </c>
      <c r="CJ33" s="3" t="s">
        <v>154</v>
      </c>
      <c r="CK33" s="3" t="s">
        <v>106</v>
      </c>
      <c r="CL33" s="3"/>
      <c r="CM33" s="3"/>
      <c r="CN33" s="3"/>
      <c r="CO33" s="3" t="s">
        <v>154</v>
      </c>
      <c r="CP33" s="3"/>
      <c r="CQ33" s="3"/>
      <c r="CR33" s="3"/>
      <c r="CS33" s="3"/>
      <c r="CT33" s="3"/>
      <c r="CU33" s="3"/>
      <c r="CV33" s="3"/>
      <c r="CW33" s="3"/>
      <c r="CX33" s="3" t="s">
        <v>144</v>
      </c>
      <c r="CY33" s="3" t="s">
        <v>131</v>
      </c>
      <c r="CZ33" s="3"/>
      <c r="DA33" s="3"/>
      <c r="DB33" s="3"/>
    </row>
    <row r="34" ht="15.75" customHeight="1">
      <c r="A34" s="3" t="s">
        <v>119</v>
      </c>
      <c r="B34" s="3" t="s">
        <v>129</v>
      </c>
      <c r="C34" s="3" t="s">
        <v>104</v>
      </c>
      <c r="D34" s="3"/>
      <c r="E34" s="3" t="s">
        <v>103</v>
      </c>
      <c r="F34" s="3"/>
      <c r="G34" s="3"/>
      <c r="H34" s="3" t="s">
        <v>134</v>
      </c>
      <c r="I34" s="3"/>
      <c r="J34" s="3" t="s">
        <v>137</v>
      </c>
      <c r="K34" s="3"/>
      <c r="L34" s="3" t="s">
        <v>275</v>
      </c>
      <c r="M34" s="3" t="s">
        <v>154</v>
      </c>
      <c r="N34" s="3" t="s">
        <v>273</v>
      </c>
      <c r="O34" s="3" t="s">
        <v>136</v>
      </c>
      <c r="P34" s="3" t="s">
        <v>129</v>
      </c>
      <c r="Q34" s="3" t="s">
        <v>224</v>
      </c>
      <c r="R34" s="3" t="s">
        <v>120</v>
      </c>
      <c r="S34" s="3" t="s">
        <v>288</v>
      </c>
      <c r="T34" s="3" t="s">
        <v>116</v>
      </c>
      <c r="U34" s="3" t="s">
        <v>211</v>
      </c>
      <c r="V34" s="3" t="s">
        <v>116</v>
      </c>
      <c r="W34" s="3"/>
      <c r="X34" s="3"/>
      <c r="Y34" s="3" t="s">
        <v>129</v>
      </c>
      <c r="Z34" s="3"/>
      <c r="AA34" s="3"/>
      <c r="AB34" s="3" t="s">
        <v>166</v>
      </c>
      <c r="AC34" s="3" t="s">
        <v>129</v>
      </c>
      <c r="AD34" s="3" t="s">
        <v>122</v>
      </c>
      <c r="AE34" s="3"/>
      <c r="AF34" s="3"/>
      <c r="AG34" s="3" t="s">
        <v>126</v>
      </c>
      <c r="AH34" s="3"/>
      <c r="AI34" s="3" t="s">
        <v>289</v>
      </c>
      <c r="AJ34" s="3" t="s">
        <v>256</v>
      </c>
      <c r="AK34" s="3"/>
      <c r="AL34" s="3" t="s">
        <v>152</v>
      </c>
      <c r="AM34" s="3" t="s">
        <v>152</v>
      </c>
      <c r="AN34" s="3"/>
      <c r="AO34" s="3"/>
      <c r="AP34" s="3" t="s">
        <v>119</v>
      </c>
      <c r="AQ34" s="3"/>
      <c r="AR34" s="3"/>
      <c r="AS34" s="3"/>
      <c r="AT34" s="3" t="s">
        <v>152</v>
      </c>
      <c r="AU34" s="3" t="s">
        <v>290</v>
      </c>
      <c r="AV34" s="3" t="s">
        <v>122</v>
      </c>
      <c r="AW34" s="3" t="s">
        <v>235</v>
      </c>
      <c r="AX34" s="3" t="s">
        <v>126</v>
      </c>
      <c r="AY34" s="3" t="s">
        <v>154</v>
      </c>
      <c r="AZ34" s="3"/>
      <c r="BA34" s="3"/>
      <c r="BB34" s="3" t="s">
        <v>103</v>
      </c>
      <c r="BC34" s="3" t="s">
        <v>156</v>
      </c>
      <c r="BD34" s="3" t="s">
        <v>129</v>
      </c>
      <c r="BE34" s="3" t="s">
        <v>106</v>
      </c>
      <c r="BF34" s="5">
        <f>3 + (1/2)</f>
        <v>3.5</v>
      </c>
      <c r="BG34" s="3" t="s">
        <v>210</v>
      </c>
      <c r="BH34" s="3"/>
      <c r="BI34" s="3"/>
      <c r="BJ34" s="3" t="s">
        <v>119</v>
      </c>
      <c r="BK34" s="3" t="s">
        <v>169</v>
      </c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 t="s">
        <v>291</v>
      </c>
      <c r="BX34" s="3"/>
      <c r="BY34" s="3"/>
      <c r="BZ34" s="3"/>
      <c r="CA34" s="3"/>
      <c r="CB34" s="3"/>
      <c r="CC34" s="3">
        <f t="shared" ref="CC34:CC37" si="4">1/2</f>
        <v>0.5</v>
      </c>
      <c r="CD34" s="3" t="s">
        <v>131</v>
      </c>
      <c r="CE34" s="3"/>
      <c r="CF34" s="3"/>
      <c r="CG34" s="3"/>
      <c r="CH34" s="3"/>
      <c r="CI34" s="3" t="s">
        <v>126</v>
      </c>
      <c r="CJ34" s="3" t="s">
        <v>131</v>
      </c>
      <c r="CK34" s="3" t="s">
        <v>109</v>
      </c>
      <c r="CL34" s="3"/>
      <c r="CM34" s="3"/>
      <c r="CN34" s="3"/>
      <c r="CO34" s="3" t="s">
        <v>136</v>
      </c>
      <c r="CP34" s="3"/>
      <c r="CQ34" s="3"/>
      <c r="CR34" s="3"/>
      <c r="CS34" s="3"/>
      <c r="CT34" s="3"/>
      <c r="CU34" s="3"/>
      <c r="CV34" s="3"/>
      <c r="CW34" s="3"/>
      <c r="CX34" s="3" t="s">
        <v>137</v>
      </c>
      <c r="CY34" s="3" t="s">
        <v>144</v>
      </c>
      <c r="CZ34" s="3"/>
      <c r="DA34" s="3"/>
      <c r="DB34" s="3"/>
    </row>
    <row r="35" ht="15.75" customHeight="1">
      <c r="A35" s="3" t="s">
        <v>129</v>
      </c>
      <c r="B35" s="3" t="s">
        <v>129</v>
      </c>
      <c r="C35" s="3" t="s">
        <v>104</v>
      </c>
      <c r="D35" s="3"/>
      <c r="E35" s="3" t="s">
        <v>103</v>
      </c>
      <c r="F35" s="3"/>
      <c r="G35" s="3"/>
      <c r="H35" s="3" t="s">
        <v>222</v>
      </c>
      <c r="I35" s="3" t="s">
        <v>107</v>
      </c>
      <c r="J35" s="3" t="s">
        <v>107</v>
      </c>
      <c r="K35" s="3"/>
      <c r="L35" s="3" t="s">
        <v>292</v>
      </c>
      <c r="M35" s="3" t="s">
        <v>154</v>
      </c>
      <c r="N35" s="3" t="s">
        <v>239</v>
      </c>
      <c r="O35" s="3" t="s">
        <v>107</v>
      </c>
      <c r="P35" s="3"/>
      <c r="Q35" s="3" t="s">
        <v>136</v>
      </c>
      <c r="R35" s="3" t="s">
        <v>119</v>
      </c>
      <c r="S35" s="3" t="s">
        <v>147</v>
      </c>
      <c r="T35" s="3" t="s">
        <v>136</v>
      </c>
      <c r="U35" s="3" t="s">
        <v>128</v>
      </c>
      <c r="V35" s="3" t="s">
        <v>136</v>
      </c>
      <c r="W35" s="3"/>
      <c r="X35" s="3"/>
      <c r="Y35" s="3" t="s">
        <v>126</v>
      </c>
      <c r="Z35" s="3"/>
      <c r="AA35" s="3"/>
      <c r="AB35" s="3" t="s">
        <v>152</v>
      </c>
      <c r="AC35" s="3" t="s">
        <v>129</v>
      </c>
      <c r="AD35" s="3" t="s">
        <v>152</v>
      </c>
      <c r="AE35" s="3"/>
      <c r="AF35" s="3" t="s">
        <v>103</v>
      </c>
      <c r="AG35" s="3" t="s">
        <v>103</v>
      </c>
      <c r="AH35" s="3"/>
      <c r="AI35" s="3"/>
      <c r="AJ35" s="3" t="s">
        <v>249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 t="s">
        <v>126</v>
      </c>
      <c r="AW35" s="3" t="s">
        <v>121</v>
      </c>
      <c r="AX35" s="3" t="s">
        <v>119</v>
      </c>
      <c r="AY35" s="3" t="s">
        <v>131</v>
      </c>
      <c r="AZ35" s="3" t="s">
        <v>126</v>
      </c>
      <c r="BA35" s="3" t="s">
        <v>136</v>
      </c>
      <c r="BB35" s="3"/>
      <c r="BC35" s="3"/>
      <c r="BD35" s="5">
        <f>1 + (1/2)</f>
        <v>1.5</v>
      </c>
      <c r="BE35" s="3" t="s">
        <v>116</v>
      </c>
      <c r="BF35" s="3" t="s">
        <v>103</v>
      </c>
      <c r="BG35" s="3" t="s">
        <v>144</v>
      </c>
      <c r="BH35" s="3">
        <f>1/2</f>
        <v>0.5</v>
      </c>
      <c r="BI35" s="3" t="s">
        <v>127</v>
      </c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176</v>
      </c>
      <c r="BX35" s="3"/>
      <c r="BY35" s="3"/>
      <c r="BZ35" s="3"/>
      <c r="CA35" s="3"/>
      <c r="CB35" s="3"/>
      <c r="CC35" s="3">
        <f t="shared" si="4"/>
        <v>0.5</v>
      </c>
      <c r="CD35" s="3" t="s">
        <v>116</v>
      </c>
      <c r="CE35" s="3"/>
      <c r="CF35" s="3"/>
      <c r="CG35" s="3"/>
      <c r="CH35" s="3"/>
      <c r="CI35" s="3" t="s">
        <v>119</v>
      </c>
      <c r="CJ35" s="3" t="s">
        <v>154</v>
      </c>
      <c r="CK35" s="3" t="s">
        <v>113</v>
      </c>
      <c r="CL35" s="3"/>
      <c r="CM35" s="3"/>
      <c r="CN35" s="3"/>
      <c r="CO35" s="3" t="s">
        <v>167</v>
      </c>
      <c r="CP35" s="3"/>
      <c r="CQ35" s="3"/>
      <c r="CR35" s="3"/>
      <c r="CS35" s="3"/>
      <c r="CT35" s="3"/>
      <c r="CU35" s="3"/>
      <c r="CV35" s="3"/>
      <c r="CW35" s="3"/>
      <c r="CX35" s="3" t="s">
        <v>137</v>
      </c>
      <c r="CY35" s="3" t="s">
        <v>107</v>
      </c>
      <c r="CZ35" s="3"/>
      <c r="DA35" s="3"/>
      <c r="DB35" s="3"/>
    </row>
    <row r="36" ht="15.75" customHeight="1">
      <c r="A36" s="3" t="s">
        <v>132</v>
      </c>
      <c r="B36" s="3" t="s">
        <v>129</v>
      </c>
      <c r="C36" s="3" t="s">
        <v>104</v>
      </c>
      <c r="D36" s="3"/>
      <c r="E36" s="3"/>
      <c r="F36" s="3"/>
      <c r="G36" s="3" t="s">
        <v>103</v>
      </c>
      <c r="H36" s="3" t="s">
        <v>130</v>
      </c>
      <c r="I36" s="3"/>
      <c r="J36" s="3" t="s">
        <v>166</v>
      </c>
      <c r="K36" s="3"/>
      <c r="L36" s="3" t="s">
        <v>293</v>
      </c>
      <c r="M36" s="3" t="s">
        <v>154</v>
      </c>
      <c r="N36" s="3" t="s">
        <v>176</v>
      </c>
      <c r="O36" s="3" t="s">
        <v>132</v>
      </c>
      <c r="P36" s="3"/>
      <c r="Q36" s="3" t="s">
        <v>135</v>
      </c>
      <c r="R36" s="3" t="s">
        <v>144</v>
      </c>
      <c r="S36" s="3" t="s">
        <v>294</v>
      </c>
      <c r="T36" s="3" t="s">
        <v>116</v>
      </c>
      <c r="U36" s="3" t="s">
        <v>218</v>
      </c>
      <c r="V36" s="3" t="s">
        <v>116</v>
      </c>
      <c r="W36" s="3"/>
      <c r="X36" s="3"/>
      <c r="Y36" s="3" t="s">
        <v>126</v>
      </c>
      <c r="Z36" s="3"/>
      <c r="AA36" s="3"/>
      <c r="AB36" s="3" t="s">
        <v>122</v>
      </c>
      <c r="AC36" s="3" t="s">
        <v>126</v>
      </c>
      <c r="AD36" s="3" t="s">
        <v>122</v>
      </c>
      <c r="AE36" s="3"/>
      <c r="AF36" s="3"/>
      <c r="AG36" s="3"/>
      <c r="AH36" s="3"/>
      <c r="AI36" s="3"/>
      <c r="AJ36" s="3" t="s">
        <v>295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 t="s">
        <v>119</v>
      </c>
      <c r="AW36" s="3" t="s">
        <v>296</v>
      </c>
      <c r="AX36" s="3" t="s">
        <v>129</v>
      </c>
      <c r="AY36" s="3" t="s">
        <v>136</v>
      </c>
      <c r="AZ36" s="3" t="s">
        <v>103</v>
      </c>
      <c r="BA36" s="3" t="s">
        <v>235</v>
      </c>
      <c r="BB36" s="3" t="s">
        <v>119</v>
      </c>
      <c r="BC36" s="3" t="s">
        <v>136</v>
      </c>
      <c r="BD36" s="3"/>
      <c r="BE36" s="3"/>
      <c r="BF36" s="3" t="s">
        <v>119</v>
      </c>
      <c r="BG36" s="3" t="s">
        <v>135</v>
      </c>
      <c r="BH36" s="3"/>
      <c r="BI36" s="3"/>
      <c r="BJ36" s="3" t="s">
        <v>103</v>
      </c>
      <c r="BK36" s="3" t="s">
        <v>107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 t="s">
        <v>162</v>
      </c>
      <c r="BY36" s="3"/>
      <c r="BZ36" s="3"/>
      <c r="CA36" s="3"/>
      <c r="CB36" s="3"/>
      <c r="CC36" s="3">
        <f t="shared" si="4"/>
        <v>0.5</v>
      </c>
      <c r="CD36" s="3" t="s">
        <v>149</v>
      </c>
      <c r="CE36" s="3"/>
      <c r="CF36" s="3"/>
      <c r="CG36" s="3"/>
      <c r="CH36" s="3"/>
      <c r="CI36" s="3" t="s">
        <v>103</v>
      </c>
      <c r="CJ36" s="3" t="s">
        <v>154</v>
      </c>
      <c r="CK36" s="3" t="s">
        <v>154</v>
      </c>
      <c r="CL36" s="3"/>
      <c r="CM36" s="3"/>
      <c r="CN36" s="3"/>
      <c r="CO36" s="3" t="s">
        <v>144</v>
      </c>
      <c r="CP36" s="3"/>
      <c r="CQ36" s="3"/>
      <c r="CR36" s="3"/>
      <c r="CS36" s="3"/>
      <c r="CT36" s="3"/>
      <c r="CU36" s="3"/>
      <c r="CV36" s="3"/>
      <c r="CW36" s="3"/>
      <c r="CX36" s="3" t="s">
        <v>137</v>
      </c>
      <c r="CY36" s="3" t="s">
        <v>144</v>
      </c>
      <c r="CZ36" s="3"/>
      <c r="DA36" s="3"/>
      <c r="DB36" s="3"/>
    </row>
    <row r="37" ht="15.75" customHeight="1">
      <c r="A37" s="3" t="s">
        <v>162</v>
      </c>
      <c r="B37" s="3" t="s">
        <v>129</v>
      </c>
      <c r="C37" s="3" t="s">
        <v>104</v>
      </c>
      <c r="D37" s="3"/>
      <c r="E37" s="3" t="s">
        <v>103</v>
      </c>
      <c r="F37" s="3"/>
      <c r="G37" s="3"/>
      <c r="H37" s="3" t="s">
        <v>212</v>
      </c>
      <c r="I37" s="3"/>
      <c r="J37" s="3" t="s">
        <v>119</v>
      </c>
      <c r="K37" s="3"/>
      <c r="L37" s="3" t="s">
        <v>297</v>
      </c>
      <c r="M37" s="3" t="s">
        <v>154</v>
      </c>
      <c r="N37" s="3" t="s">
        <v>176</v>
      </c>
      <c r="O37" s="3" t="s">
        <v>132</v>
      </c>
      <c r="P37" s="3"/>
      <c r="Q37" s="3" t="s">
        <v>154</v>
      </c>
      <c r="R37" s="3" t="s">
        <v>162</v>
      </c>
      <c r="S37" s="3"/>
      <c r="T37" s="3" t="s">
        <v>107</v>
      </c>
      <c r="U37" s="3" t="s">
        <v>298</v>
      </c>
      <c r="V37" s="3" t="s">
        <v>144</v>
      </c>
      <c r="W37" s="3"/>
      <c r="X37" s="3"/>
      <c r="Y37" s="3" t="s">
        <v>119</v>
      </c>
      <c r="Z37" s="3"/>
      <c r="AA37" s="3"/>
      <c r="AB37" s="3" t="s">
        <v>122</v>
      </c>
      <c r="AC37" s="3" t="s">
        <v>103</v>
      </c>
      <c r="AD37" s="3" t="s">
        <v>111</v>
      </c>
      <c r="AE37" s="3"/>
      <c r="AF37" s="3" t="s">
        <v>103</v>
      </c>
      <c r="AG37" s="3" t="s">
        <v>103</v>
      </c>
      <c r="AH37" s="3"/>
      <c r="AI37" s="3"/>
      <c r="AJ37" s="3" t="s">
        <v>139</v>
      </c>
      <c r="AK37" s="3" t="s">
        <v>109</v>
      </c>
      <c r="AL37" s="3" t="s">
        <v>126</v>
      </c>
      <c r="AM37" s="3" t="s">
        <v>119</v>
      </c>
      <c r="AN37" s="3"/>
      <c r="AO37" s="3"/>
      <c r="AP37" s="3"/>
      <c r="AQ37" s="3"/>
      <c r="AR37" s="3"/>
      <c r="AS37" s="3"/>
      <c r="AT37" s="3" t="s">
        <v>126</v>
      </c>
      <c r="AU37" s="3" t="s">
        <v>235</v>
      </c>
      <c r="AV37" s="3" t="s">
        <v>119</v>
      </c>
      <c r="AW37" s="3" t="s">
        <v>152</v>
      </c>
      <c r="AX37" s="3" t="s">
        <v>129</v>
      </c>
      <c r="AY37" s="3" t="s">
        <v>154</v>
      </c>
      <c r="AZ37" s="3" t="s">
        <v>126</v>
      </c>
      <c r="BA37" s="3" t="s">
        <v>144</v>
      </c>
      <c r="BB37" s="3" t="s">
        <v>132</v>
      </c>
      <c r="BC37" s="3" t="s">
        <v>299</v>
      </c>
      <c r="BD37" s="3" t="s">
        <v>103</v>
      </c>
      <c r="BE37" s="3" t="s">
        <v>107</v>
      </c>
      <c r="BF37" s="3" t="s">
        <v>126</v>
      </c>
      <c r="BG37" s="3" t="s">
        <v>154</v>
      </c>
      <c r="BH37" s="3"/>
      <c r="BI37" s="3"/>
      <c r="BJ37" s="3" t="s">
        <v>103</v>
      </c>
      <c r="BK37" s="3" t="s">
        <v>184</v>
      </c>
      <c r="BL37" s="3" t="s">
        <v>103</v>
      </c>
      <c r="BM37" s="3" t="s">
        <v>103</v>
      </c>
      <c r="BN37" s="3"/>
      <c r="BO37" s="3"/>
      <c r="BP37" s="3"/>
      <c r="BQ37" s="3"/>
      <c r="BR37" s="3"/>
      <c r="BS37" s="3"/>
      <c r="BT37" s="3"/>
      <c r="BU37" s="3"/>
      <c r="BV37" s="3"/>
      <c r="BW37" s="3" t="s">
        <v>134</v>
      </c>
      <c r="BX37" s="3" t="s">
        <v>119</v>
      </c>
      <c r="BY37" s="3"/>
      <c r="BZ37" s="3"/>
      <c r="CA37" s="3"/>
      <c r="CB37" s="3"/>
      <c r="CC37" s="3">
        <f t="shared" si="4"/>
        <v>0.5</v>
      </c>
      <c r="CD37" s="3" t="s">
        <v>122</v>
      </c>
      <c r="CE37" s="3"/>
      <c r="CF37" s="3"/>
      <c r="CG37" s="3"/>
      <c r="CH37" s="3"/>
      <c r="CI37" s="3">
        <f>1/2</f>
        <v>0.5</v>
      </c>
      <c r="CJ37" s="3" t="s">
        <v>166</v>
      </c>
      <c r="CK37" s="3" t="s">
        <v>149</v>
      </c>
      <c r="CL37" s="3"/>
      <c r="CM37" s="3"/>
      <c r="CN37" s="3"/>
      <c r="CO37" s="3" t="s">
        <v>132</v>
      </c>
      <c r="CP37" s="3"/>
      <c r="CQ37" s="3"/>
      <c r="CR37" s="3"/>
      <c r="CS37" s="3"/>
      <c r="CT37" s="3"/>
      <c r="CU37" s="3"/>
      <c r="CV37" s="3"/>
      <c r="CW37" s="3"/>
      <c r="CX37" s="3" t="s">
        <v>137</v>
      </c>
      <c r="CY37" s="3" t="s">
        <v>107</v>
      </c>
      <c r="CZ37" s="3"/>
      <c r="DA37" s="3"/>
      <c r="DB37" s="3"/>
    </row>
    <row r="38" ht="15.75" customHeight="1">
      <c r="A38" s="3" t="s">
        <v>127</v>
      </c>
      <c r="B38" s="3" t="s">
        <v>129</v>
      </c>
      <c r="C38" s="3" t="s">
        <v>104</v>
      </c>
      <c r="D38" s="3"/>
      <c r="E38" s="3" t="s">
        <v>103</v>
      </c>
      <c r="F38" s="3"/>
      <c r="G38" s="3"/>
      <c r="H38" s="3" t="s">
        <v>148</v>
      </c>
      <c r="I38" s="3"/>
      <c r="J38" s="3"/>
      <c r="K38" s="3"/>
      <c r="L38" s="3" t="s">
        <v>230</v>
      </c>
      <c r="M38" s="3" t="s">
        <v>154</v>
      </c>
      <c r="N38" s="3" t="s">
        <v>134</v>
      </c>
      <c r="O38" s="3" t="s">
        <v>132</v>
      </c>
      <c r="P38" s="3"/>
      <c r="Q38" s="3"/>
      <c r="R38" s="3"/>
      <c r="S38" s="3" t="s">
        <v>300</v>
      </c>
      <c r="T38" s="3" t="s">
        <v>127</v>
      </c>
      <c r="U38" s="3" t="s">
        <v>137</v>
      </c>
      <c r="V38" s="3" t="s">
        <v>127</v>
      </c>
      <c r="W38" s="3"/>
      <c r="X38" s="3"/>
      <c r="Y38" s="3" t="s">
        <v>103</v>
      </c>
      <c r="Z38" s="3"/>
      <c r="AA38" s="3"/>
      <c r="AB38" s="3" t="s">
        <v>103</v>
      </c>
      <c r="AC38" s="3"/>
      <c r="AD38" s="3" t="s">
        <v>103</v>
      </c>
      <c r="AE38" s="3"/>
      <c r="AF38" s="3" t="s">
        <v>103</v>
      </c>
      <c r="AG38" s="3"/>
      <c r="AH38" s="3"/>
      <c r="AI38" s="3"/>
      <c r="AJ38" s="3" t="s">
        <v>106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 t="s">
        <v>162</v>
      </c>
      <c r="AX38" s="3"/>
      <c r="AY38" s="3" t="s">
        <v>154</v>
      </c>
      <c r="AZ38" s="3"/>
      <c r="BA38" s="3"/>
      <c r="BB38" s="3"/>
      <c r="BC38" s="3"/>
      <c r="BD38" s="3"/>
      <c r="BE38" s="3"/>
      <c r="BF38" s="3" t="s">
        <v>103</v>
      </c>
      <c r="BG38" s="3" t="s">
        <v>136</v>
      </c>
      <c r="BH38" s="3"/>
      <c r="BI38" s="3"/>
      <c r="BJ38" s="3">
        <f>1/2</f>
        <v>0.5</v>
      </c>
      <c r="BK38" s="3" t="s">
        <v>162</v>
      </c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 t="s">
        <v>162</v>
      </c>
      <c r="CY38" s="3" t="s">
        <v>111</v>
      </c>
      <c r="CZ38" s="3"/>
      <c r="DA38" s="3"/>
      <c r="DB38" s="3"/>
    </row>
    <row r="39" ht="15.75" customHeight="1">
      <c r="A39" s="3" t="s">
        <v>112</v>
      </c>
      <c r="B39" s="3" t="s">
        <v>129</v>
      </c>
      <c r="C39" s="3" t="s">
        <v>104</v>
      </c>
      <c r="D39" s="3"/>
      <c r="E39" s="3" t="s">
        <v>103</v>
      </c>
      <c r="F39" s="3"/>
      <c r="G39" s="3"/>
      <c r="H39" s="3" t="s">
        <v>106</v>
      </c>
      <c r="I39" s="3"/>
      <c r="J39" s="3" t="s">
        <v>149</v>
      </c>
      <c r="K39" s="3"/>
      <c r="L39" s="3" t="s">
        <v>180</v>
      </c>
      <c r="M39" s="3" t="s">
        <v>109</v>
      </c>
      <c r="N39" s="3" t="s">
        <v>301</v>
      </c>
      <c r="O39" s="3" t="s">
        <v>154</v>
      </c>
      <c r="P39" s="3"/>
      <c r="Q39" s="3" t="s">
        <v>239</v>
      </c>
      <c r="R39" s="3" t="s">
        <v>146</v>
      </c>
      <c r="S39" s="3" t="s">
        <v>302</v>
      </c>
      <c r="T39" s="3" t="s">
        <v>154</v>
      </c>
      <c r="U39" s="3" t="s">
        <v>135</v>
      </c>
      <c r="V39" s="3" t="s">
        <v>116</v>
      </c>
      <c r="W39" s="3"/>
      <c r="X39" s="3"/>
      <c r="Y39" s="3" t="s">
        <v>119</v>
      </c>
      <c r="Z39" s="3"/>
      <c r="AA39" s="3"/>
      <c r="AB39" s="3" t="s">
        <v>299</v>
      </c>
      <c r="AC39" s="3" t="s">
        <v>112</v>
      </c>
      <c r="AD39" s="3" t="s">
        <v>107</v>
      </c>
      <c r="AE39" s="3"/>
      <c r="AF39" s="3" t="s">
        <v>184</v>
      </c>
      <c r="AG39" s="3" t="s">
        <v>103</v>
      </c>
      <c r="AH39" s="3"/>
      <c r="AI39" s="3"/>
      <c r="AJ39" s="3" t="s">
        <v>244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 t="s">
        <v>137</v>
      </c>
      <c r="AW39" s="3" t="s">
        <v>121</v>
      </c>
      <c r="AX39" s="3"/>
      <c r="AY39" s="3" t="s">
        <v>131</v>
      </c>
      <c r="AZ39" s="3" t="s">
        <v>132</v>
      </c>
      <c r="BA39" s="3" t="s">
        <v>134</v>
      </c>
      <c r="BB39" s="3"/>
      <c r="BC39" s="3"/>
      <c r="BD39" s="3" t="s">
        <v>129</v>
      </c>
      <c r="BE39" s="3" t="s">
        <v>109</v>
      </c>
      <c r="BF39" s="3" t="s">
        <v>162</v>
      </c>
      <c r="BG39" s="3" t="s">
        <v>109</v>
      </c>
      <c r="BH39" s="3"/>
      <c r="BI39" s="3"/>
      <c r="BJ39" s="3" t="s">
        <v>126</v>
      </c>
      <c r="BK39" s="3" t="s">
        <v>167</v>
      </c>
      <c r="BL39" s="3" t="s">
        <v>166</v>
      </c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>
        <f>3/4</f>
        <v>0.75</v>
      </c>
      <c r="CD39" s="3" t="s">
        <v>134</v>
      </c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 t="s">
        <v>137</v>
      </c>
      <c r="CY39" s="3" t="s">
        <v>166</v>
      </c>
      <c r="CZ39" s="3"/>
      <c r="DA39" s="3"/>
      <c r="DB39" s="3"/>
    </row>
    <row r="40" ht="15.75" customHeight="1">
      <c r="A40" s="3" t="s">
        <v>184</v>
      </c>
      <c r="B40" s="3" t="s">
        <v>129</v>
      </c>
      <c r="C40" s="3" t="s">
        <v>104</v>
      </c>
      <c r="D40" s="3"/>
      <c r="E40" s="3" t="s">
        <v>103</v>
      </c>
      <c r="F40" s="3"/>
      <c r="G40" s="3"/>
      <c r="H40" s="3" t="s">
        <v>303</v>
      </c>
      <c r="I40" s="3" t="s">
        <v>106</v>
      </c>
      <c r="J40" s="3" t="s">
        <v>154</v>
      </c>
      <c r="K40" s="3"/>
      <c r="L40" s="3" t="s">
        <v>304</v>
      </c>
      <c r="M40" s="3" t="s">
        <v>113</v>
      </c>
      <c r="N40" s="3" t="s">
        <v>249</v>
      </c>
      <c r="O40" s="3" t="s">
        <v>154</v>
      </c>
      <c r="P40" s="3"/>
      <c r="Q40" s="3" t="s">
        <v>176</v>
      </c>
      <c r="R40" s="3" t="s">
        <v>305</v>
      </c>
      <c r="S40" s="3" t="s">
        <v>306</v>
      </c>
      <c r="T40" s="3" t="s">
        <v>270</v>
      </c>
      <c r="U40" s="3" t="s">
        <v>307</v>
      </c>
      <c r="V40" s="3" t="s">
        <v>225</v>
      </c>
      <c r="W40" s="3"/>
      <c r="X40" s="3"/>
      <c r="Y40" s="3" t="s">
        <v>152</v>
      </c>
      <c r="Z40" s="3"/>
      <c r="AA40" s="3"/>
      <c r="AB40" s="3" t="s">
        <v>136</v>
      </c>
      <c r="AC40" s="3" t="s">
        <v>144</v>
      </c>
      <c r="AD40" s="3" t="s">
        <v>136</v>
      </c>
      <c r="AE40" s="3"/>
      <c r="AF40" s="3" t="s">
        <v>137</v>
      </c>
      <c r="AG40" s="3" t="s">
        <v>126</v>
      </c>
      <c r="AH40" s="3"/>
      <c r="AI40" s="3" t="s">
        <v>308</v>
      </c>
      <c r="AJ40" s="3" t="s">
        <v>139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 t="s">
        <v>184</v>
      </c>
      <c r="AW40" s="3" t="s">
        <v>149</v>
      </c>
      <c r="AX40" s="3" t="s">
        <v>132</v>
      </c>
      <c r="AY40" s="3" t="s">
        <v>106</v>
      </c>
      <c r="AZ40" s="3"/>
      <c r="BA40" s="3"/>
      <c r="BB40" s="3"/>
      <c r="BC40" s="3"/>
      <c r="BD40" s="3" t="s">
        <v>162</v>
      </c>
      <c r="BE40" s="3" t="s">
        <v>113</v>
      </c>
      <c r="BF40" s="3" t="s">
        <v>111</v>
      </c>
      <c r="BG40" s="3" t="s">
        <v>176</v>
      </c>
      <c r="BH40" s="3"/>
      <c r="BI40" s="3"/>
      <c r="BJ40" s="3">
        <f>1/3</f>
        <v>0.3333333333</v>
      </c>
      <c r="BK40" s="3" t="s">
        <v>166</v>
      </c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 t="s">
        <v>176</v>
      </c>
      <c r="BX40" s="3"/>
      <c r="BY40" s="3"/>
      <c r="BZ40" s="3"/>
      <c r="CA40" s="3"/>
      <c r="CB40" s="3"/>
      <c r="CC40" s="5">
        <f>1 + (1/2)</f>
        <v>1.5</v>
      </c>
      <c r="CD40" s="3" t="s">
        <v>113</v>
      </c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 t="s">
        <v>122</v>
      </c>
      <c r="CY40" s="3" t="s">
        <v>279</v>
      </c>
      <c r="CZ40" s="3"/>
      <c r="DA40" s="3"/>
      <c r="DB40" s="3"/>
    </row>
    <row r="41" ht="15.75" customHeight="1">
      <c r="A41" s="3" t="s">
        <v>137</v>
      </c>
      <c r="B41" s="3" t="s">
        <v>129</v>
      </c>
      <c r="C41" s="3" t="s">
        <v>104</v>
      </c>
      <c r="D41" s="3"/>
      <c r="E41" s="3" t="s">
        <v>103</v>
      </c>
      <c r="F41" s="3"/>
      <c r="G41" s="3"/>
      <c r="H41" s="3" t="s">
        <v>236</v>
      </c>
      <c r="I41" s="3"/>
      <c r="J41" s="3"/>
      <c r="K41" s="3"/>
      <c r="L41" s="3" t="s">
        <v>238</v>
      </c>
      <c r="M41" s="3" t="s">
        <v>131</v>
      </c>
      <c r="N41" s="3" t="s">
        <v>191</v>
      </c>
      <c r="O41" s="3" t="s">
        <v>116</v>
      </c>
      <c r="P41" s="3"/>
      <c r="Q41" s="3" t="s">
        <v>135</v>
      </c>
      <c r="R41" s="3" t="s">
        <v>144</v>
      </c>
      <c r="S41" s="3" t="s">
        <v>309</v>
      </c>
      <c r="T41" s="3" t="s">
        <v>166</v>
      </c>
      <c r="U41" s="3" t="s">
        <v>310</v>
      </c>
      <c r="V41" s="3" t="s">
        <v>107</v>
      </c>
      <c r="W41" s="3"/>
      <c r="X41" s="3"/>
      <c r="Y41" s="3" t="s">
        <v>126</v>
      </c>
      <c r="Z41" s="3"/>
      <c r="AA41" s="3"/>
      <c r="AB41" s="3" t="s">
        <v>162</v>
      </c>
      <c r="AC41" s="3"/>
      <c r="AD41" s="3" t="s">
        <v>162</v>
      </c>
      <c r="AE41" s="3"/>
      <c r="AF41" s="3"/>
      <c r="AG41" s="3"/>
      <c r="AH41" s="3"/>
      <c r="AI41" s="3"/>
      <c r="AJ41" s="3" t="s">
        <v>161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 t="s">
        <v>103</v>
      </c>
      <c r="AW41" s="3" t="s">
        <v>166</v>
      </c>
      <c r="AX41" s="3" t="s">
        <v>119</v>
      </c>
      <c r="AY41" s="3" t="s">
        <v>116</v>
      </c>
      <c r="AZ41" s="3"/>
      <c r="BA41" s="3"/>
      <c r="BB41" s="5">
        <f t="shared" ref="BB41:BB42" si="5">1 + (1/2)</f>
        <v>1.5</v>
      </c>
      <c r="BC41" s="3" t="s">
        <v>107</v>
      </c>
      <c r="BD41" s="3" t="s">
        <v>103</v>
      </c>
      <c r="BE41" s="3" t="s">
        <v>136</v>
      </c>
      <c r="BF41" s="3" t="s">
        <v>119</v>
      </c>
      <c r="BG41" s="3" t="s">
        <v>179</v>
      </c>
      <c r="BH41" s="3"/>
      <c r="BI41" s="3"/>
      <c r="BJ41" s="3" t="s">
        <v>166</v>
      </c>
      <c r="BK41" s="3" t="s">
        <v>136</v>
      </c>
      <c r="BL41" s="3"/>
      <c r="BM41" s="3" t="s">
        <v>162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>
        <f>1/2</f>
        <v>0.5</v>
      </c>
      <c r="CD41" s="3" t="s">
        <v>116</v>
      </c>
      <c r="CE41" s="3"/>
      <c r="CF41" s="3"/>
      <c r="CG41" s="3"/>
      <c r="CH41" s="3"/>
      <c r="CI41" s="3" t="s">
        <v>119</v>
      </c>
      <c r="CJ41" s="3" t="s">
        <v>116</v>
      </c>
      <c r="CK41" s="3" t="s">
        <v>109</v>
      </c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</row>
    <row r="42" ht="15.75" customHeight="1">
      <c r="A42" s="3" t="s">
        <v>103</v>
      </c>
      <c r="B42" s="3" t="s">
        <v>132</v>
      </c>
      <c r="C42" s="3" t="s">
        <v>104</v>
      </c>
      <c r="D42" s="3"/>
      <c r="E42" s="3" t="s">
        <v>103</v>
      </c>
      <c r="F42" s="3"/>
      <c r="G42" s="3"/>
      <c r="H42" s="3" t="s">
        <v>134</v>
      </c>
      <c r="I42" s="3" t="s">
        <v>109</v>
      </c>
      <c r="J42" s="3" t="s">
        <v>105</v>
      </c>
      <c r="K42" s="3"/>
      <c r="L42" s="3" t="s">
        <v>311</v>
      </c>
      <c r="M42" s="3" t="s">
        <v>256</v>
      </c>
      <c r="N42" s="3" t="s">
        <v>312</v>
      </c>
      <c r="O42" s="3" t="s">
        <v>131</v>
      </c>
      <c r="P42" s="3" t="s">
        <v>107</v>
      </c>
      <c r="Q42" s="3" t="s">
        <v>288</v>
      </c>
      <c r="R42" s="3" t="s">
        <v>198</v>
      </c>
      <c r="S42" s="3" t="s">
        <v>313</v>
      </c>
      <c r="T42" s="3" t="s">
        <v>135</v>
      </c>
      <c r="U42" s="3" t="s">
        <v>133</v>
      </c>
      <c r="V42" s="3" t="s">
        <v>125</v>
      </c>
      <c r="W42" s="3"/>
      <c r="X42" s="3"/>
      <c r="Y42" s="3" t="s">
        <v>132</v>
      </c>
      <c r="Z42" s="3"/>
      <c r="AA42" s="3" t="s">
        <v>126</v>
      </c>
      <c r="AB42" s="3" t="s">
        <v>141</v>
      </c>
      <c r="AC42" s="3" t="s">
        <v>112</v>
      </c>
      <c r="AD42" s="3" t="s">
        <v>167</v>
      </c>
      <c r="AE42" s="3"/>
      <c r="AF42" s="3" t="s">
        <v>162</v>
      </c>
      <c r="AG42" s="3" t="s">
        <v>103</v>
      </c>
      <c r="AH42" s="3"/>
      <c r="AI42" s="3"/>
      <c r="AJ42" s="3" t="s">
        <v>314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 t="s">
        <v>111</v>
      </c>
      <c r="AW42" s="3" t="s">
        <v>166</v>
      </c>
      <c r="AX42" s="3" t="s">
        <v>103</v>
      </c>
      <c r="AY42" s="3" t="s">
        <v>116</v>
      </c>
      <c r="AZ42" s="3"/>
      <c r="BA42" s="3"/>
      <c r="BB42" s="5">
        <f t="shared" si="5"/>
        <v>1.5</v>
      </c>
      <c r="BC42" s="3" t="s">
        <v>107</v>
      </c>
      <c r="BD42" s="3" t="s">
        <v>129</v>
      </c>
      <c r="BE42" s="3" t="s">
        <v>109</v>
      </c>
      <c r="BF42" s="3" t="s">
        <v>111</v>
      </c>
      <c r="BG42" s="3" t="s">
        <v>230</v>
      </c>
      <c r="BH42" s="3"/>
      <c r="BI42" s="3"/>
      <c r="BJ42" s="5">
        <f>2 + (1/2)</f>
        <v>2.5</v>
      </c>
      <c r="BK42" s="3" t="s">
        <v>154</v>
      </c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5">
        <f>2 + (1/2)</f>
        <v>2.5</v>
      </c>
      <c r="CD42" s="3" t="s">
        <v>239</v>
      </c>
      <c r="CE42" s="3"/>
      <c r="CF42" s="3"/>
      <c r="CG42" s="3"/>
      <c r="CH42" s="3"/>
      <c r="CI42" s="3" t="s">
        <v>126</v>
      </c>
      <c r="CJ42" s="3" t="s">
        <v>154</v>
      </c>
      <c r="CK42" s="3" t="s">
        <v>109</v>
      </c>
      <c r="CL42" s="3"/>
      <c r="CM42" s="3"/>
      <c r="CN42" s="3"/>
      <c r="CO42" s="3" t="s">
        <v>315</v>
      </c>
      <c r="CP42" s="3"/>
      <c r="CQ42" s="3"/>
      <c r="CR42" s="3"/>
      <c r="CS42" s="3"/>
      <c r="CT42" s="3"/>
      <c r="CU42" s="3"/>
      <c r="CV42" s="3" t="s">
        <v>107</v>
      </c>
      <c r="CW42" s="3"/>
      <c r="CX42" s="3" t="s">
        <v>149</v>
      </c>
      <c r="CY42" s="3" t="s">
        <v>154</v>
      </c>
      <c r="CZ42" s="3"/>
      <c r="DA42" s="3"/>
      <c r="DB42" s="3"/>
    </row>
    <row r="43" ht="15.75" customHeight="1">
      <c r="A43" s="3" t="s">
        <v>126</v>
      </c>
      <c r="B43" s="3" t="s">
        <v>132</v>
      </c>
      <c r="C43" s="3" t="s">
        <v>104</v>
      </c>
      <c r="D43" s="3"/>
      <c r="E43" s="3" t="s">
        <v>103</v>
      </c>
      <c r="F43" s="3"/>
      <c r="G43" s="3"/>
      <c r="H43" s="3" t="s">
        <v>135</v>
      </c>
      <c r="I43" s="3"/>
      <c r="J43" s="3" t="s">
        <v>137</v>
      </c>
      <c r="K43" s="3"/>
      <c r="L43" s="3" t="s">
        <v>316</v>
      </c>
      <c r="M43" s="3" t="s">
        <v>203</v>
      </c>
      <c r="N43" s="3" t="s">
        <v>176</v>
      </c>
      <c r="O43" s="3" t="s">
        <v>132</v>
      </c>
      <c r="P43" s="3"/>
      <c r="Q43" s="3" t="s">
        <v>136</v>
      </c>
      <c r="R43" s="3" t="s">
        <v>119</v>
      </c>
      <c r="S43" s="3" t="s">
        <v>317</v>
      </c>
      <c r="T43" s="3" t="s">
        <v>149</v>
      </c>
      <c r="U43" s="3" t="s">
        <v>116</v>
      </c>
      <c r="V43" s="3" t="s">
        <v>149</v>
      </c>
      <c r="W43" s="3"/>
      <c r="X43" s="3"/>
      <c r="Y43" s="3" t="s">
        <v>126</v>
      </c>
      <c r="Z43" s="3"/>
      <c r="AA43" s="3"/>
      <c r="AB43" s="3" t="s">
        <v>122</v>
      </c>
      <c r="AC43" s="3" t="s">
        <v>126</v>
      </c>
      <c r="AD43" s="3" t="s">
        <v>150</v>
      </c>
      <c r="AE43" s="3"/>
      <c r="AF43" s="3"/>
      <c r="AG43" s="3" t="s">
        <v>126</v>
      </c>
      <c r="AH43" s="3"/>
      <c r="AI43" s="3"/>
      <c r="AJ43" s="3" t="s">
        <v>229</v>
      </c>
      <c r="AK43" s="3"/>
      <c r="AL43" s="3" t="s">
        <v>119</v>
      </c>
      <c r="AM43" s="3" t="s">
        <v>126</v>
      </c>
      <c r="AN43" s="3"/>
      <c r="AO43" s="3"/>
      <c r="AP43" s="3"/>
      <c r="AQ43" s="3"/>
      <c r="AR43" s="3"/>
      <c r="AS43" s="3"/>
      <c r="AT43" s="3" t="s">
        <v>119</v>
      </c>
      <c r="AU43" s="3" t="s">
        <v>237</v>
      </c>
      <c r="AV43" s="3" t="s">
        <v>162</v>
      </c>
      <c r="AW43" s="3" t="s">
        <v>111</v>
      </c>
      <c r="AX43" s="3" t="s">
        <v>119</v>
      </c>
      <c r="AY43" s="3" t="s">
        <v>177</v>
      </c>
      <c r="AZ43" s="3" t="s">
        <v>103</v>
      </c>
      <c r="BA43" s="3" t="s">
        <v>279</v>
      </c>
      <c r="BB43" s="3"/>
      <c r="BC43" s="3"/>
      <c r="BD43" s="5">
        <f>1 + (1/2)</f>
        <v>1.5</v>
      </c>
      <c r="BE43" s="3" t="s">
        <v>154</v>
      </c>
      <c r="BF43" s="3" t="s">
        <v>162</v>
      </c>
      <c r="BG43" s="3" t="s">
        <v>318</v>
      </c>
      <c r="BH43" s="3"/>
      <c r="BI43" s="3"/>
      <c r="BJ43" s="3" t="s">
        <v>103</v>
      </c>
      <c r="BK43" s="3" t="s">
        <v>152</v>
      </c>
      <c r="BL43" s="3" t="s">
        <v>121</v>
      </c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 t="s">
        <v>109</v>
      </c>
      <c r="BY43" s="3"/>
      <c r="BZ43" s="3"/>
      <c r="CA43" s="3"/>
      <c r="CB43" s="3"/>
      <c r="CC43" s="3">
        <f>1/2</f>
        <v>0.5</v>
      </c>
      <c r="CD43" s="3" t="s">
        <v>154</v>
      </c>
      <c r="CE43" s="3"/>
      <c r="CF43" s="3"/>
      <c r="CG43" s="3"/>
      <c r="CH43" s="3"/>
      <c r="CI43" s="3">
        <f>1/2</f>
        <v>0.5</v>
      </c>
      <c r="CJ43" s="3" t="s">
        <v>119</v>
      </c>
      <c r="CK43" s="3" t="s">
        <v>166</v>
      </c>
      <c r="CL43" s="3"/>
      <c r="CM43" s="3"/>
      <c r="CN43" s="3"/>
      <c r="CO43" s="3" t="s">
        <v>112</v>
      </c>
      <c r="CP43" s="3"/>
      <c r="CQ43" s="3"/>
      <c r="CR43" s="3"/>
      <c r="CS43" s="3"/>
      <c r="CT43" s="3"/>
      <c r="CU43" s="3"/>
      <c r="CV43" s="3"/>
      <c r="CW43" s="3"/>
      <c r="CX43" s="3" t="s">
        <v>127</v>
      </c>
      <c r="CY43" s="3" t="s">
        <v>200</v>
      </c>
      <c r="CZ43" s="3"/>
      <c r="DA43" s="3"/>
      <c r="DB43" s="3"/>
    </row>
    <row r="44" ht="15.75" customHeight="1">
      <c r="A44" s="3" t="s">
        <v>119</v>
      </c>
      <c r="B44" s="3" t="s">
        <v>132</v>
      </c>
      <c r="C44" s="3" t="s">
        <v>104</v>
      </c>
      <c r="D44" s="3"/>
      <c r="E44" s="3" t="s">
        <v>103</v>
      </c>
      <c r="F44" s="3"/>
      <c r="G44" s="3"/>
      <c r="H44" s="3" t="s">
        <v>128</v>
      </c>
      <c r="I44" s="3"/>
      <c r="J44" s="3" t="s">
        <v>144</v>
      </c>
      <c r="K44" s="3"/>
      <c r="L44" s="3" t="s">
        <v>238</v>
      </c>
      <c r="M44" s="3" t="s">
        <v>135</v>
      </c>
      <c r="N44" s="3" t="s">
        <v>135</v>
      </c>
      <c r="O44" s="3" t="s">
        <v>137</v>
      </c>
      <c r="P44" s="3"/>
      <c r="Q44" s="3" t="s">
        <v>131</v>
      </c>
      <c r="R44" s="3" t="s">
        <v>235</v>
      </c>
      <c r="S44" s="3" t="s">
        <v>319</v>
      </c>
      <c r="T44" s="3" t="s">
        <v>136</v>
      </c>
      <c r="U44" s="3" t="s">
        <v>218</v>
      </c>
      <c r="V44" s="3" t="s">
        <v>136</v>
      </c>
      <c r="W44" s="3"/>
      <c r="X44" s="3"/>
      <c r="Y44" s="3" t="s">
        <v>103</v>
      </c>
      <c r="Z44" s="3"/>
      <c r="AA44" s="3"/>
      <c r="AB44" s="3" t="s">
        <v>119</v>
      </c>
      <c r="AC44" s="3"/>
      <c r="AD44" s="3" t="s">
        <v>103</v>
      </c>
      <c r="AE44" s="3"/>
      <c r="AF44" s="3"/>
      <c r="AG44" s="3"/>
      <c r="AH44" s="3"/>
      <c r="AI44" s="3" t="s">
        <v>320</v>
      </c>
      <c r="AJ44" s="3" t="s">
        <v>203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 t="s">
        <v>103</v>
      </c>
      <c r="AW44" s="3" t="s">
        <v>107</v>
      </c>
      <c r="AX44" s="3"/>
      <c r="AY44" s="3" t="s">
        <v>154</v>
      </c>
      <c r="AZ44" s="3"/>
      <c r="BA44" s="3"/>
      <c r="BB44" s="3"/>
      <c r="BC44" s="3"/>
      <c r="BD44" s="3" t="s">
        <v>103</v>
      </c>
      <c r="BE44" s="3" t="s">
        <v>149</v>
      </c>
      <c r="BF44" s="3"/>
      <c r="BG44" s="3"/>
      <c r="BH44" s="3"/>
      <c r="BI44" s="3"/>
      <c r="BJ44" s="3" t="s">
        <v>103</v>
      </c>
      <c r="BK44" s="3" t="s">
        <v>107</v>
      </c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4">
        <f>3/4</f>
        <v>0.75</v>
      </c>
      <c r="CD44" s="3" t="s">
        <v>107</v>
      </c>
      <c r="CE44" s="3"/>
      <c r="CF44" s="3"/>
      <c r="CG44" s="3"/>
      <c r="CH44" s="3"/>
      <c r="CI44" s="3">
        <f>1/4</f>
        <v>0.25</v>
      </c>
      <c r="CJ44" s="3" t="s">
        <v>166</v>
      </c>
      <c r="CK44" s="3" t="s">
        <v>166</v>
      </c>
      <c r="CL44" s="3"/>
      <c r="CM44" s="3"/>
      <c r="CN44" s="3"/>
      <c r="CO44" s="3" t="s">
        <v>162</v>
      </c>
      <c r="CP44" s="3"/>
      <c r="CQ44" s="3"/>
      <c r="CR44" s="3"/>
      <c r="CS44" s="3"/>
      <c r="CT44" s="3"/>
      <c r="CU44" s="3"/>
      <c r="CV44" s="3"/>
      <c r="CW44" s="3"/>
      <c r="CX44" s="3" t="s">
        <v>137</v>
      </c>
      <c r="CY44" s="3" t="s">
        <v>136</v>
      </c>
      <c r="CZ44" s="3"/>
      <c r="DA44" s="3"/>
      <c r="DB44" s="3"/>
    </row>
    <row r="45" ht="15.75" customHeight="1">
      <c r="A45" s="3" t="s">
        <v>129</v>
      </c>
      <c r="B45" s="3" t="s">
        <v>132</v>
      </c>
      <c r="C45" s="3" t="s">
        <v>104</v>
      </c>
      <c r="D45" s="3"/>
      <c r="E45" s="3" t="s">
        <v>103</v>
      </c>
      <c r="F45" s="3"/>
      <c r="G45" s="3"/>
      <c r="H45" s="3" t="s">
        <v>116</v>
      </c>
      <c r="I45" s="3" t="s">
        <v>136</v>
      </c>
      <c r="J45" s="3" t="s">
        <v>107</v>
      </c>
      <c r="K45" s="3"/>
      <c r="L45" s="3" t="s">
        <v>124</v>
      </c>
      <c r="M45" s="3" t="s">
        <v>154</v>
      </c>
      <c r="N45" s="3" t="s">
        <v>321</v>
      </c>
      <c r="O45" s="3" t="s">
        <v>132</v>
      </c>
      <c r="P45" s="3"/>
      <c r="Q45" s="3" t="s">
        <v>105</v>
      </c>
      <c r="R45" s="3" t="s">
        <v>127</v>
      </c>
      <c r="S45" s="3" t="s">
        <v>322</v>
      </c>
      <c r="T45" s="3" t="s">
        <v>144</v>
      </c>
      <c r="U45" s="3" t="s">
        <v>211</v>
      </c>
      <c r="V45" s="3" t="s">
        <v>144</v>
      </c>
      <c r="W45" s="3"/>
      <c r="X45" s="3"/>
      <c r="Y45" s="3" t="s">
        <v>103</v>
      </c>
      <c r="Z45" s="3"/>
      <c r="AA45" s="3"/>
      <c r="AB45" s="3" t="s">
        <v>137</v>
      </c>
      <c r="AC45" s="3" t="s">
        <v>129</v>
      </c>
      <c r="AD45" s="3" t="s">
        <v>112</v>
      </c>
      <c r="AE45" s="3"/>
      <c r="AF45" s="3"/>
      <c r="AG45" s="3" t="s">
        <v>119</v>
      </c>
      <c r="AH45" s="3"/>
      <c r="AI45" s="3" t="s">
        <v>323</v>
      </c>
      <c r="AJ45" s="3" t="s">
        <v>256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 t="s">
        <v>103</v>
      </c>
      <c r="AW45" s="3" t="s">
        <v>112</v>
      </c>
      <c r="AX45" s="3" t="s">
        <v>103</v>
      </c>
      <c r="AY45" s="3" t="s">
        <v>154</v>
      </c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 t="s">
        <v>111</v>
      </c>
      <c r="CY45" s="3" t="s">
        <v>136</v>
      </c>
      <c r="CZ45" s="3"/>
      <c r="DA45" s="3"/>
      <c r="DB45" s="3"/>
    </row>
    <row r="46" ht="15.75" customHeight="1">
      <c r="A46" s="3" t="s">
        <v>132</v>
      </c>
      <c r="B46" s="3" t="s">
        <v>132</v>
      </c>
      <c r="C46" s="3" t="s">
        <v>104</v>
      </c>
      <c r="D46" s="3"/>
      <c r="E46" s="3" t="s">
        <v>103</v>
      </c>
      <c r="F46" s="3"/>
      <c r="G46" s="3"/>
      <c r="H46" s="3" t="s">
        <v>222</v>
      </c>
      <c r="I46" s="3" t="s">
        <v>149</v>
      </c>
      <c r="J46" s="3" t="s">
        <v>149</v>
      </c>
      <c r="K46" s="3"/>
      <c r="L46" s="3" t="s">
        <v>254</v>
      </c>
      <c r="M46" s="3" t="s">
        <v>109</v>
      </c>
      <c r="N46" s="3" t="s">
        <v>256</v>
      </c>
      <c r="O46" s="3" t="s">
        <v>129</v>
      </c>
      <c r="P46" s="3" t="s">
        <v>237</v>
      </c>
      <c r="Q46" s="3" t="s">
        <v>135</v>
      </c>
      <c r="R46" s="3" t="s">
        <v>107</v>
      </c>
      <c r="S46" s="3" t="s">
        <v>288</v>
      </c>
      <c r="T46" s="3" t="s">
        <v>149</v>
      </c>
      <c r="U46" s="3" t="s">
        <v>222</v>
      </c>
      <c r="V46" s="3" t="s">
        <v>149</v>
      </c>
      <c r="W46" s="3"/>
      <c r="X46" s="3"/>
      <c r="Y46" s="3" t="s">
        <v>126</v>
      </c>
      <c r="Z46" s="3"/>
      <c r="AA46" s="3"/>
      <c r="AB46" s="3" t="s">
        <v>184</v>
      </c>
      <c r="AC46" s="3" t="s">
        <v>137</v>
      </c>
      <c r="AD46" s="3" t="s">
        <v>127</v>
      </c>
      <c r="AE46" s="3" t="s">
        <v>129</v>
      </c>
      <c r="AF46" s="3" t="s">
        <v>119</v>
      </c>
      <c r="AG46" s="3"/>
      <c r="AH46" s="3"/>
      <c r="AI46" s="3" t="s">
        <v>262</v>
      </c>
      <c r="AJ46" s="3" t="s">
        <v>109</v>
      </c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 t="s">
        <v>162</v>
      </c>
      <c r="AX46" s="3"/>
      <c r="AY46" s="3" t="s">
        <v>144</v>
      </c>
      <c r="AZ46" s="3"/>
      <c r="BA46" s="3"/>
      <c r="BB46" s="3"/>
      <c r="BC46" s="3"/>
      <c r="BD46" s="3" t="s">
        <v>119</v>
      </c>
      <c r="BE46" s="3" t="s">
        <v>131</v>
      </c>
      <c r="BF46" s="3" t="s">
        <v>126</v>
      </c>
      <c r="BG46" s="3" t="s">
        <v>105</v>
      </c>
      <c r="BH46" s="3"/>
      <c r="BI46" s="3"/>
      <c r="BJ46" s="3" t="s">
        <v>103</v>
      </c>
      <c r="BK46" s="3" t="s">
        <v>107</v>
      </c>
      <c r="BL46" s="3"/>
      <c r="BM46" s="3" t="s">
        <v>111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 t="s">
        <v>103</v>
      </c>
      <c r="CD46" s="3" t="s">
        <v>135</v>
      </c>
      <c r="CE46" s="3"/>
      <c r="CF46" s="3"/>
      <c r="CG46" s="3"/>
      <c r="CH46" s="3"/>
      <c r="CI46" s="3" t="s">
        <v>119</v>
      </c>
      <c r="CJ46" s="3" t="s">
        <v>131</v>
      </c>
      <c r="CK46" s="3" t="s">
        <v>109</v>
      </c>
      <c r="CL46" s="3"/>
      <c r="CM46" s="3"/>
      <c r="CN46" s="3"/>
      <c r="CO46" s="3" t="s">
        <v>116</v>
      </c>
      <c r="CP46" s="3"/>
      <c r="CQ46" s="3"/>
      <c r="CR46" s="3"/>
      <c r="CS46" s="3"/>
      <c r="CT46" s="3"/>
      <c r="CU46" s="3"/>
      <c r="CV46" s="3"/>
      <c r="CW46" s="3"/>
      <c r="CX46" s="3" t="s">
        <v>184</v>
      </c>
      <c r="CY46" s="3" t="s">
        <v>298</v>
      </c>
      <c r="CZ46" s="3"/>
      <c r="DA46" s="3"/>
      <c r="DB46" s="3"/>
    </row>
    <row r="47" ht="15.75" customHeight="1">
      <c r="A47" s="3" t="s">
        <v>162</v>
      </c>
      <c r="B47" s="3" t="s">
        <v>132</v>
      </c>
      <c r="C47" s="3" t="s">
        <v>104</v>
      </c>
      <c r="D47" s="3"/>
      <c r="E47" s="3" t="s">
        <v>103</v>
      </c>
      <c r="F47" s="3"/>
      <c r="G47" s="3"/>
      <c r="H47" s="3" t="s">
        <v>196</v>
      </c>
      <c r="I47" s="3" t="s">
        <v>154</v>
      </c>
      <c r="J47" s="3" t="s">
        <v>136</v>
      </c>
      <c r="K47" s="3"/>
      <c r="L47" s="3" t="s">
        <v>284</v>
      </c>
      <c r="M47" s="3" t="s">
        <v>256</v>
      </c>
      <c r="N47" s="3" t="s">
        <v>324</v>
      </c>
      <c r="O47" s="3" t="s">
        <v>154</v>
      </c>
      <c r="P47" s="3" t="s">
        <v>235</v>
      </c>
      <c r="Q47" s="3" t="s">
        <v>325</v>
      </c>
      <c r="R47" s="3" t="s">
        <v>326</v>
      </c>
      <c r="S47" s="3" t="s">
        <v>327</v>
      </c>
      <c r="T47" s="3" t="s">
        <v>135</v>
      </c>
      <c r="U47" s="4" t="s">
        <v>118</v>
      </c>
      <c r="V47" s="3" t="s">
        <v>134</v>
      </c>
      <c r="W47" s="3"/>
      <c r="X47" s="3"/>
      <c r="Y47" s="3" t="s">
        <v>152</v>
      </c>
      <c r="Z47" s="3"/>
      <c r="AA47" s="3"/>
      <c r="AB47" s="3" t="s">
        <v>121</v>
      </c>
      <c r="AC47" s="3" t="s">
        <v>103</v>
      </c>
      <c r="AD47" s="3" t="s">
        <v>166</v>
      </c>
      <c r="AE47" s="3"/>
      <c r="AF47" s="3" t="s">
        <v>127</v>
      </c>
      <c r="AG47" s="3"/>
      <c r="AH47" s="3"/>
      <c r="AI47" s="3" t="s">
        <v>328</v>
      </c>
      <c r="AJ47" s="3" t="s">
        <v>256</v>
      </c>
      <c r="AK47" s="3"/>
      <c r="AL47" s="3" t="s">
        <v>164</v>
      </c>
      <c r="AM47" s="3" t="s">
        <v>296</v>
      </c>
      <c r="AN47" s="3"/>
      <c r="AO47" s="3" t="s">
        <v>150</v>
      </c>
      <c r="AP47" s="3"/>
      <c r="AQ47" s="3"/>
      <c r="AR47" s="3"/>
      <c r="AS47" s="3"/>
      <c r="AT47" s="3" t="s">
        <v>164</v>
      </c>
      <c r="AU47" s="3" t="s">
        <v>329</v>
      </c>
      <c r="AV47" s="3" t="s">
        <v>152</v>
      </c>
      <c r="AW47" s="3" t="s">
        <v>144</v>
      </c>
      <c r="AX47" s="3" t="s">
        <v>126</v>
      </c>
      <c r="AY47" s="3" t="s">
        <v>144</v>
      </c>
      <c r="AZ47" s="3" t="s">
        <v>119</v>
      </c>
      <c r="BA47" s="3" t="s">
        <v>199</v>
      </c>
      <c r="BB47" s="3"/>
      <c r="BC47" s="3"/>
      <c r="BD47" s="3" t="s">
        <v>137</v>
      </c>
      <c r="BE47" s="3" t="s">
        <v>203</v>
      </c>
      <c r="BF47" s="3" t="s">
        <v>166</v>
      </c>
      <c r="BG47" s="3" t="s">
        <v>233</v>
      </c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 t="s">
        <v>103</v>
      </c>
      <c r="CD47" s="3" t="s">
        <v>106</v>
      </c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 t="s">
        <v>136</v>
      </c>
      <c r="CY47" s="3" t="s">
        <v>270</v>
      </c>
      <c r="CZ47" s="3"/>
      <c r="DA47" s="3"/>
      <c r="DB47" s="3"/>
    </row>
    <row r="48" ht="15.75" customHeight="1">
      <c r="A48" s="3" t="s">
        <v>127</v>
      </c>
      <c r="B48" s="3" t="s">
        <v>132</v>
      </c>
      <c r="C48" s="3" t="s">
        <v>104</v>
      </c>
      <c r="D48" s="3"/>
      <c r="E48" s="3" t="s">
        <v>103</v>
      </c>
      <c r="F48" s="3"/>
      <c r="G48" s="3"/>
      <c r="H48" s="3" t="s">
        <v>135</v>
      </c>
      <c r="I48" s="3" t="s">
        <v>136</v>
      </c>
      <c r="J48" s="3" t="s">
        <v>166</v>
      </c>
      <c r="K48" s="3"/>
      <c r="L48" s="3" t="s">
        <v>330</v>
      </c>
      <c r="M48" s="3" t="s">
        <v>106</v>
      </c>
      <c r="N48" s="3" t="s">
        <v>331</v>
      </c>
      <c r="O48" s="3" t="s">
        <v>162</v>
      </c>
      <c r="P48" s="3" t="s">
        <v>129</v>
      </c>
      <c r="Q48" s="3" t="s">
        <v>133</v>
      </c>
      <c r="R48" s="3" t="s">
        <v>157</v>
      </c>
      <c r="S48" s="3" t="s">
        <v>187</v>
      </c>
      <c r="T48" s="3" t="s">
        <v>154</v>
      </c>
      <c r="U48" s="3" t="s">
        <v>105</v>
      </c>
      <c r="V48" s="3" t="s">
        <v>154</v>
      </c>
      <c r="W48" s="3"/>
      <c r="X48" s="3"/>
      <c r="Y48" s="3" t="s">
        <v>119</v>
      </c>
      <c r="Z48" s="3"/>
      <c r="AA48" s="3"/>
      <c r="AB48" s="3" t="s">
        <v>148</v>
      </c>
      <c r="AC48" s="3" t="s">
        <v>103</v>
      </c>
      <c r="AD48" s="3" t="s">
        <v>166</v>
      </c>
      <c r="AE48" s="3"/>
      <c r="AF48" s="3" t="s">
        <v>103</v>
      </c>
      <c r="AG48" s="3" t="s">
        <v>103</v>
      </c>
      <c r="AH48" s="3"/>
      <c r="AI48" s="3"/>
      <c r="AJ48" s="3" t="s">
        <v>332</v>
      </c>
      <c r="AK48" s="3"/>
      <c r="AL48" s="3" t="s">
        <v>103</v>
      </c>
      <c r="AM48" s="3"/>
      <c r="AN48" s="3"/>
      <c r="AO48" s="3"/>
      <c r="AP48" s="3"/>
      <c r="AQ48" s="3"/>
      <c r="AR48" s="3"/>
      <c r="AS48" s="3"/>
      <c r="AT48" s="3" t="s">
        <v>103</v>
      </c>
      <c r="AU48" s="3" t="s">
        <v>111</v>
      </c>
      <c r="AV48" s="3" t="s">
        <v>126</v>
      </c>
      <c r="AW48" s="3" t="s">
        <v>107</v>
      </c>
      <c r="AX48" s="3" t="s">
        <v>119</v>
      </c>
      <c r="AY48" s="3" t="s">
        <v>131</v>
      </c>
      <c r="AZ48" s="3"/>
      <c r="BA48" s="3"/>
      <c r="BB48" s="3"/>
      <c r="BC48" s="3"/>
      <c r="BD48" s="5">
        <f>2 + (1/2)</f>
        <v>2.5</v>
      </c>
      <c r="BE48" s="3" t="s">
        <v>154</v>
      </c>
      <c r="BF48" s="3" t="s">
        <v>129</v>
      </c>
      <c r="BG48" s="3" t="s">
        <v>333</v>
      </c>
      <c r="BH48" s="3"/>
      <c r="BI48" s="3"/>
      <c r="BJ48" s="3" t="s">
        <v>126</v>
      </c>
      <c r="BK48" s="3" t="s">
        <v>296</v>
      </c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 t="s">
        <v>103</v>
      </c>
      <c r="CD48" s="3" t="s">
        <v>135</v>
      </c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 t="s">
        <v>144</v>
      </c>
      <c r="CW48" s="3" t="s">
        <v>132</v>
      </c>
      <c r="CX48" s="3" t="s">
        <v>166</v>
      </c>
      <c r="CY48" s="3" t="s">
        <v>169</v>
      </c>
      <c r="CZ48" s="3"/>
      <c r="DA48" s="3"/>
      <c r="DB48" s="3"/>
    </row>
    <row r="49" ht="15.75" customHeight="1">
      <c r="A49" s="3" t="s">
        <v>112</v>
      </c>
      <c r="B49" s="3" t="s">
        <v>132</v>
      </c>
      <c r="C49" s="3" t="s">
        <v>104</v>
      </c>
      <c r="D49" s="3"/>
      <c r="E49" s="3" t="s">
        <v>103</v>
      </c>
      <c r="F49" s="3"/>
      <c r="G49" s="3"/>
      <c r="H49" s="3" t="s">
        <v>218</v>
      </c>
      <c r="I49" s="3" t="s">
        <v>144</v>
      </c>
      <c r="J49" s="3" t="s">
        <v>107</v>
      </c>
      <c r="K49" s="3"/>
      <c r="L49" s="3" t="s">
        <v>124</v>
      </c>
      <c r="M49" s="3" t="s">
        <v>106</v>
      </c>
      <c r="N49" s="3" t="s">
        <v>233</v>
      </c>
      <c r="O49" s="3" t="s">
        <v>166</v>
      </c>
      <c r="P49" s="3" t="s">
        <v>144</v>
      </c>
      <c r="Q49" s="3" t="s">
        <v>109</v>
      </c>
      <c r="R49" s="3" t="s">
        <v>188</v>
      </c>
      <c r="S49" s="3" t="s">
        <v>334</v>
      </c>
      <c r="T49" s="3" t="s">
        <v>167</v>
      </c>
      <c r="U49" s="3" t="s">
        <v>169</v>
      </c>
      <c r="V49" s="3" t="s">
        <v>167</v>
      </c>
      <c r="W49" s="3"/>
      <c r="X49" s="3"/>
      <c r="Y49" s="3" t="s">
        <v>119</v>
      </c>
      <c r="Z49" s="3"/>
      <c r="AA49" s="3"/>
      <c r="AB49" s="3" t="s">
        <v>111</v>
      </c>
      <c r="AC49" s="3" t="s">
        <v>129</v>
      </c>
      <c r="AD49" s="3" t="s">
        <v>152</v>
      </c>
      <c r="AE49" s="3" t="s">
        <v>126</v>
      </c>
      <c r="AF49" s="3" t="s">
        <v>103</v>
      </c>
      <c r="AG49" s="3" t="s">
        <v>103</v>
      </c>
      <c r="AH49" s="3"/>
      <c r="AI49" s="3" t="s">
        <v>187</v>
      </c>
      <c r="AJ49" s="3" t="s">
        <v>168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 t="s">
        <v>103</v>
      </c>
      <c r="AW49" s="3" t="s">
        <v>150</v>
      </c>
      <c r="AX49" s="3"/>
      <c r="AY49" s="3" t="s">
        <v>167</v>
      </c>
      <c r="AZ49" s="3" t="s">
        <v>126</v>
      </c>
      <c r="BA49" s="3" t="s">
        <v>149</v>
      </c>
      <c r="BB49" s="3"/>
      <c r="BC49" s="3"/>
      <c r="BD49" s="3" t="s">
        <v>129</v>
      </c>
      <c r="BE49" s="3" t="s">
        <v>224</v>
      </c>
      <c r="BF49" s="3" t="s">
        <v>129</v>
      </c>
      <c r="BG49" s="3" t="s">
        <v>135</v>
      </c>
      <c r="BH49" s="3"/>
      <c r="BI49" s="3"/>
      <c r="BJ49" s="3" t="s">
        <v>103</v>
      </c>
      <c r="BK49" s="3" t="s">
        <v>166</v>
      </c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 t="s">
        <v>109</v>
      </c>
      <c r="BY49" s="3"/>
      <c r="BZ49" s="3"/>
      <c r="CA49" s="3"/>
      <c r="CB49" s="3"/>
      <c r="CC49" s="5">
        <f>1 + (1/2)</f>
        <v>1.5</v>
      </c>
      <c r="CD49" s="3" t="s">
        <v>106</v>
      </c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 t="s">
        <v>107</v>
      </c>
      <c r="CY49" s="3" t="s">
        <v>149</v>
      </c>
      <c r="CZ49" s="3"/>
      <c r="DA49" s="3"/>
      <c r="DB49" s="3"/>
    </row>
    <row r="50" ht="15.75" customHeight="1">
      <c r="A50" s="3" t="s">
        <v>184</v>
      </c>
      <c r="B50" s="3" t="s">
        <v>132</v>
      </c>
      <c r="C50" s="3" t="s">
        <v>104</v>
      </c>
      <c r="D50" s="3"/>
      <c r="E50" s="3" t="s">
        <v>103</v>
      </c>
      <c r="F50" s="3"/>
      <c r="G50" s="3"/>
      <c r="H50" s="3" t="s">
        <v>155</v>
      </c>
      <c r="I50" s="3" t="s">
        <v>335</v>
      </c>
      <c r="J50" s="3" t="s">
        <v>111</v>
      </c>
      <c r="K50" s="3"/>
      <c r="L50" s="3" t="s">
        <v>316</v>
      </c>
      <c r="M50" s="3" t="s">
        <v>106</v>
      </c>
      <c r="N50" s="3" t="s">
        <v>239</v>
      </c>
      <c r="O50" s="3" t="s">
        <v>107</v>
      </c>
      <c r="P50" s="3"/>
      <c r="Q50" s="3" t="s">
        <v>117</v>
      </c>
      <c r="R50" s="3" t="s">
        <v>167</v>
      </c>
      <c r="S50" s="3" t="s">
        <v>336</v>
      </c>
      <c r="T50" s="3" t="s">
        <v>149</v>
      </c>
      <c r="U50" s="3" t="s">
        <v>214</v>
      </c>
      <c r="V50" s="3" t="s">
        <v>287</v>
      </c>
      <c r="W50" s="3"/>
      <c r="X50" s="3"/>
      <c r="Y50" s="3" t="s">
        <v>126</v>
      </c>
      <c r="Z50" s="3"/>
      <c r="AA50" s="3"/>
      <c r="AB50" s="3" t="s">
        <v>111</v>
      </c>
      <c r="AC50" s="3" t="s">
        <v>107</v>
      </c>
      <c r="AD50" s="3" t="s">
        <v>184</v>
      </c>
      <c r="AE50" s="3" t="s">
        <v>162</v>
      </c>
      <c r="AF50" s="3" t="s">
        <v>162</v>
      </c>
      <c r="AG50" s="3" t="s">
        <v>126</v>
      </c>
      <c r="AH50" s="3"/>
      <c r="AI50" s="3"/>
      <c r="AJ50" s="3" t="s">
        <v>337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 t="s">
        <v>103</v>
      </c>
      <c r="AW50" s="3" t="s">
        <v>127</v>
      </c>
      <c r="AX50" s="3"/>
      <c r="AY50" s="3" t="s">
        <v>154</v>
      </c>
      <c r="AZ50" s="3"/>
      <c r="BA50" s="3"/>
      <c r="BB50" s="3"/>
      <c r="BC50" s="3"/>
      <c r="BD50" s="5">
        <f>3 + (1/2)</f>
        <v>3.5</v>
      </c>
      <c r="BE50" s="3" t="s">
        <v>135</v>
      </c>
      <c r="BF50" s="3" t="s">
        <v>132</v>
      </c>
      <c r="BG50" s="3" t="s">
        <v>109</v>
      </c>
      <c r="BH50" s="3"/>
      <c r="BI50" s="3"/>
      <c r="BJ50" s="5">
        <f>1 + (1/4)</f>
        <v>1.25</v>
      </c>
      <c r="BK50" s="3" t="s">
        <v>150</v>
      </c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 t="s">
        <v>203</v>
      </c>
      <c r="BY50" s="3"/>
      <c r="BZ50" s="3"/>
      <c r="CA50" s="3"/>
      <c r="CB50" s="3"/>
      <c r="CC50" s="3" t="s">
        <v>103</v>
      </c>
      <c r="CD50" s="3" t="s">
        <v>131</v>
      </c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 t="s">
        <v>122</v>
      </c>
      <c r="CY50" s="4" t="s">
        <v>120</v>
      </c>
      <c r="CZ50" s="3"/>
      <c r="DA50" s="3"/>
      <c r="DB50" s="3"/>
    </row>
    <row r="51" ht="15.75" customHeight="1">
      <c r="A51" s="3" t="s">
        <v>137</v>
      </c>
      <c r="B51" s="3" t="s">
        <v>132</v>
      </c>
      <c r="C51" s="3" t="s">
        <v>104</v>
      </c>
      <c r="D51" s="3"/>
      <c r="E51" s="3"/>
      <c r="F51" s="3" t="s">
        <v>103</v>
      </c>
      <c r="G51" s="3"/>
      <c r="H51" s="3" t="s">
        <v>236</v>
      </c>
      <c r="I51" s="3"/>
      <c r="J51" s="3" t="s">
        <v>112</v>
      </c>
      <c r="K51" s="3"/>
      <c r="L51" s="3" t="s">
        <v>229</v>
      </c>
      <c r="M51" s="3" t="s">
        <v>131</v>
      </c>
      <c r="N51" s="3" t="s">
        <v>113</v>
      </c>
      <c r="O51" s="3" t="s">
        <v>119</v>
      </c>
      <c r="P51" s="3"/>
      <c r="Q51" s="3"/>
      <c r="R51" s="3"/>
      <c r="S51" s="3" t="s">
        <v>338</v>
      </c>
      <c r="T51" s="3" t="s">
        <v>122</v>
      </c>
      <c r="U51" s="3" t="s">
        <v>315</v>
      </c>
      <c r="V51" s="3" t="s">
        <v>122</v>
      </c>
      <c r="W51" s="3"/>
      <c r="X51" s="3"/>
      <c r="Y51" s="3" t="s">
        <v>103</v>
      </c>
      <c r="Z51" s="3"/>
      <c r="AA51" s="3"/>
      <c r="AB51" s="3" t="s">
        <v>103</v>
      </c>
      <c r="AC51" s="3"/>
      <c r="AD51" s="3" t="s">
        <v>119</v>
      </c>
      <c r="AE51" s="3"/>
      <c r="AF51" s="3" t="s">
        <v>126</v>
      </c>
      <c r="AG51" s="3"/>
      <c r="AH51" s="3"/>
      <c r="AI51" s="3"/>
      <c r="AJ51" s="3" t="s">
        <v>239</v>
      </c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 t="s">
        <v>112</v>
      </c>
      <c r="AX51" s="3"/>
      <c r="AY51" s="3" t="s">
        <v>178</v>
      </c>
      <c r="AZ51" s="3"/>
      <c r="BA51" s="3"/>
      <c r="BB51" s="3">
        <f>3/4</f>
        <v>0.75</v>
      </c>
      <c r="BC51" s="3" t="s">
        <v>137</v>
      </c>
      <c r="BD51" s="3" t="s">
        <v>103</v>
      </c>
      <c r="BE51" s="3" t="s">
        <v>144</v>
      </c>
      <c r="BF51" s="3" t="s">
        <v>126</v>
      </c>
      <c r="BG51" s="3" t="s">
        <v>116</v>
      </c>
      <c r="BH51" s="3"/>
      <c r="BI51" s="3"/>
      <c r="BJ51" s="3">
        <f>1/2</f>
        <v>0.5</v>
      </c>
      <c r="BK51" s="3" t="s">
        <v>112</v>
      </c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 t="s">
        <v>154</v>
      </c>
      <c r="BY51" s="3"/>
      <c r="BZ51" s="3"/>
      <c r="CA51" s="3"/>
      <c r="CB51" s="3"/>
      <c r="CC51" s="4">
        <f t="shared" ref="CC51:CC52" si="6">1/2</f>
        <v>0.5</v>
      </c>
      <c r="CD51" s="4" t="s">
        <v>136</v>
      </c>
      <c r="CE51" s="3"/>
      <c r="CF51" s="3"/>
      <c r="CG51" s="3"/>
      <c r="CH51" s="3"/>
      <c r="CI51" s="3" t="s">
        <v>103</v>
      </c>
      <c r="CJ51" s="3" t="s">
        <v>107</v>
      </c>
      <c r="CK51" s="3" t="s">
        <v>166</v>
      </c>
      <c r="CL51" s="3"/>
      <c r="CM51" s="3"/>
      <c r="CN51" s="3"/>
      <c r="CO51" s="3" t="s">
        <v>166</v>
      </c>
      <c r="CP51" s="3"/>
      <c r="CQ51" s="3"/>
      <c r="CR51" s="3"/>
      <c r="CS51" s="3"/>
      <c r="CT51" s="3"/>
      <c r="CU51" s="3"/>
      <c r="CV51" s="3"/>
      <c r="CW51" s="3"/>
      <c r="CX51" s="3" t="s">
        <v>137</v>
      </c>
      <c r="CY51" s="3" t="s">
        <v>237</v>
      </c>
      <c r="CZ51" s="3"/>
      <c r="DA51" s="3"/>
      <c r="DB51" s="3"/>
    </row>
    <row r="52" ht="15.75" customHeight="1">
      <c r="A52" s="3" t="s">
        <v>103</v>
      </c>
      <c r="B52" s="3" t="s">
        <v>162</v>
      </c>
      <c r="C52" s="3" t="s">
        <v>104</v>
      </c>
      <c r="D52" s="3"/>
      <c r="E52" s="3" t="s">
        <v>103</v>
      </c>
      <c r="F52" s="3"/>
      <c r="G52" s="3"/>
      <c r="H52" s="3" t="s">
        <v>270</v>
      </c>
      <c r="I52" s="3"/>
      <c r="J52" s="3" t="s">
        <v>137</v>
      </c>
      <c r="K52" s="3"/>
      <c r="L52" s="3" t="s">
        <v>238</v>
      </c>
      <c r="M52" s="3" t="s">
        <v>135</v>
      </c>
      <c r="N52" s="3" t="s">
        <v>339</v>
      </c>
      <c r="O52" s="3" t="s">
        <v>132</v>
      </c>
      <c r="P52" s="3"/>
      <c r="Q52" s="3" t="s">
        <v>107</v>
      </c>
      <c r="R52" s="3" t="s">
        <v>126</v>
      </c>
      <c r="S52" s="3" t="s">
        <v>340</v>
      </c>
      <c r="T52" s="3" t="s">
        <v>121</v>
      </c>
      <c r="U52" s="3" t="s">
        <v>341</v>
      </c>
      <c r="V52" s="3" t="s">
        <v>144</v>
      </c>
      <c r="W52" s="3"/>
      <c r="X52" s="3"/>
      <c r="Y52" s="3" t="s">
        <v>103</v>
      </c>
      <c r="Z52" s="3"/>
      <c r="AA52" s="3"/>
      <c r="AB52" s="3" t="s">
        <v>127</v>
      </c>
      <c r="AC52" s="3" t="s">
        <v>103</v>
      </c>
      <c r="AD52" s="3" t="s">
        <v>127</v>
      </c>
      <c r="AE52" s="3"/>
      <c r="AF52" s="3"/>
      <c r="AG52" s="3"/>
      <c r="AH52" s="3" t="s">
        <v>103</v>
      </c>
      <c r="AI52" s="3"/>
      <c r="AJ52" s="3" t="s">
        <v>342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 t="s">
        <v>126</v>
      </c>
      <c r="AW52" s="3" t="s">
        <v>137</v>
      </c>
      <c r="AX52" s="3"/>
      <c r="AY52" s="3" t="s">
        <v>149</v>
      </c>
      <c r="AZ52" s="3" t="s">
        <v>103</v>
      </c>
      <c r="BA52" s="3" t="s">
        <v>121</v>
      </c>
      <c r="BB52" s="3"/>
      <c r="BC52" s="3"/>
      <c r="BD52" s="3" t="s">
        <v>103</v>
      </c>
      <c r="BE52" s="3" t="s">
        <v>107</v>
      </c>
      <c r="BF52" s="3" t="s">
        <v>126</v>
      </c>
      <c r="BG52" s="3" t="s">
        <v>154</v>
      </c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 t="s">
        <v>109</v>
      </c>
      <c r="BX52" s="3"/>
      <c r="BY52" s="3"/>
      <c r="BZ52" s="3"/>
      <c r="CA52" s="3"/>
      <c r="CB52" s="3"/>
      <c r="CC52" s="3">
        <f t="shared" si="6"/>
        <v>0.5</v>
      </c>
      <c r="CD52" s="3" t="s">
        <v>154</v>
      </c>
      <c r="CE52" s="3"/>
      <c r="CF52" s="3"/>
      <c r="CG52" s="3"/>
      <c r="CH52" s="3"/>
      <c r="CI52" s="3" t="s">
        <v>103</v>
      </c>
      <c r="CJ52" s="3" t="s">
        <v>225</v>
      </c>
      <c r="CK52" s="3" t="s">
        <v>109</v>
      </c>
      <c r="CL52" s="3"/>
      <c r="CM52" s="3"/>
      <c r="CN52" s="3"/>
      <c r="CO52" s="3" t="s">
        <v>144</v>
      </c>
      <c r="CP52" s="3"/>
      <c r="CQ52" s="3"/>
      <c r="CR52" s="3"/>
      <c r="CS52" s="3"/>
      <c r="CT52" s="3"/>
      <c r="CU52" s="3"/>
      <c r="CV52" s="3"/>
      <c r="CW52" s="3"/>
      <c r="CX52" s="3" t="s">
        <v>132</v>
      </c>
      <c r="CY52" s="3" t="s">
        <v>166</v>
      </c>
      <c r="CZ52" s="3"/>
      <c r="DA52" s="3"/>
      <c r="DB52" s="3"/>
    </row>
    <row r="53" ht="15.75" customHeight="1">
      <c r="A53" s="3" t="s">
        <v>126</v>
      </c>
      <c r="B53" s="3" t="s">
        <v>162</v>
      </c>
      <c r="C53" s="3" t="s">
        <v>104</v>
      </c>
      <c r="D53" s="3"/>
      <c r="E53" s="3"/>
      <c r="F53" s="3"/>
      <c r="G53" s="3" t="s">
        <v>103</v>
      </c>
      <c r="H53" s="3" t="s">
        <v>135</v>
      </c>
      <c r="I53" s="3" t="s">
        <v>144</v>
      </c>
      <c r="J53" s="3" t="s">
        <v>144</v>
      </c>
      <c r="K53" s="3"/>
      <c r="L53" s="3" t="s">
        <v>275</v>
      </c>
      <c r="M53" s="3" t="s">
        <v>154</v>
      </c>
      <c r="N53" s="3" t="s">
        <v>343</v>
      </c>
      <c r="O53" s="3" t="s">
        <v>132</v>
      </c>
      <c r="P53" s="3"/>
      <c r="Q53" s="3" t="s">
        <v>135</v>
      </c>
      <c r="R53" s="3" t="s">
        <v>166</v>
      </c>
      <c r="S53" s="3" t="s">
        <v>344</v>
      </c>
      <c r="T53" s="3" t="s">
        <v>116</v>
      </c>
      <c r="U53" s="3" t="s">
        <v>211</v>
      </c>
      <c r="V53" s="3" t="s">
        <v>131</v>
      </c>
      <c r="W53" s="3"/>
      <c r="X53" s="3"/>
      <c r="Y53" s="3" t="s">
        <v>119</v>
      </c>
      <c r="Z53" s="3"/>
      <c r="AA53" s="3"/>
      <c r="AB53" s="3" t="s">
        <v>166</v>
      </c>
      <c r="AC53" s="3" t="s">
        <v>103</v>
      </c>
      <c r="AD53" s="3" t="s">
        <v>111</v>
      </c>
      <c r="AE53" s="3"/>
      <c r="AF53" s="3"/>
      <c r="AG53" s="3" t="s">
        <v>103</v>
      </c>
      <c r="AH53" s="3" t="s">
        <v>103</v>
      </c>
      <c r="AI53" s="3"/>
      <c r="AJ53" s="3" t="s">
        <v>295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 t="s">
        <v>119</v>
      </c>
      <c r="AW53" s="3" t="s">
        <v>107</v>
      </c>
      <c r="AX53" s="3"/>
      <c r="AY53" s="3" t="s">
        <v>149</v>
      </c>
      <c r="AZ53" s="3"/>
      <c r="BA53" s="3"/>
      <c r="BB53" s="3"/>
      <c r="BC53" s="3"/>
      <c r="BD53" s="3" t="s">
        <v>126</v>
      </c>
      <c r="BE53" s="3" t="s">
        <v>131</v>
      </c>
      <c r="BF53" s="3" t="s">
        <v>126</v>
      </c>
      <c r="BG53" s="3" t="s">
        <v>154</v>
      </c>
      <c r="BH53" s="3"/>
      <c r="BI53" s="3"/>
      <c r="BJ53" s="3" t="s">
        <v>126</v>
      </c>
      <c r="BK53" s="3" t="s">
        <v>167</v>
      </c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 t="s">
        <v>112</v>
      </c>
      <c r="BY53" s="3"/>
      <c r="BZ53" s="3"/>
      <c r="CA53" s="3"/>
      <c r="CB53" s="3"/>
      <c r="CC53" s="3">
        <f>3/4</f>
        <v>0.75</v>
      </c>
      <c r="CD53" s="3" t="s">
        <v>116</v>
      </c>
      <c r="CE53" s="3"/>
      <c r="CF53" s="3"/>
      <c r="CG53" s="3"/>
      <c r="CH53" s="3"/>
      <c r="CI53" s="3" t="s">
        <v>129</v>
      </c>
      <c r="CJ53" s="3" t="s">
        <v>131</v>
      </c>
      <c r="CK53" s="3" t="s">
        <v>106</v>
      </c>
      <c r="CL53" s="3"/>
      <c r="CM53" s="3"/>
      <c r="CN53" s="3"/>
      <c r="CO53" s="3" t="s">
        <v>107</v>
      </c>
      <c r="CP53" s="3"/>
      <c r="CQ53" s="3"/>
      <c r="CR53" s="3"/>
      <c r="CS53" s="3"/>
      <c r="CT53" s="3"/>
      <c r="CU53" s="3"/>
      <c r="CV53" s="3"/>
      <c r="CW53" s="3"/>
      <c r="CX53" s="3" t="s">
        <v>137</v>
      </c>
      <c r="CY53" s="3" t="s">
        <v>136</v>
      </c>
      <c r="CZ53" s="3"/>
      <c r="DA53" s="3"/>
      <c r="DB53" s="3"/>
    </row>
    <row r="54" ht="15.75" customHeight="1">
      <c r="A54" s="3" t="s">
        <v>119</v>
      </c>
      <c r="B54" s="3" t="s">
        <v>162</v>
      </c>
      <c r="C54" s="3" t="s">
        <v>104</v>
      </c>
      <c r="D54" s="3"/>
      <c r="E54" s="3" t="s">
        <v>103</v>
      </c>
      <c r="F54" s="3"/>
      <c r="G54" s="3"/>
      <c r="H54" s="3" t="s">
        <v>156</v>
      </c>
      <c r="I54" s="3" t="s">
        <v>132</v>
      </c>
      <c r="J54" s="3" t="s">
        <v>103</v>
      </c>
      <c r="K54" s="3"/>
      <c r="L54" s="3" t="s">
        <v>229</v>
      </c>
      <c r="M54" s="3" t="s">
        <v>144</v>
      </c>
      <c r="N54" s="3" t="s">
        <v>345</v>
      </c>
      <c r="O54" s="3" t="s">
        <v>132</v>
      </c>
      <c r="P54" s="3"/>
      <c r="Q54" s="3" t="s">
        <v>144</v>
      </c>
      <c r="R54" s="3" t="s">
        <v>119</v>
      </c>
      <c r="S54" s="3" t="s">
        <v>346</v>
      </c>
      <c r="T54" s="3" t="s">
        <v>111</v>
      </c>
      <c r="U54" s="3" t="s">
        <v>166</v>
      </c>
      <c r="V54" s="3" t="s">
        <v>111</v>
      </c>
      <c r="W54" s="3"/>
      <c r="X54" s="3"/>
      <c r="Y54" s="3" t="s">
        <v>103</v>
      </c>
      <c r="Z54" s="3"/>
      <c r="AA54" s="3"/>
      <c r="AB54" s="3" t="s">
        <v>119</v>
      </c>
      <c r="AC54" s="3" t="s">
        <v>103</v>
      </c>
      <c r="AD54" s="3" t="s">
        <v>119</v>
      </c>
      <c r="AE54" s="3"/>
      <c r="AF54" s="3"/>
      <c r="AG54" s="3"/>
      <c r="AH54" s="3"/>
      <c r="AI54" s="3"/>
      <c r="AJ54" s="3" t="s">
        <v>239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 t="s">
        <v>103</v>
      </c>
      <c r="AW54" s="3" t="s">
        <v>162</v>
      </c>
      <c r="AX54" s="3"/>
      <c r="AY54" s="3" t="s">
        <v>347</v>
      </c>
      <c r="AZ54" s="3"/>
      <c r="BA54" s="3"/>
      <c r="BB54" s="3" t="s">
        <v>103</v>
      </c>
      <c r="BC54" s="3" t="s">
        <v>122</v>
      </c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>
        <f t="shared" ref="CC54:CC55" si="7">1/2</f>
        <v>0.5</v>
      </c>
      <c r="CD54" s="3" t="s">
        <v>144</v>
      </c>
      <c r="CE54" s="3"/>
      <c r="CF54" s="3"/>
      <c r="CG54" s="3"/>
      <c r="CH54" s="3"/>
      <c r="CI54" s="3" t="s">
        <v>103</v>
      </c>
      <c r="CJ54" s="3" t="s">
        <v>135</v>
      </c>
      <c r="CK54" s="3" t="s">
        <v>109</v>
      </c>
      <c r="CL54" s="3"/>
      <c r="CM54" s="3"/>
      <c r="CN54" s="3"/>
      <c r="CO54" s="3" t="s">
        <v>144</v>
      </c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</row>
    <row r="55" ht="15.75" customHeight="1">
      <c r="A55" s="3" t="s">
        <v>129</v>
      </c>
      <c r="B55" s="3" t="s">
        <v>162</v>
      </c>
      <c r="C55" s="3" t="s">
        <v>104</v>
      </c>
      <c r="D55" s="3"/>
      <c r="E55" s="3"/>
      <c r="F55" s="3"/>
      <c r="G55" s="3" t="s">
        <v>103</v>
      </c>
      <c r="H55" s="3" t="s">
        <v>154</v>
      </c>
      <c r="I55" s="3" t="s">
        <v>166</v>
      </c>
      <c r="J55" s="3" t="s">
        <v>166</v>
      </c>
      <c r="K55" s="3"/>
      <c r="L55" s="3" t="s">
        <v>275</v>
      </c>
      <c r="M55" s="3" t="s">
        <v>105</v>
      </c>
      <c r="N55" s="3" t="s">
        <v>128</v>
      </c>
      <c r="O55" s="3"/>
      <c r="P55" s="3"/>
      <c r="Q55" s="3"/>
      <c r="R55" s="3"/>
      <c r="S55" s="3" t="s">
        <v>113</v>
      </c>
      <c r="T55" s="3" t="s">
        <v>136</v>
      </c>
      <c r="U55" s="3" t="s">
        <v>167</v>
      </c>
      <c r="V55" s="3" t="s">
        <v>144</v>
      </c>
      <c r="W55" s="3"/>
      <c r="X55" s="3"/>
      <c r="Y55" s="3" t="s">
        <v>103</v>
      </c>
      <c r="Z55" s="3"/>
      <c r="AA55" s="3"/>
      <c r="AB55" s="3" t="s">
        <v>103</v>
      </c>
      <c r="AC55" s="3"/>
      <c r="AD55" s="3"/>
      <c r="AE55" s="3"/>
      <c r="AF55" s="3"/>
      <c r="AG55" s="3"/>
      <c r="AH55" s="3"/>
      <c r="AI55" s="3"/>
      <c r="AJ55" s="3" t="s">
        <v>106</v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 t="s">
        <v>111</v>
      </c>
      <c r="AX55" s="3"/>
      <c r="AY55" s="3" t="s">
        <v>131</v>
      </c>
      <c r="AZ55" s="3"/>
      <c r="BA55" s="3"/>
      <c r="BB55" s="3"/>
      <c r="BC55" s="3"/>
      <c r="BD55" s="3" t="s">
        <v>126</v>
      </c>
      <c r="BE55" s="3" t="s">
        <v>149</v>
      </c>
      <c r="BF55" s="3"/>
      <c r="BG55" s="3"/>
      <c r="BH55" s="3"/>
      <c r="BI55" s="3"/>
      <c r="BJ55" s="3" t="s">
        <v>103</v>
      </c>
      <c r="BK55" s="3" t="s">
        <v>166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 t="s">
        <v>224</v>
      </c>
      <c r="BX55" s="3"/>
      <c r="BY55" s="3"/>
      <c r="BZ55" s="3"/>
      <c r="CA55" s="3"/>
      <c r="CB55" s="3"/>
      <c r="CC55" s="3">
        <f t="shared" si="7"/>
        <v>0.5</v>
      </c>
      <c r="CD55" s="3" t="s">
        <v>149</v>
      </c>
      <c r="CE55" s="3"/>
      <c r="CF55" s="3"/>
      <c r="CG55" s="3"/>
      <c r="CH55" s="3"/>
      <c r="CI55" s="3" t="s">
        <v>103</v>
      </c>
      <c r="CJ55" s="3" t="s">
        <v>116</v>
      </c>
      <c r="CK55" s="3" t="s">
        <v>109</v>
      </c>
      <c r="CL55" s="3"/>
      <c r="CM55" s="3"/>
      <c r="CN55" s="3"/>
      <c r="CO55" s="3" t="s">
        <v>144</v>
      </c>
      <c r="CP55" s="3"/>
      <c r="CQ55" s="3"/>
      <c r="CR55" s="3"/>
      <c r="CS55" s="3"/>
      <c r="CT55" s="3"/>
      <c r="CU55" s="3"/>
      <c r="CV55" s="3"/>
      <c r="CW55" s="3"/>
      <c r="CX55" s="3" t="s">
        <v>166</v>
      </c>
      <c r="CY55" s="3" t="s">
        <v>136</v>
      </c>
      <c r="CZ55" s="3"/>
      <c r="DA55" s="3"/>
      <c r="DB55" s="3"/>
    </row>
    <row r="56" ht="15.75" customHeight="1">
      <c r="A56" s="3" t="s">
        <v>132</v>
      </c>
      <c r="B56" s="3" t="s">
        <v>162</v>
      </c>
      <c r="C56" s="3" t="s">
        <v>104</v>
      </c>
      <c r="D56" s="3"/>
      <c r="E56" s="3" t="s">
        <v>103</v>
      </c>
      <c r="F56" s="3"/>
      <c r="G56" s="3"/>
      <c r="H56" s="3" t="s">
        <v>105</v>
      </c>
      <c r="I56" s="3"/>
      <c r="J56" s="3"/>
      <c r="K56" s="3"/>
      <c r="L56" s="3" t="s">
        <v>238</v>
      </c>
      <c r="M56" s="3" t="s">
        <v>154</v>
      </c>
      <c r="N56" s="3" t="s">
        <v>348</v>
      </c>
      <c r="O56" s="3" t="s">
        <v>129</v>
      </c>
      <c r="P56" s="3"/>
      <c r="Q56" s="3" t="s">
        <v>154</v>
      </c>
      <c r="R56" s="3" t="s">
        <v>129</v>
      </c>
      <c r="S56" s="3" t="s">
        <v>349</v>
      </c>
      <c r="T56" s="3" t="s">
        <v>107</v>
      </c>
      <c r="U56" s="3" t="s">
        <v>116</v>
      </c>
      <c r="V56" s="3" t="s">
        <v>107</v>
      </c>
      <c r="W56" s="3"/>
      <c r="X56" s="3"/>
      <c r="Y56" s="3" t="s">
        <v>126</v>
      </c>
      <c r="Z56" s="3"/>
      <c r="AA56" s="3"/>
      <c r="AB56" s="3" t="s">
        <v>129</v>
      </c>
      <c r="AC56" s="3" t="s">
        <v>126</v>
      </c>
      <c r="AD56" s="3" t="s">
        <v>132</v>
      </c>
      <c r="AE56" s="3"/>
      <c r="AF56" s="3"/>
      <c r="AG56" s="3" t="s">
        <v>103</v>
      </c>
      <c r="AH56" s="3"/>
      <c r="AI56" s="3"/>
      <c r="AJ56" s="3" t="s">
        <v>163</v>
      </c>
      <c r="AK56" s="3"/>
      <c r="AL56" s="3" t="s">
        <v>166</v>
      </c>
      <c r="AM56" s="3" t="s">
        <v>184</v>
      </c>
      <c r="AN56" s="3"/>
      <c r="AO56" s="3"/>
      <c r="AP56" s="3"/>
      <c r="AQ56" s="3"/>
      <c r="AR56" s="3"/>
      <c r="AS56" s="3"/>
      <c r="AT56" s="3" t="s">
        <v>166</v>
      </c>
      <c r="AU56" s="3" t="s">
        <v>270</v>
      </c>
      <c r="AV56" s="3" t="s">
        <v>126</v>
      </c>
      <c r="AW56" s="3" t="s">
        <v>235</v>
      </c>
      <c r="AX56" s="3"/>
      <c r="AY56" s="3" t="s">
        <v>131</v>
      </c>
      <c r="AZ56" s="5">
        <f>1 + (1/2)</f>
        <v>1.5</v>
      </c>
      <c r="BA56" s="3" t="s">
        <v>136</v>
      </c>
      <c r="BB56" s="3">
        <f>1/2</f>
        <v>0.5</v>
      </c>
      <c r="BC56" s="3" t="s">
        <v>162</v>
      </c>
      <c r="BD56" s="3" t="s">
        <v>126</v>
      </c>
      <c r="BE56" s="3" t="s">
        <v>154</v>
      </c>
      <c r="BF56" s="3"/>
      <c r="BG56" s="3"/>
      <c r="BH56" s="3" t="s">
        <v>103</v>
      </c>
      <c r="BI56" s="3" t="s">
        <v>184</v>
      </c>
      <c r="BJ56" s="3" t="s">
        <v>103</v>
      </c>
      <c r="BK56" s="3" t="s">
        <v>137</v>
      </c>
      <c r="BL56" s="3"/>
      <c r="BM56" s="3" t="s">
        <v>126</v>
      </c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 t="s">
        <v>126</v>
      </c>
      <c r="CD56" s="3" t="s">
        <v>109</v>
      </c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 t="s">
        <v>112</v>
      </c>
      <c r="CY56" s="3" t="s">
        <v>235</v>
      </c>
      <c r="CZ56" s="3"/>
      <c r="DA56" s="3"/>
      <c r="DB56" s="3"/>
    </row>
    <row r="57" ht="15.75" customHeight="1">
      <c r="A57" s="3" t="s">
        <v>162</v>
      </c>
      <c r="B57" s="3" t="s">
        <v>162</v>
      </c>
      <c r="C57" s="3" t="s">
        <v>104</v>
      </c>
      <c r="D57" s="3"/>
      <c r="E57" s="3" t="s">
        <v>103</v>
      </c>
      <c r="F57" s="3"/>
      <c r="G57" s="3"/>
      <c r="H57" s="3" t="s">
        <v>179</v>
      </c>
      <c r="I57" s="3"/>
      <c r="J57" s="3" t="s">
        <v>131</v>
      </c>
      <c r="K57" s="3"/>
      <c r="L57" s="3" t="s">
        <v>254</v>
      </c>
      <c r="M57" s="3" t="s">
        <v>135</v>
      </c>
      <c r="N57" s="3" t="s">
        <v>350</v>
      </c>
      <c r="O57" s="3" t="s">
        <v>166</v>
      </c>
      <c r="P57" s="3"/>
      <c r="Q57" s="3" t="s">
        <v>113</v>
      </c>
      <c r="R57" s="3" t="s">
        <v>136</v>
      </c>
      <c r="S57" s="3" t="s">
        <v>351</v>
      </c>
      <c r="T57" s="3" t="s">
        <v>167</v>
      </c>
      <c r="U57" s="3" t="s">
        <v>222</v>
      </c>
      <c r="V57" s="3" t="s">
        <v>116</v>
      </c>
      <c r="W57" s="3"/>
      <c r="X57" s="3"/>
      <c r="Y57" s="3" t="s">
        <v>127</v>
      </c>
      <c r="Z57" s="3"/>
      <c r="AA57" s="3"/>
      <c r="AB57" s="3" t="s">
        <v>122</v>
      </c>
      <c r="AC57" s="3" t="s">
        <v>126</v>
      </c>
      <c r="AD57" s="3" t="s">
        <v>122</v>
      </c>
      <c r="AE57" s="3"/>
      <c r="AF57" s="3"/>
      <c r="AG57" s="3"/>
      <c r="AH57" s="3" t="s">
        <v>126</v>
      </c>
      <c r="AI57" s="3"/>
      <c r="AJ57" s="3" t="s">
        <v>139</v>
      </c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 t="s">
        <v>119</v>
      </c>
      <c r="AW57" s="3" t="s">
        <v>107</v>
      </c>
      <c r="AX57" s="3" t="s">
        <v>127</v>
      </c>
      <c r="AY57" s="3" t="s">
        <v>134</v>
      </c>
      <c r="AZ57" s="3">
        <f>3/4</f>
        <v>0.75</v>
      </c>
      <c r="BA57" s="3" t="s">
        <v>112</v>
      </c>
      <c r="BB57" s="3" t="s">
        <v>103</v>
      </c>
      <c r="BC57" s="3" t="s">
        <v>107</v>
      </c>
      <c r="BD57" s="3" t="s">
        <v>126</v>
      </c>
      <c r="BE57" s="3" t="s">
        <v>154</v>
      </c>
      <c r="BF57" s="3" t="s">
        <v>127</v>
      </c>
      <c r="BG57" s="3" t="s">
        <v>109</v>
      </c>
      <c r="BH57" s="3"/>
      <c r="BI57" s="3"/>
      <c r="BJ57" s="3" t="s">
        <v>103</v>
      </c>
      <c r="BK57" s="3" t="s">
        <v>107</v>
      </c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>
        <f>3/4</f>
        <v>0.75</v>
      </c>
      <c r="CD57" s="3" t="s">
        <v>135</v>
      </c>
      <c r="CE57" s="3"/>
      <c r="CF57" s="3"/>
      <c r="CG57" s="3"/>
      <c r="CH57" s="3"/>
      <c r="CI57" s="3" t="s">
        <v>103</v>
      </c>
      <c r="CJ57" s="3" t="s">
        <v>144</v>
      </c>
      <c r="CK57" s="3" t="s">
        <v>135</v>
      </c>
      <c r="CL57" s="3"/>
      <c r="CM57" s="3"/>
      <c r="CN57" s="3"/>
      <c r="CO57" s="3" t="s">
        <v>154</v>
      </c>
      <c r="CP57" s="3"/>
      <c r="CQ57" s="3"/>
      <c r="CR57" s="3"/>
      <c r="CS57" s="3"/>
      <c r="CT57" s="3"/>
      <c r="CU57" s="3"/>
      <c r="CV57" s="3"/>
      <c r="CW57" s="3"/>
      <c r="CX57" s="3" t="s">
        <v>149</v>
      </c>
      <c r="CY57" s="3" t="s">
        <v>118</v>
      </c>
      <c r="CZ57" s="3"/>
      <c r="DA57" s="3"/>
      <c r="DB57" s="3"/>
    </row>
    <row r="58" ht="15.75" customHeight="1">
      <c r="A58" s="3" t="s">
        <v>127</v>
      </c>
      <c r="B58" s="3" t="s">
        <v>162</v>
      </c>
      <c r="C58" s="3" t="s">
        <v>104</v>
      </c>
      <c r="D58" s="3"/>
      <c r="E58" s="3" t="s">
        <v>103</v>
      </c>
      <c r="F58" s="3"/>
      <c r="G58" s="3"/>
      <c r="H58" s="3" t="s">
        <v>169</v>
      </c>
      <c r="I58" s="3" t="s">
        <v>154</v>
      </c>
      <c r="J58" s="3" t="s">
        <v>132</v>
      </c>
      <c r="K58" s="3"/>
      <c r="L58" s="3" t="s">
        <v>238</v>
      </c>
      <c r="M58" s="3" t="s">
        <v>109</v>
      </c>
      <c r="N58" s="3" t="s">
        <v>191</v>
      </c>
      <c r="O58" s="3" t="s">
        <v>132</v>
      </c>
      <c r="P58" s="3"/>
      <c r="Q58" s="3" t="s">
        <v>106</v>
      </c>
      <c r="R58" s="3" t="s">
        <v>136</v>
      </c>
      <c r="S58" s="3" t="s">
        <v>352</v>
      </c>
      <c r="T58" s="3" t="s">
        <v>169</v>
      </c>
      <c r="U58" s="3" t="s">
        <v>154</v>
      </c>
      <c r="V58" s="3" t="s">
        <v>154</v>
      </c>
      <c r="W58" s="3"/>
      <c r="X58" s="3"/>
      <c r="Y58" s="3" t="s">
        <v>126</v>
      </c>
      <c r="Z58" s="3"/>
      <c r="AA58" s="3"/>
      <c r="AB58" s="3" t="s">
        <v>112</v>
      </c>
      <c r="AC58" s="3" t="s">
        <v>129</v>
      </c>
      <c r="AD58" s="3" t="s">
        <v>137</v>
      </c>
      <c r="AE58" s="3"/>
      <c r="AF58" s="3" t="s">
        <v>126</v>
      </c>
      <c r="AG58" s="3" t="s">
        <v>103</v>
      </c>
      <c r="AH58" s="3"/>
      <c r="AI58" s="3"/>
      <c r="AJ58" s="3" t="s">
        <v>139</v>
      </c>
      <c r="AK58" s="3"/>
      <c r="AL58" s="3" t="s">
        <v>103</v>
      </c>
      <c r="AM58" s="3"/>
      <c r="AN58" s="3"/>
      <c r="AO58" s="3"/>
      <c r="AP58" s="3"/>
      <c r="AQ58" s="3"/>
      <c r="AR58" s="3"/>
      <c r="AS58" s="3"/>
      <c r="AT58" s="3" t="s">
        <v>103</v>
      </c>
      <c r="AU58" s="3" t="s">
        <v>235</v>
      </c>
      <c r="AV58" s="3" t="s">
        <v>103</v>
      </c>
      <c r="AW58" s="3" t="s">
        <v>107</v>
      </c>
      <c r="AX58" s="3" t="s">
        <v>126</v>
      </c>
      <c r="AY58" s="3" t="s">
        <v>131</v>
      </c>
      <c r="AZ58" s="3" t="s">
        <v>103</v>
      </c>
      <c r="BA58" s="3" t="s">
        <v>137</v>
      </c>
      <c r="BB58" s="3"/>
      <c r="BC58" s="3"/>
      <c r="BD58" s="5">
        <f>1 + (1/2)</f>
        <v>1.5</v>
      </c>
      <c r="BE58" s="3" t="s">
        <v>136</v>
      </c>
      <c r="BF58" s="3" t="s">
        <v>132</v>
      </c>
      <c r="BG58" s="3" t="s">
        <v>117</v>
      </c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>
        <f t="shared" ref="CC58:CC59" si="8">1/2</f>
        <v>0.5</v>
      </c>
      <c r="CD58" s="3" t="s">
        <v>154</v>
      </c>
      <c r="CE58" s="3"/>
      <c r="CF58" s="3"/>
      <c r="CG58" s="3"/>
      <c r="CH58" s="3"/>
      <c r="CI58" s="3" t="s">
        <v>126</v>
      </c>
      <c r="CJ58" s="3" t="s">
        <v>167</v>
      </c>
      <c r="CK58" s="3" t="s">
        <v>135</v>
      </c>
      <c r="CL58" s="3"/>
      <c r="CM58" s="3"/>
      <c r="CN58" s="3"/>
      <c r="CO58" s="3" t="s">
        <v>166</v>
      </c>
      <c r="CP58" s="3"/>
      <c r="CQ58" s="3"/>
      <c r="CR58" s="3"/>
      <c r="CS58" s="3"/>
      <c r="CT58" s="3"/>
      <c r="CU58" s="3"/>
      <c r="CV58" s="3"/>
      <c r="CW58" s="3"/>
      <c r="CX58" s="3" t="s">
        <v>137</v>
      </c>
      <c r="CY58" s="3" t="s">
        <v>107</v>
      </c>
      <c r="CZ58" s="3"/>
      <c r="DA58" s="3"/>
      <c r="DB58" s="3"/>
    </row>
    <row r="59" ht="15.75" customHeight="1">
      <c r="A59" s="3" t="s">
        <v>112</v>
      </c>
      <c r="B59" s="3" t="s">
        <v>162</v>
      </c>
      <c r="C59" s="3" t="s">
        <v>104</v>
      </c>
      <c r="D59" s="3"/>
      <c r="E59" s="3" t="s">
        <v>103</v>
      </c>
      <c r="F59" s="3"/>
      <c r="G59" s="3"/>
      <c r="H59" s="3" t="s">
        <v>107</v>
      </c>
      <c r="I59" s="3" t="s">
        <v>137</v>
      </c>
      <c r="J59" s="3"/>
      <c r="K59" s="3"/>
      <c r="L59" s="3" t="s">
        <v>187</v>
      </c>
      <c r="M59" s="3"/>
      <c r="N59" s="3" t="s">
        <v>136</v>
      </c>
      <c r="O59" s="3" t="s">
        <v>137</v>
      </c>
      <c r="P59" s="3"/>
      <c r="Q59" s="3" t="s">
        <v>154</v>
      </c>
      <c r="R59" s="3" t="s">
        <v>162</v>
      </c>
      <c r="S59" s="3" t="s">
        <v>109</v>
      </c>
      <c r="T59" s="3" t="s">
        <v>235</v>
      </c>
      <c r="U59" s="3" t="s">
        <v>122</v>
      </c>
      <c r="V59" s="3" t="s">
        <v>111</v>
      </c>
      <c r="W59" s="3"/>
      <c r="X59" s="3"/>
      <c r="Y59" s="3"/>
      <c r="Z59" s="3"/>
      <c r="AA59" s="3"/>
      <c r="AB59" s="3" t="s">
        <v>103</v>
      </c>
      <c r="AC59" s="3"/>
      <c r="AD59" s="3" t="s">
        <v>103</v>
      </c>
      <c r="AE59" s="3"/>
      <c r="AF59" s="3"/>
      <c r="AG59" s="3"/>
      <c r="AH59" s="3"/>
      <c r="AI59" s="3"/>
      <c r="AJ59" s="3" t="s">
        <v>106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 t="s">
        <v>103</v>
      </c>
      <c r="AW59" s="3" t="s">
        <v>162</v>
      </c>
      <c r="AX59" s="3"/>
      <c r="AY59" s="3" t="s">
        <v>144</v>
      </c>
      <c r="AZ59" s="3"/>
      <c r="BA59" s="3"/>
      <c r="BB59" s="3"/>
      <c r="BC59" s="3"/>
      <c r="BD59" s="3" t="s">
        <v>103</v>
      </c>
      <c r="BE59" s="3" t="s">
        <v>136</v>
      </c>
      <c r="BF59" s="3" t="s">
        <v>126</v>
      </c>
      <c r="BG59" s="3" t="s">
        <v>270</v>
      </c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>
        <f t="shared" si="8"/>
        <v>0.5</v>
      </c>
      <c r="CD59" s="3" t="s">
        <v>144</v>
      </c>
      <c r="CE59" s="3"/>
      <c r="CF59" s="3"/>
      <c r="CG59" s="3"/>
      <c r="CH59" s="3"/>
      <c r="CI59" s="3">
        <f>1/2</f>
        <v>0.5</v>
      </c>
      <c r="CJ59" s="3" t="s">
        <v>111</v>
      </c>
      <c r="CK59" s="3" t="s">
        <v>149</v>
      </c>
      <c r="CL59" s="3"/>
      <c r="CM59" s="3"/>
      <c r="CN59" s="3"/>
      <c r="CO59" s="3" t="s">
        <v>132</v>
      </c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</row>
    <row r="60" ht="15.75" customHeight="1">
      <c r="A60" s="3" t="s">
        <v>184</v>
      </c>
      <c r="B60" s="3" t="s">
        <v>162</v>
      </c>
      <c r="C60" s="3" t="s">
        <v>104</v>
      </c>
      <c r="D60" s="3"/>
      <c r="E60" s="3" t="s">
        <v>103</v>
      </c>
      <c r="F60" s="3"/>
      <c r="G60" s="3"/>
      <c r="H60" s="3" t="s">
        <v>353</v>
      </c>
      <c r="I60" s="3" t="s">
        <v>128</v>
      </c>
      <c r="J60" s="3" t="s">
        <v>136</v>
      </c>
      <c r="K60" s="3"/>
      <c r="L60" s="3" t="s">
        <v>354</v>
      </c>
      <c r="M60" s="3" t="s">
        <v>203</v>
      </c>
      <c r="N60" s="3" t="s">
        <v>355</v>
      </c>
      <c r="O60" s="3" t="s">
        <v>132</v>
      </c>
      <c r="P60" s="3"/>
      <c r="Q60" s="3" t="s">
        <v>203</v>
      </c>
      <c r="R60" s="3" t="s">
        <v>141</v>
      </c>
      <c r="S60" s="3" t="s">
        <v>262</v>
      </c>
      <c r="T60" s="3" t="s">
        <v>131</v>
      </c>
      <c r="U60" s="3" t="s">
        <v>356</v>
      </c>
      <c r="V60" s="3" t="s">
        <v>131</v>
      </c>
      <c r="W60" s="3"/>
      <c r="X60" s="3"/>
      <c r="Y60" s="3" t="s">
        <v>132</v>
      </c>
      <c r="Z60" s="3"/>
      <c r="AA60" s="3"/>
      <c r="AB60" s="3" t="s">
        <v>235</v>
      </c>
      <c r="AC60" s="3" t="s">
        <v>152</v>
      </c>
      <c r="AD60" s="3" t="s">
        <v>192</v>
      </c>
      <c r="AE60" s="3"/>
      <c r="AF60" s="3" t="s">
        <v>132</v>
      </c>
      <c r="AG60" s="3"/>
      <c r="AH60" s="3"/>
      <c r="AI60" s="3" t="s">
        <v>357</v>
      </c>
      <c r="AJ60" s="3" t="s">
        <v>358</v>
      </c>
      <c r="AK60" s="3"/>
      <c r="AL60" s="3" t="s">
        <v>335</v>
      </c>
      <c r="AM60" s="3" t="s">
        <v>199</v>
      </c>
      <c r="AN60" s="3"/>
      <c r="AO60" s="3"/>
      <c r="AP60" s="3" t="s">
        <v>119</v>
      </c>
      <c r="AQ60" s="3"/>
      <c r="AR60" s="3"/>
      <c r="AS60" s="3"/>
      <c r="AT60" s="3" t="s">
        <v>335</v>
      </c>
      <c r="AU60" s="3" t="s">
        <v>359</v>
      </c>
      <c r="AV60" s="3" t="s">
        <v>129</v>
      </c>
      <c r="AW60" s="3" t="s">
        <v>107</v>
      </c>
      <c r="AX60" s="3"/>
      <c r="AY60" s="3" t="s">
        <v>135</v>
      </c>
      <c r="AZ60" s="3" t="s">
        <v>132</v>
      </c>
      <c r="BA60" s="3" t="s">
        <v>140</v>
      </c>
      <c r="BB60" s="3"/>
      <c r="BC60" s="3"/>
      <c r="BD60" s="5">
        <f t="shared" ref="BD60:BD61" si="9">1 + (1/2)</f>
        <v>1.5</v>
      </c>
      <c r="BE60" s="3" t="s">
        <v>169</v>
      </c>
      <c r="BF60" s="3" t="s">
        <v>162</v>
      </c>
      <c r="BG60" s="3" t="s">
        <v>346</v>
      </c>
      <c r="BH60" s="3" t="s">
        <v>112</v>
      </c>
      <c r="BI60" s="3" t="s">
        <v>225</v>
      </c>
      <c r="BJ60" s="5">
        <f t="shared" ref="BJ60:BJ61" si="10">1 + (1/2)</f>
        <v>1.5</v>
      </c>
      <c r="BK60" s="3" t="s">
        <v>137</v>
      </c>
      <c r="BL60" s="3" t="s">
        <v>144</v>
      </c>
      <c r="BM60" s="3" t="s">
        <v>129</v>
      </c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>
        <f>1/3</f>
        <v>0.3333333333</v>
      </c>
      <c r="CD60" s="3" t="s">
        <v>154</v>
      </c>
      <c r="CE60" s="3"/>
      <c r="CF60" s="3"/>
      <c r="CG60" s="3"/>
      <c r="CH60" s="3"/>
      <c r="CI60" s="3" t="s">
        <v>129</v>
      </c>
      <c r="CJ60" s="3" t="s">
        <v>131</v>
      </c>
      <c r="CK60" s="3" t="s">
        <v>191</v>
      </c>
      <c r="CL60" s="3"/>
      <c r="CM60" s="3"/>
      <c r="CN60" s="3"/>
      <c r="CO60" s="3" t="s">
        <v>135</v>
      </c>
      <c r="CP60" s="3"/>
      <c r="CQ60" s="3"/>
      <c r="CR60" s="3"/>
      <c r="CS60" s="3"/>
      <c r="CT60" s="3"/>
      <c r="CU60" s="3"/>
      <c r="CV60" s="3"/>
      <c r="CW60" s="3"/>
      <c r="CX60" s="3" t="s">
        <v>137</v>
      </c>
      <c r="CY60" s="3" t="s">
        <v>136</v>
      </c>
      <c r="CZ60" s="3"/>
      <c r="DA60" s="3"/>
      <c r="DB60" s="3"/>
    </row>
    <row r="61" ht="15.75" customHeight="1">
      <c r="A61" s="3" t="s">
        <v>137</v>
      </c>
      <c r="B61" s="3" t="s">
        <v>162</v>
      </c>
      <c r="C61" s="3" t="s">
        <v>104</v>
      </c>
      <c r="D61" s="3"/>
      <c r="E61" s="3" t="s">
        <v>103</v>
      </c>
      <c r="F61" s="3"/>
      <c r="G61" s="3"/>
      <c r="H61" s="3" t="s">
        <v>270</v>
      </c>
      <c r="I61" s="3"/>
      <c r="J61" s="3" t="s">
        <v>137</v>
      </c>
      <c r="K61" s="3"/>
      <c r="L61" s="3" t="s">
        <v>275</v>
      </c>
      <c r="M61" s="3" t="s">
        <v>135</v>
      </c>
      <c r="N61" s="3" t="s">
        <v>109</v>
      </c>
      <c r="O61" s="3" t="s">
        <v>166</v>
      </c>
      <c r="P61" s="3"/>
      <c r="Q61" s="3" t="s">
        <v>131</v>
      </c>
      <c r="R61" s="3" t="s">
        <v>107</v>
      </c>
      <c r="S61" s="3" t="s">
        <v>360</v>
      </c>
      <c r="T61" s="3" t="s">
        <v>144</v>
      </c>
      <c r="U61" s="3" t="s">
        <v>211</v>
      </c>
      <c r="V61" s="3" t="s">
        <v>144</v>
      </c>
      <c r="W61" s="3"/>
      <c r="X61" s="3"/>
      <c r="Y61" s="3" t="s">
        <v>126</v>
      </c>
      <c r="Z61" s="3"/>
      <c r="AA61" s="3"/>
      <c r="AB61" s="3" t="s">
        <v>162</v>
      </c>
      <c r="AC61" s="3" t="s">
        <v>132</v>
      </c>
      <c r="AD61" s="3" t="s">
        <v>162</v>
      </c>
      <c r="AE61" s="3" t="s">
        <v>119</v>
      </c>
      <c r="AF61" s="3" t="s">
        <v>103</v>
      </c>
      <c r="AG61" s="3"/>
      <c r="AH61" s="3" t="s">
        <v>103</v>
      </c>
      <c r="AI61" s="3"/>
      <c r="AJ61" s="3" t="s">
        <v>161</v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 t="s">
        <v>103</v>
      </c>
      <c r="AW61" s="3" t="s">
        <v>166</v>
      </c>
      <c r="AX61" s="3"/>
      <c r="AY61" s="3" t="s">
        <v>154</v>
      </c>
      <c r="AZ61" s="3" t="s">
        <v>119</v>
      </c>
      <c r="BA61" s="3" t="s">
        <v>116</v>
      </c>
      <c r="BB61" s="3"/>
      <c r="BC61" s="3"/>
      <c r="BD61" s="5">
        <f t="shared" si="9"/>
        <v>1.5</v>
      </c>
      <c r="BE61" s="3" t="s">
        <v>107</v>
      </c>
      <c r="BF61" s="3" t="s">
        <v>129</v>
      </c>
      <c r="BG61" s="3" t="s">
        <v>131</v>
      </c>
      <c r="BH61" s="3" t="s">
        <v>126</v>
      </c>
      <c r="BI61" s="3" t="s">
        <v>137</v>
      </c>
      <c r="BJ61" s="5">
        <f t="shared" si="10"/>
        <v>1.5</v>
      </c>
      <c r="BK61" s="3" t="s">
        <v>149</v>
      </c>
      <c r="BL61" s="3"/>
      <c r="BM61" s="3" t="s">
        <v>137</v>
      </c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>
        <f>1/2</f>
        <v>0.5</v>
      </c>
      <c r="CD61" s="3" t="s">
        <v>149</v>
      </c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 t="s">
        <v>137</v>
      </c>
      <c r="CY61" s="3" t="s">
        <v>107</v>
      </c>
      <c r="CZ61" s="3"/>
      <c r="DA61" s="3"/>
      <c r="DB61" s="3"/>
    </row>
    <row r="62" ht="15.75" customHeight="1">
      <c r="A62" s="3" t="s">
        <v>103</v>
      </c>
      <c r="B62" s="3" t="s">
        <v>127</v>
      </c>
      <c r="C62" s="3" t="s">
        <v>104</v>
      </c>
      <c r="D62" s="3"/>
      <c r="E62" s="3"/>
      <c r="F62" s="3" t="s">
        <v>103</v>
      </c>
      <c r="G62" s="3"/>
      <c r="H62" s="3" t="s">
        <v>270</v>
      </c>
      <c r="I62" s="3" t="s">
        <v>154</v>
      </c>
      <c r="J62" s="3" t="s">
        <v>137</v>
      </c>
      <c r="K62" s="3"/>
      <c r="L62" s="3" t="s">
        <v>275</v>
      </c>
      <c r="M62" s="3" t="s">
        <v>135</v>
      </c>
      <c r="N62" s="3" t="s">
        <v>113</v>
      </c>
      <c r="O62" s="3" t="s">
        <v>144</v>
      </c>
      <c r="P62" s="3"/>
      <c r="Q62" s="3" t="s">
        <v>131</v>
      </c>
      <c r="R62" s="3" t="s">
        <v>162</v>
      </c>
      <c r="S62" s="3" t="s">
        <v>361</v>
      </c>
      <c r="T62" s="3" t="s">
        <v>154</v>
      </c>
      <c r="U62" s="3" t="s">
        <v>270</v>
      </c>
      <c r="V62" s="3" t="s">
        <v>131</v>
      </c>
      <c r="W62" s="3"/>
      <c r="X62" s="3"/>
      <c r="Y62" s="3" t="s">
        <v>126</v>
      </c>
      <c r="Z62" s="3"/>
      <c r="AA62" s="3"/>
      <c r="AB62" s="3" t="s">
        <v>152</v>
      </c>
      <c r="AC62" s="3" t="s">
        <v>132</v>
      </c>
      <c r="AD62" s="3" t="s">
        <v>184</v>
      </c>
      <c r="AE62" s="3" t="s">
        <v>107</v>
      </c>
      <c r="AF62" s="3"/>
      <c r="AG62" s="3"/>
      <c r="AH62" s="3"/>
      <c r="AI62" s="3"/>
      <c r="AJ62" s="3" t="s">
        <v>187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 t="s">
        <v>126</v>
      </c>
      <c r="AW62" s="3" t="s">
        <v>112</v>
      </c>
      <c r="AX62" s="3" t="s">
        <v>119</v>
      </c>
      <c r="AY62" s="3" t="s">
        <v>135</v>
      </c>
      <c r="AZ62" s="3" t="s">
        <v>126</v>
      </c>
      <c r="BA62" s="3" t="s">
        <v>127</v>
      </c>
      <c r="BB62" s="3"/>
      <c r="BC62" s="3"/>
      <c r="BD62" s="3"/>
      <c r="BE62" s="3"/>
      <c r="BF62" s="3" t="s">
        <v>162</v>
      </c>
      <c r="BG62" s="3" t="s">
        <v>109</v>
      </c>
      <c r="BH62" s="3"/>
      <c r="BI62" s="3"/>
      <c r="BJ62" s="3" t="s">
        <v>126</v>
      </c>
      <c r="BK62" s="3" t="s">
        <v>137</v>
      </c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>
        <f>1/4</f>
        <v>0.25</v>
      </c>
      <c r="CD62" s="3" t="s">
        <v>116</v>
      </c>
      <c r="CE62" s="3"/>
      <c r="CF62" s="3"/>
      <c r="CG62" s="3"/>
      <c r="CH62" s="3"/>
      <c r="CI62" s="3" t="s">
        <v>103</v>
      </c>
      <c r="CJ62" s="3" t="s">
        <v>149</v>
      </c>
      <c r="CK62" s="3" t="s">
        <v>109</v>
      </c>
      <c r="CL62" s="3"/>
      <c r="CM62" s="3"/>
      <c r="CN62" s="3"/>
      <c r="CO62" s="3" t="s">
        <v>154</v>
      </c>
      <c r="CP62" s="3"/>
      <c r="CQ62" s="3"/>
      <c r="CR62" s="3"/>
      <c r="CS62" s="3"/>
      <c r="CT62" s="3"/>
      <c r="CU62" s="3"/>
      <c r="CV62" s="3"/>
      <c r="CW62" s="3"/>
      <c r="CX62" s="3" t="s">
        <v>137</v>
      </c>
      <c r="CY62" s="3" t="s">
        <v>166</v>
      </c>
      <c r="CZ62" s="3"/>
      <c r="DA62" s="3"/>
      <c r="DB62" s="3"/>
    </row>
    <row r="63" ht="15.75" customHeight="1">
      <c r="A63" s="3" t="s">
        <v>126</v>
      </c>
      <c r="B63" s="3" t="s">
        <v>127</v>
      </c>
      <c r="C63" s="3" t="s">
        <v>104</v>
      </c>
      <c r="D63" s="3"/>
      <c r="E63" s="3" t="s">
        <v>103</v>
      </c>
      <c r="F63" s="3"/>
      <c r="G63" s="3"/>
      <c r="H63" s="3" t="s">
        <v>105</v>
      </c>
      <c r="I63" s="3"/>
      <c r="J63" s="3" t="s">
        <v>111</v>
      </c>
      <c r="K63" s="3"/>
      <c r="L63" s="3" t="s">
        <v>124</v>
      </c>
      <c r="M63" s="3" t="s">
        <v>106</v>
      </c>
      <c r="N63" s="3" t="s">
        <v>191</v>
      </c>
      <c r="O63" s="3" t="s">
        <v>166</v>
      </c>
      <c r="P63" s="4" t="s">
        <v>106</v>
      </c>
      <c r="Q63" s="3" t="s">
        <v>106</v>
      </c>
      <c r="R63" s="3" t="s">
        <v>149</v>
      </c>
      <c r="S63" s="3" t="s">
        <v>362</v>
      </c>
      <c r="T63" s="3" t="s">
        <v>167</v>
      </c>
      <c r="U63" s="3" t="s">
        <v>169</v>
      </c>
      <c r="V63" s="3" t="s">
        <v>149</v>
      </c>
      <c r="W63" s="3"/>
      <c r="X63" s="3"/>
      <c r="Y63" s="3" t="s">
        <v>119</v>
      </c>
      <c r="Z63" s="3"/>
      <c r="AA63" s="3"/>
      <c r="AB63" s="3" t="s">
        <v>127</v>
      </c>
      <c r="AC63" s="3" t="s">
        <v>162</v>
      </c>
      <c r="AD63" s="3" t="s">
        <v>112</v>
      </c>
      <c r="AE63" s="3"/>
      <c r="AF63" s="3" t="s">
        <v>119</v>
      </c>
      <c r="AG63" s="3" t="s">
        <v>126</v>
      </c>
      <c r="AH63" s="3"/>
      <c r="AI63" s="3"/>
      <c r="AJ63" s="3" t="s">
        <v>187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 t="s">
        <v>103</v>
      </c>
      <c r="AW63" s="3" t="s">
        <v>136</v>
      </c>
      <c r="AX63" s="3"/>
      <c r="AY63" s="3" t="s">
        <v>131</v>
      </c>
      <c r="AZ63" s="3"/>
      <c r="BA63" s="3"/>
      <c r="BB63" s="3" t="s">
        <v>103</v>
      </c>
      <c r="BC63" s="3" t="s">
        <v>184</v>
      </c>
      <c r="BD63" s="3" t="s">
        <v>103</v>
      </c>
      <c r="BE63" s="3" t="s">
        <v>136</v>
      </c>
      <c r="BF63" s="3" t="s">
        <v>132</v>
      </c>
      <c r="BG63" s="3" t="s">
        <v>106</v>
      </c>
      <c r="BH63" s="3"/>
      <c r="BI63" s="3"/>
      <c r="BJ63" s="3">
        <f>1/2</f>
        <v>0.5</v>
      </c>
      <c r="BK63" s="3" t="s">
        <v>162</v>
      </c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 t="s">
        <v>133</v>
      </c>
      <c r="BX63" s="3" t="s">
        <v>119</v>
      </c>
      <c r="BY63" s="3"/>
      <c r="BZ63" s="3"/>
      <c r="CA63" s="3"/>
      <c r="CB63" s="3"/>
      <c r="CC63" s="3">
        <f>3/4</f>
        <v>0.75</v>
      </c>
      <c r="CD63" s="3" t="s">
        <v>131</v>
      </c>
      <c r="CE63" s="3"/>
      <c r="CF63" s="3"/>
      <c r="CG63" s="3"/>
      <c r="CH63" s="3"/>
      <c r="CI63" s="3">
        <f>1/2</f>
        <v>0.5</v>
      </c>
      <c r="CJ63" s="3" t="s">
        <v>137</v>
      </c>
      <c r="CK63" s="3" t="s">
        <v>132</v>
      </c>
      <c r="CL63" s="3"/>
      <c r="CM63" s="3"/>
      <c r="CN63" s="3"/>
      <c r="CO63" s="3" t="s">
        <v>126</v>
      </c>
      <c r="CP63" s="3"/>
      <c r="CQ63" s="3"/>
      <c r="CR63" s="3"/>
      <c r="CS63" s="3"/>
      <c r="CT63" s="3"/>
      <c r="CU63" s="3"/>
      <c r="CV63" s="3"/>
      <c r="CW63" s="3"/>
      <c r="CX63" s="3" t="s">
        <v>112</v>
      </c>
      <c r="CY63" s="3" t="s">
        <v>235</v>
      </c>
      <c r="CZ63" s="3"/>
      <c r="DA63" s="3"/>
      <c r="DB63" s="3"/>
    </row>
    <row r="64" ht="15.75" customHeight="1">
      <c r="A64" s="3" t="s">
        <v>119</v>
      </c>
      <c r="B64" s="3" t="s">
        <v>127</v>
      </c>
      <c r="C64" s="3" t="s">
        <v>104</v>
      </c>
      <c r="D64" s="3"/>
      <c r="E64" s="3" t="s">
        <v>103</v>
      </c>
      <c r="F64" s="3"/>
      <c r="G64" s="3"/>
      <c r="H64" s="3" t="s">
        <v>154</v>
      </c>
      <c r="I64" s="3" t="s">
        <v>136</v>
      </c>
      <c r="J64" s="3" t="s">
        <v>144</v>
      </c>
      <c r="K64" s="3"/>
      <c r="L64" s="3" t="s">
        <v>142</v>
      </c>
      <c r="M64" s="3" t="s">
        <v>106</v>
      </c>
      <c r="N64" s="3" t="s">
        <v>191</v>
      </c>
      <c r="O64" s="3" t="s">
        <v>136</v>
      </c>
      <c r="P64" s="3"/>
      <c r="Q64" s="3" t="s">
        <v>109</v>
      </c>
      <c r="R64" s="3" t="s">
        <v>154</v>
      </c>
      <c r="S64" s="3" t="s">
        <v>288</v>
      </c>
      <c r="T64" s="3" t="s">
        <v>149</v>
      </c>
      <c r="U64" s="3" t="s">
        <v>149</v>
      </c>
      <c r="V64" s="3" t="s">
        <v>169</v>
      </c>
      <c r="W64" s="3"/>
      <c r="X64" s="3"/>
      <c r="Y64" s="3" t="s">
        <v>126</v>
      </c>
      <c r="Z64" s="3"/>
      <c r="AA64" s="3"/>
      <c r="AB64" s="3" t="s">
        <v>152</v>
      </c>
      <c r="AC64" s="3" t="s">
        <v>129</v>
      </c>
      <c r="AD64" s="3" t="s">
        <v>184</v>
      </c>
      <c r="AE64" s="3"/>
      <c r="AF64" s="3"/>
      <c r="AG64" s="3" t="s">
        <v>103</v>
      </c>
      <c r="AH64" s="3" t="s">
        <v>103</v>
      </c>
      <c r="AI64" s="3"/>
      <c r="AJ64" s="3" t="s">
        <v>358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 t="s">
        <v>132</v>
      </c>
      <c r="AW64" s="3" t="s">
        <v>127</v>
      </c>
      <c r="AX64" s="3"/>
      <c r="AY64" s="3" t="s">
        <v>154</v>
      </c>
      <c r="AZ64" s="3" t="s">
        <v>103</v>
      </c>
      <c r="BA64" s="3" t="s">
        <v>144</v>
      </c>
      <c r="BB64" s="3"/>
      <c r="BC64" s="3"/>
      <c r="BD64" s="3" t="s">
        <v>103</v>
      </c>
      <c r="BE64" s="3" t="s">
        <v>144</v>
      </c>
      <c r="BF64" s="3" t="s">
        <v>119</v>
      </c>
      <c r="BG64" s="3" t="s">
        <v>135</v>
      </c>
      <c r="BH64" s="3"/>
      <c r="BI64" s="3"/>
      <c r="BJ64" s="3" t="s">
        <v>103</v>
      </c>
      <c r="BK64" s="3" t="s">
        <v>107</v>
      </c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 t="s">
        <v>103</v>
      </c>
      <c r="CD64" s="3" t="s">
        <v>135</v>
      </c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 t="s">
        <v>137</v>
      </c>
      <c r="CY64" s="3" t="s">
        <v>136</v>
      </c>
      <c r="CZ64" s="3"/>
      <c r="DA64" s="3"/>
      <c r="DB64" s="3"/>
    </row>
    <row r="65" ht="15.75" customHeight="1">
      <c r="A65" s="3" t="s">
        <v>129</v>
      </c>
      <c r="B65" s="3" t="s">
        <v>127</v>
      </c>
      <c r="C65" s="3" t="s">
        <v>104</v>
      </c>
      <c r="D65" s="3"/>
      <c r="E65" s="3" t="s">
        <v>103</v>
      </c>
      <c r="F65" s="3"/>
      <c r="G65" s="3"/>
      <c r="H65" s="3" t="s">
        <v>363</v>
      </c>
      <c r="I65" s="3"/>
      <c r="J65" s="3" t="s">
        <v>144</v>
      </c>
      <c r="K65" s="3"/>
      <c r="L65" s="3" t="s">
        <v>284</v>
      </c>
      <c r="M65" s="3" t="s">
        <v>113</v>
      </c>
      <c r="N65" s="3" t="s">
        <v>147</v>
      </c>
      <c r="O65" s="3" t="s">
        <v>166</v>
      </c>
      <c r="P65" s="3"/>
      <c r="Q65" s="3" t="s">
        <v>203</v>
      </c>
      <c r="R65" s="3" t="s">
        <v>154</v>
      </c>
      <c r="S65" s="3" t="s">
        <v>358</v>
      </c>
      <c r="T65" s="3" t="s">
        <v>131</v>
      </c>
      <c r="U65" s="3" t="s">
        <v>225</v>
      </c>
      <c r="V65" s="3" t="s">
        <v>105</v>
      </c>
      <c r="W65" s="3"/>
      <c r="X65" s="3"/>
      <c r="Y65" s="3" t="s">
        <v>132</v>
      </c>
      <c r="Z65" s="3"/>
      <c r="AA65" s="3"/>
      <c r="AB65" s="3" t="s">
        <v>150</v>
      </c>
      <c r="AC65" s="3" t="s">
        <v>122</v>
      </c>
      <c r="AD65" s="3" t="s">
        <v>150</v>
      </c>
      <c r="AE65" s="3"/>
      <c r="AF65" s="3" t="s">
        <v>127</v>
      </c>
      <c r="AG65" s="3" t="s">
        <v>103</v>
      </c>
      <c r="AH65" s="3"/>
      <c r="AI65" s="3"/>
      <c r="AJ65" s="3" t="s">
        <v>262</v>
      </c>
      <c r="AK65" s="3"/>
      <c r="AL65" s="3" t="s">
        <v>192</v>
      </c>
      <c r="AM65" s="3" t="s">
        <v>235</v>
      </c>
      <c r="AN65" s="3"/>
      <c r="AO65" s="3" t="s">
        <v>166</v>
      </c>
      <c r="AP65" s="3"/>
      <c r="AQ65" s="3"/>
      <c r="AR65" s="3"/>
      <c r="AS65" s="3"/>
      <c r="AT65" s="3" t="s">
        <v>192</v>
      </c>
      <c r="AU65" s="3" t="s">
        <v>345</v>
      </c>
      <c r="AV65" s="3" t="s">
        <v>126</v>
      </c>
      <c r="AW65" s="3" t="s">
        <v>122</v>
      </c>
      <c r="AX65" s="3"/>
      <c r="AY65" s="3" t="s">
        <v>211</v>
      </c>
      <c r="AZ65" s="3" t="s">
        <v>129</v>
      </c>
      <c r="BA65" s="3" t="s">
        <v>118</v>
      </c>
      <c r="BB65" s="3"/>
      <c r="BC65" s="3"/>
      <c r="BD65" s="3" t="s">
        <v>129</v>
      </c>
      <c r="BE65" s="3" t="s">
        <v>223</v>
      </c>
      <c r="BF65" s="3" t="s">
        <v>126</v>
      </c>
      <c r="BG65" s="3" t="s">
        <v>131</v>
      </c>
      <c r="BH65" s="3"/>
      <c r="BI65" s="3"/>
      <c r="BJ65" s="5">
        <f>1 + (1/2)</f>
        <v>1.5</v>
      </c>
      <c r="BK65" s="3" t="s">
        <v>107</v>
      </c>
      <c r="BL65" s="3" t="s">
        <v>107</v>
      </c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>
        <f>1/2</f>
        <v>0.5</v>
      </c>
      <c r="CD65" s="3" t="s">
        <v>116</v>
      </c>
      <c r="CE65" s="3"/>
      <c r="CF65" s="3"/>
      <c r="CG65" s="3"/>
      <c r="CH65" s="3"/>
      <c r="CI65" s="3">
        <f>3/4</f>
        <v>0.75</v>
      </c>
      <c r="CJ65" s="3" t="s">
        <v>137</v>
      </c>
      <c r="CK65" s="3" t="s">
        <v>149</v>
      </c>
      <c r="CL65" s="3"/>
      <c r="CM65" s="3"/>
      <c r="CN65" s="3"/>
      <c r="CO65" s="3" t="s">
        <v>107</v>
      </c>
      <c r="CP65" s="3"/>
      <c r="CQ65" s="3"/>
      <c r="CR65" s="3"/>
      <c r="CS65" s="3"/>
      <c r="CT65" s="3"/>
      <c r="CU65" s="3"/>
      <c r="CV65" s="3"/>
      <c r="CW65" s="3"/>
      <c r="CX65" s="3" t="s">
        <v>137</v>
      </c>
      <c r="CY65" s="3" t="s">
        <v>136</v>
      </c>
      <c r="CZ65" s="3"/>
      <c r="DA65" s="3"/>
      <c r="DB65" s="3"/>
    </row>
    <row r="66" ht="15.75" customHeight="1">
      <c r="A66" s="3" t="s">
        <v>132</v>
      </c>
      <c r="B66" s="3" t="s">
        <v>127</v>
      </c>
      <c r="C66" s="3" t="s">
        <v>104</v>
      </c>
      <c r="D66" s="3"/>
      <c r="E66" s="3"/>
      <c r="F66" s="3" t="s">
        <v>103</v>
      </c>
      <c r="G66" s="3"/>
      <c r="H66" s="3" t="s">
        <v>144</v>
      </c>
      <c r="I66" s="3"/>
      <c r="J66" s="3" t="s">
        <v>235</v>
      </c>
      <c r="K66" s="3"/>
      <c r="L66" s="3" t="s">
        <v>139</v>
      </c>
      <c r="M66" s="3"/>
      <c r="N66" s="3" t="s">
        <v>106</v>
      </c>
      <c r="O66" s="3" t="s">
        <v>107</v>
      </c>
      <c r="P66" s="3"/>
      <c r="Q66" s="3" t="s">
        <v>131</v>
      </c>
      <c r="R66" s="3" t="s">
        <v>111</v>
      </c>
      <c r="S66" s="3" t="s">
        <v>364</v>
      </c>
      <c r="T66" s="3" t="s">
        <v>107</v>
      </c>
      <c r="U66" s="3" t="s">
        <v>132</v>
      </c>
      <c r="V66" s="3" t="s">
        <v>166</v>
      </c>
      <c r="W66" s="3"/>
      <c r="X66" s="3"/>
      <c r="Y66" s="3" t="s">
        <v>103</v>
      </c>
      <c r="Z66" s="3"/>
      <c r="AA66" s="3"/>
      <c r="AB66" s="3" t="s">
        <v>126</v>
      </c>
      <c r="AC66" s="3"/>
      <c r="AD66" s="3" t="s">
        <v>126</v>
      </c>
      <c r="AE66" s="3"/>
      <c r="AF66" s="3"/>
      <c r="AG66" s="3"/>
      <c r="AH66" s="3" t="s">
        <v>103</v>
      </c>
      <c r="AI66" s="3"/>
      <c r="AJ66" s="3" t="s">
        <v>113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 t="s">
        <v>103</v>
      </c>
      <c r="AW66" s="3" t="s">
        <v>137</v>
      </c>
      <c r="AX66" s="3"/>
      <c r="AY66" s="3" t="s">
        <v>136</v>
      </c>
      <c r="AZ66" s="3"/>
      <c r="BA66" s="3"/>
      <c r="BB66" s="3"/>
      <c r="BC66" s="3"/>
      <c r="BD66" s="3"/>
      <c r="BE66" s="3"/>
      <c r="BF66" s="5">
        <f>1 + (1/4)</f>
        <v>1.25</v>
      </c>
      <c r="BG66" s="3" t="s">
        <v>149</v>
      </c>
      <c r="BH66" s="3"/>
      <c r="BI66" s="3"/>
      <c r="BJ66" s="3"/>
      <c r="BK66" s="3"/>
      <c r="BL66" s="3"/>
      <c r="BM66" s="3" t="s">
        <v>144</v>
      </c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>
        <f>1/3</f>
        <v>0.3333333333</v>
      </c>
      <c r="CJ66" s="3" t="s">
        <v>112</v>
      </c>
      <c r="CK66" s="3" t="s">
        <v>136</v>
      </c>
      <c r="CL66" s="3"/>
      <c r="CM66" s="3"/>
      <c r="CN66" s="3"/>
      <c r="CO66" s="3" t="s">
        <v>119</v>
      </c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</row>
    <row r="67" ht="15.75" customHeight="1">
      <c r="A67" s="3" t="s">
        <v>162</v>
      </c>
      <c r="B67" s="3" t="s">
        <v>127</v>
      </c>
      <c r="C67" s="3" t="s">
        <v>104</v>
      </c>
      <c r="D67" s="3"/>
      <c r="E67" s="3" t="s">
        <v>103</v>
      </c>
      <c r="F67" s="3"/>
      <c r="G67" s="3"/>
      <c r="H67" s="3" t="s">
        <v>116</v>
      </c>
      <c r="I67" s="3"/>
      <c r="J67" s="3" t="s">
        <v>166</v>
      </c>
      <c r="K67" s="3"/>
      <c r="L67" s="3" t="s">
        <v>275</v>
      </c>
      <c r="M67" s="3" t="s">
        <v>109</v>
      </c>
      <c r="N67" s="3" t="s">
        <v>365</v>
      </c>
      <c r="O67" s="3" t="s">
        <v>132</v>
      </c>
      <c r="P67" s="3"/>
      <c r="Q67" s="3" t="s">
        <v>218</v>
      </c>
      <c r="R67" s="3" t="s">
        <v>162</v>
      </c>
      <c r="S67" s="3" t="s">
        <v>360</v>
      </c>
      <c r="T67" s="3" t="s">
        <v>107</v>
      </c>
      <c r="U67" s="3" t="s">
        <v>149</v>
      </c>
      <c r="V67" s="3" t="s">
        <v>136</v>
      </c>
      <c r="W67" s="3"/>
      <c r="X67" s="3"/>
      <c r="Y67" s="3" t="s">
        <v>129</v>
      </c>
      <c r="Z67" s="3"/>
      <c r="AA67" s="3"/>
      <c r="AB67" s="3" t="s">
        <v>129</v>
      </c>
      <c r="AC67" s="3" t="s">
        <v>119</v>
      </c>
      <c r="AD67" s="3" t="s">
        <v>129</v>
      </c>
      <c r="AE67" s="3" t="s">
        <v>103</v>
      </c>
      <c r="AF67" s="3" t="s">
        <v>103</v>
      </c>
      <c r="AG67" s="3"/>
      <c r="AH67" s="3"/>
      <c r="AI67" s="3"/>
      <c r="AJ67" s="3" t="s">
        <v>161</v>
      </c>
      <c r="AK67" s="3"/>
      <c r="AL67" s="3" t="s">
        <v>149</v>
      </c>
      <c r="AM67" s="3" t="s">
        <v>107</v>
      </c>
      <c r="AN67" s="3" t="s">
        <v>119</v>
      </c>
      <c r="AO67" s="3" t="s">
        <v>137</v>
      </c>
      <c r="AP67" s="3"/>
      <c r="AQ67" s="3" t="s">
        <v>126</v>
      </c>
      <c r="AR67" s="3" t="s">
        <v>126</v>
      </c>
      <c r="AS67" s="3"/>
      <c r="AT67" s="3" t="s">
        <v>149</v>
      </c>
      <c r="AU67" s="3" t="s">
        <v>339</v>
      </c>
      <c r="AV67" s="3" t="s">
        <v>103</v>
      </c>
      <c r="AW67" s="3" t="s">
        <v>127</v>
      </c>
      <c r="AX67" s="3"/>
      <c r="AY67" s="3" t="s">
        <v>144</v>
      </c>
      <c r="AZ67" s="3"/>
      <c r="BA67" s="3"/>
      <c r="BB67" s="3"/>
      <c r="BC67" s="3"/>
      <c r="BD67" s="3"/>
      <c r="BE67" s="3"/>
      <c r="BF67" s="3" t="s">
        <v>119</v>
      </c>
      <c r="BG67" s="3" t="s">
        <v>135</v>
      </c>
      <c r="BH67" s="3"/>
      <c r="BI67" s="3"/>
      <c r="BJ67" s="3" t="s">
        <v>103</v>
      </c>
      <c r="BK67" s="3" t="s">
        <v>107</v>
      </c>
      <c r="BL67" s="3" t="s">
        <v>162</v>
      </c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>
        <f>1/2</f>
        <v>0.5</v>
      </c>
      <c r="CD67" s="3" t="s">
        <v>149</v>
      </c>
      <c r="CE67" s="3"/>
      <c r="CF67" s="3"/>
      <c r="CG67" s="3"/>
      <c r="CH67" s="3"/>
      <c r="CI67" s="3">
        <f>3/4</f>
        <v>0.75</v>
      </c>
      <c r="CJ67" s="3" t="s">
        <v>154</v>
      </c>
      <c r="CK67" s="3" t="s">
        <v>136</v>
      </c>
      <c r="CL67" s="3"/>
      <c r="CM67" s="3"/>
      <c r="CN67" s="3"/>
      <c r="CO67" s="3" t="s">
        <v>166</v>
      </c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</row>
    <row r="68" ht="15.75" customHeight="1">
      <c r="A68" s="3" t="s">
        <v>127</v>
      </c>
      <c r="B68" s="3" t="s">
        <v>127</v>
      </c>
      <c r="C68" s="3" t="s">
        <v>104</v>
      </c>
      <c r="D68" s="3"/>
      <c r="E68" s="3" t="s">
        <v>103</v>
      </c>
      <c r="F68" s="3"/>
      <c r="G68" s="3"/>
      <c r="H68" s="3" t="s">
        <v>366</v>
      </c>
      <c r="I68" s="3"/>
      <c r="J68" s="3" t="s">
        <v>137</v>
      </c>
      <c r="K68" s="3"/>
      <c r="L68" s="3" t="s">
        <v>275</v>
      </c>
      <c r="M68" s="3" t="s">
        <v>109</v>
      </c>
      <c r="N68" s="3" t="s">
        <v>191</v>
      </c>
      <c r="O68" s="3" t="s">
        <v>154</v>
      </c>
      <c r="P68" s="3" t="s">
        <v>111</v>
      </c>
      <c r="Q68" s="3" t="s">
        <v>203</v>
      </c>
      <c r="R68" s="3" t="s">
        <v>188</v>
      </c>
      <c r="S68" s="3" t="s">
        <v>367</v>
      </c>
      <c r="T68" s="3" t="s">
        <v>136</v>
      </c>
      <c r="U68" s="3" t="s">
        <v>368</v>
      </c>
      <c r="V68" s="3" t="s">
        <v>169</v>
      </c>
      <c r="W68" s="3"/>
      <c r="X68" s="3"/>
      <c r="Y68" s="3" t="s">
        <v>119</v>
      </c>
      <c r="Z68" s="3"/>
      <c r="AA68" s="3"/>
      <c r="AB68" s="3" t="s">
        <v>112</v>
      </c>
      <c r="AC68" s="3" t="s">
        <v>112</v>
      </c>
      <c r="AD68" s="3" t="s">
        <v>137</v>
      </c>
      <c r="AE68" s="3"/>
      <c r="AF68" s="3" t="s">
        <v>126</v>
      </c>
      <c r="AG68" s="3" t="s">
        <v>103</v>
      </c>
      <c r="AH68" s="3"/>
      <c r="AI68" s="3"/>
      <c r="AJ68" s="3" t="s">
        <v>139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 t="s">
        <v>119</v>
      </c>
      <c r="AW68" s="3" t="s">
        <v>144</v>
      </c>
      <c r="AX68" s="3"/>
      <c r="AY68" s="3" t="s">
        <v>106</v>
      </c>
      <c r="AZ68" s="3"/>
      <c r="BA68" s="3"/>
      <c r="BB68" s="3"/>
      <c r="BC68" s="3"/>
      <c r="BD68" s="3" t="s">
        <v>126</v>
      </c>
      <c r="BE68" s="3" t="s">
        <v>154</v>
      </c>
      <c r="BF68" s="3" t="s">
        <v>126</v>
      </c>
      <c r="BG68" s="3" t="s">
        <v>305</v>
      </c>
      <c r="BH68" s="3"/>
      <c r="BI68" s="3"/>
      <c r="BJ68" s="5">
        <f>3 + (1/2)</f>
        <v>3.5</v>
      </c>
      <c r="BK68" s="3" t="s">
        <v>116</v>
      </c>
      <c r="BL68" s="3" t="s">
        <v>166</v>
      </c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 t="s">
        <v>103</v>
      </c>
      <c r="CD68" s="3" t="s">
        <v>131</v>
      </c>
      <c r="CE68" s="3"/>
      <c r="CF68" s="3"/>
      <c r="CG68" s="3"/>
      <c r="CH68" s="3"/>
      <c r="CI68" s="3" t="s">
        <v>103</v>
      </c>
      <c r="CJ68" s="3" t="s">
        <v>136</v>
      </c>
      <c r="CK68" s="3" t="s">
        <v>106</v>
      </c>
      <c r="CL68" s="3"/>
      <c r="CM68" s="3"/>
      <c r="CN68" s="3"/>
      <c r="CO68" s="3" t="s">
        <v>120</v>
      </c>
      <c r="CP68" s="3"/>
      <c r="CQ68" s="3"/>
      <c r="CR68" s="3"/>
      <c r="CS68" s="3"/>
      <c r="CT68" s="3"/>
      <c r="CU68" s="3"/>
      <c r="CV68" s="3"/>
      <c r="CW68" s="3"/>
      <c r="CX68" s="3" t="s">
        <v>166</v>
      </c>
      <c r="CY68" s="3" t="s">
        <v>169</v>
      </c>
      <c r="CZ68" s="3"/>
      <c r="DA68" s="3"/>
      <c r="DB68" s="3"/>
    </row>
    <row r="69" ht="15.75" customHeight="1">
      <c r="A69" s="3" t="s">
        <v>112</v>
      </c>
      <c r="B69" s="3" t="s">
        <v>127</v>
      </c>
      <c r="C69" s="3" t="s">
        <v>104</v>
      </c>
      <c r="D69" s="3"/>
      <c r="E69" s="3" t="s">
        <v>103</v>
      </c>
      <c r="F69" s="3"/>
      <c r="G69" s="3"/>
      <c r="H69" s="3" t="s">
        <v>241</v>
      </c>
      <c r="I69" s="3"/>
      <c r="J69" s="3" t="s">
        <v>144</v>
      </c>
      <c r="K69" s="3"/>
      <c r="L69" s="3" t="s">
        <v>354</v>
      </c>
      <c r="M69" s="3" t="s">
        <v>113</v>
      </c>
      <c r="N69" s="3" t="s">
        <v>369</v>
      </c>
      <c r="O69" s="3" t="s">
        <v>132</v>
      </c>
      <c r="P69" s="3"/>
      <c r="Q69" s="3" t="s">
        <v>370</v>
      </c>
      <c r="R69" s="3" t="s">
        <v>164</v>
      </c>
      <c r="S69" s="3" t="s">
        <v>371</v>
      </c>
      <c r="T69" s="3" t="s">
        <v>270</v>
      </c>
      <c r="U69" s="3" t="s">
        <v>372</v>
      </c>
      <c r="V69" s="3" t="s">
        <v>135</v>
      </c>
      <c r="W69" s="3"/>
      <c r="X69" s="3"/>
      <c r="Y69" s="3" t="s">
        <v>127</v>
      </c>
      <c r="Z69" s="3"/>
      <c r="AA69" s="3"/>
      <c r="AB69" s="3" t="s">
        <v>237</v>
      </c>
      <c r="AC69" s="3" t="s">
        <v>119</v>
      </c>
      <c r="AD69" s="3" t="s">
        <v>199</v>
      </c>
      <c r="AE69" s="3"/>
      <c r="AF69" s="3"/>
      <c r="AG69" s="3" t="s">
        <v>126</v>
      </c>
      <c r="AH69" s="3"/>
      <c r="AI69" s="3"/>
      <c r="AJ69" s="3" t="s">
        <v>373</v>
      </c>
      <c r="AK69" s="3"/>
      <c r="AL69" s="3" t="s">
        <v>279</v>
      </c>
      <c r="AM69" s="3" t="s">
        <v>144</v>
      </c>
      <c r="AN69" s="3" t="s">
        <v>296</v>
      </c>
      <c r="AO69" s="3" t="s">
        <v>235</v>
      </c>
      <c r="AP69" s="3" t="s">
        <v>119</v>
      </c>
      <c r="AQ69" s="3"/>
      <c r="AR69" s="3"/>
      <c r="AS69" s="3"/>
      <c r="AT69" s="3" t="s">
        <v>299</v>
      </c>
      <c r="AU69" s="3" t="s">
        <v>374</v>
      </c>
      <c r="AV69" s="3" t="s">
        <v>122</v>
      </c>
      <c r="AW69" s="3" t="s">
        <v>122</v>
      </c>
      <c r="AX69" s="3"/>
      <c r="AY69" s="3" t="s">
        <v>154</v>
      </c>
      <c r="AZ69" s="3" t="s">
        <v>126</v>
      </c>
      <c r="BA69" s="3" t="s">
        <v>116</v>
      </c>
      <c r="BB69" s="3"/>
      <c r="BC69" s="3"/>
      <c r="BD69" s="3" t="s">
        <v>162</v>
      </c>
      <c r="BE69" s="3" t="s">
        <v>106</v>
      </c>
      <c r="BF69" s="3" t="s">
        <v>137</v>
      </c>
      <c r="BG69" s="3" t="s">
        <v>191</v>
      </c>
      <c r="BH69" s="3"/>
      <c r="BI69" s="3"/>
      <c r="BJ69" s="3" t="s">
        <v>126</v>
      </c>
      <c r="BK69" s="3" t="s">
        <v>169</v>
      </c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>
        <f t="shared" ref="CC69:CC70" si="11">1/2</f>
        <v>0.5</v>
      </c>
      <c r="CD69" s="3" t="s">
        <v>149</v>
      </c>
      <c r="CE69" s="3"/>
      <c r="CF69" s="3"/>
      <c r="CG69" s="3"/>
      <c r="CH69" s="3"/>
      <c r="CI69" s="3">
        <f>1/2</f>
        <v>0.5</v>
      </c>
      <c r="CJ69" s="3" t="s">
        <v>154</v>
      </c>
      <c r="CK69" s="3" t="s">
        <v>135</v>
      </c>
      <c r="CL69" s="3"/>
      <c r="CM69" s="3"/>
      <c r="CN69" s="3"/>
      <c r="CO69" s="3" t="s">
        <v>154</v>
      </c>
      <c r="CP69" s="3"/>
      <c r="CQ69" s="3"/>
      <c r="CR69" s="3"/>
      <c r="CS69" s="3"/>
      <c r="CT69" s="3"/>
      <c r="CU69" s="3"/>
      <c r="CV69" s="3"/>
      <c r="CW69" s="3"/>
      <c r="CX69" s="3" t="s">
        <v>144</v>
      </c>
      <c r="CY69" s="3" t="s">
        <v>154</v>
      </c>
      <c r="CZ69" s="3"/>
      <c r="DA69" s="3"/>
      <c r="DB69" s="3"/>
    </row>
    <row r="70" ht="15.75" customHeight="1">
      <c r="A70" s="3" t="s">
        <v>184</v>
      </c>
      <c r="B70" s="3" t="s">
        <v>127</v>
      </c>
      <c r="C70" s="3" t="s">
        <v>104</v>
      </c>
      <c r="D70" s="3"/>
      <c r="E70" s="3"/>
      <c r="F70" s="3"/>
      <c r="G70" s="3" t="s">
        <v>103</v>
      </c>
      <c r="H70" s="3" t="s">
        <v>131</v>
      </c>
      <c r="I70" s="3"/>
      <c r="J70" s="3" t="s">
        <v>144</v>
      </c>
      <c r="K70" s="3"/>
      <c r="L70" s="3" t="s">
        <v>275</v>
      </c>
      <c r="M70" s="3" t="s">
        <v>135</v>
      </c>
      <c r="N70" s="3" t="s">
        <v>375</v>
      </c>
      <c r="O70" s="3" t="s">
        <v>132</v>
      </c>
      <c r="P70" s="3"/>
      <c r="Q70" s="3" t="s">
        <v>144</v>
      </c>
      <c r="R70" s="3" t="s">
        <v>129</v>
      </c>
      <c r="S70" s="3" t="s">
        <v>176</v>
      </c>
      <c r="T70" s="3" t="s">
        <v>167</v>
      </c>
      <c r="U70" s="3" t="s">
        <v>149</v>
      </c>
      <c r="V70" s="3" t="s">
        <v>167</v>
      </c>
      <c r="W70" s="3"/>
      <c r="X70" s="3"/>
      <c r="Y70" s="3" t="s">
        <v>126</v>
      </c>
      <c r="Z70" s="3"/>
      <c r="AA70" s="3"/>
      <c r="AB70" s="3" t="s">
        <v>111</v>
      </c>
      <c r="AC70" s="3" t="s">
        <v>119</v>
      </c>
      <c r="AD70" s="3" t="s">
        <v>162</v>
      </c>
      <c r="AE70" s="3" t="s">
        <v>119</v>
      </c>
      <c r="AF70" s="3" t="s">
        <v>126</v>
      </c>
      <c r="AG70" s="3" t="s">
        <v>103</v>
      </c>
      <c r="AH70" s="3"/>
      <c r="AI70" s="3"/>
      <c r="AJ70" s="3" t="s">
        <v>187</v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 t="s">
        <v>126</v>
      </c>
      <c r="AW70" s="3" t="s">
        <v>156</v>
      </c>
      <c r="AX70" s="3"/>
      <c r="AY70" s="3" t="s">
        <v>298</v>
      </c>
      <c r="AZ70" s="3"/>
      <c r="BA70" s="3"/>
      <c r="BB70" s="3"/>
      <c r="BC70" s="3"/>
      <c r="BD70" s="3" t="s">
        <v>103</v>
      </c>
      <c r="BE70" s="3" t="s">
        <v>144</v>
      </c>
      <c r="BF70" s="3" t="s">
        <v>112</v>
      </c>
      <c r="BG70" s="3" t="s">
        <v>117</v>
      </c>
      <c r="BH70" s="3"/>
      <c r="BI70" s="3"/>
      <c r="BJ70" s="3"/>
      <c r="BK70" s="3"/>
      <c r="BL70" s="3"/>
      <c r="BM70" s="3" t="s">
        <v>129</v>
      </c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>
        <f t="shared" si="11"/>
        <v>0.5</v>
      </c>
      <c r="CD70" s="3" t="s">
        <v>298</v>
      </c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 t="s">
        <v>111</v>
      </c>
      <c r="CY70" s="4" t="s">
        <v>177</v>
      </c>
      <c r="CZ70" s="3"/>
      <c r="DA70" s="3"/>
      <c r="DB70" s="3"/>
    </row>
    <row r="71" ht="15.75" customHeight="1">
      <c r="A71" s="3" t="s">
        <v>137</v>
      </c>
      <c r="B71" s="3" t="s">
        <v>127</v>
      </c>
      <c r="C71" s="3" t="s">
        <v>104</v>
      </c>
      <c r="D71" s="3"/>
      <c r="E71" s="3" t="s">
        <v>103</v>
      </c>
      <c r="F71" s="3"/>
      <c r="G71" s="3"/>
      <c r="H71" s="3" t="s">
        <v>376</v>
      </c>
      <c r="I71" s="3"/>
      <c r="J71" s="3" t="s">
        <v>127</v>
      </c>
      <c r="K71" s="3"/>
      <c r="L71" s="3" t="s">
        <v>316</v>
      </c>
      <c r="M71" s="3" t="s">
        <v>135</v>
      </c>
      <c r="N71" s="3" t="s">
        <v>163</v>
      </c>
      <c r="O71" s="3" t="s">
        <v>137</v>
      </c>
      <c r="P71" s="3"/>
      <c r="Q71" s="3" t="s">
        <v>203</v>
      </c>
      <c r="R71" s="3" t="s">
        <v>188</v>
      </c>
      <c r="S71" s="3" t="s">
        <v>377</v>
      </c>
      <c r="T71" s="3" t="s">
        <v>116</v>
      </c>
      <c r="U71" s="3" t="s">
        <v>378</v>
      </c>
      <c r="V71" s="3" t="s">
        <v>116</v>
      </c>
      <c r="W71" s="3"/>
      <c r="X71" s="3"/>
      <c r="Y71" s="3" t="s">
        <v>119</v>
      </c>
      <c r="Z71" s="3"/>
      <c r="AA71" s="3"/>
      <c r="AB71" s="3" t="s">
        <v>137</v>
      </c>
      <c r="AC71" s="4" t="s">
        <v>103</v>
      </c>
      <c r="AD71" s="3" t="s">
        <v>122</v>
      </c>
      <c r="AE71" s="3"/>
      <c r="AF71" s="3"/>
      <c r="AG71" s="3"/>
      <c r="AH71" s="3" t="s">
        <v>103</v>
      </c>
      <c r="AI71" s="3"/>
      <c r="AJ71" s="3" t="s">
        <v>229</v>
      </c>
      <c r="AK71" s="3"/>
      <c r="AL71" s="3" t="s">
        <v>199</v>
      </c>
      <c r="AM71" s="3" t="s">
        <v>162</v>
      </c>
      <c r="AN71" s="3"/>
      <c r="AO71" s="3"/>
      <c r="AP71" s="3"/>
      <c r="AQ71" s="3"/>
      <c r="AR71" s="3" t="s">
        <v>126</v>
      </c>
      <c r="AS71" s="3"/>
      <c r="AT71" s="3" t="s">
        <v>199</v>
      </c>
      <c r="AU71" s="3" t="s">
        <v>379</v>
      </c>
      <c r="AV71" s="3" t="s">
        <v>126</v>
      </c>
      <c r="AW71" s="3" t="s">
        <v>107</v>
      </c>
      <c r="AX71" s="3"/>
      <c r="AY71" s="3" t="s">
        <v>116</v>
      </c>
      <c r="AZ71" s="3"/>
      <c r="BA71" s="3"/>
      <c r="BB71" s="3"/>
      <c r="BC71" s="3"/>
      <c r="BD71" s="5">
        <f>2 + (1/2)</f>
        <v>2.5</v>
      </c>
      <c r="BE71" s="3" t="s">
        <v>144</v>
      </c>
      <c r="BF71" s="3" t="s">
        <v>112</v>
      </c>
      <c r="BG71" s="3" t="s">
        <v>109</v>
      </c>
      <c r="BH71" s="3"/>
      <c r="BI71" s="3"/>
      <c r="BJ71" s="3" t="s">
        <v>126</v>
      </c>
      <c r="BK71" s="3" t="s">
        <v>136</v>
      </c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 t="s">
        <v>109</v>
      </c>
      <c r="BX71" s="3"/>
      <c r="BY71" s="3"/>
      <c r="BZ71" s="3"/>
      <c r="CA71" s="3"/>
      <c r="CB71" s="3"/>
      <c r="CC71" s="3" t="s">
        <v>126</v>
      </c>
      <c r="CD71" s="3" t="s">
        <v>134</v>
      </c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 t="s">
        <v>137</v>
      </c>
      <c r="CY71" s="3" t="s">
        <v>144</v>
      </c>
      <c r="CZ71" s="3"/>
      <c r="DA71" s="3"/>
      <c r="DB71" s="3"/>
    </row>
    <row r="72" ht="15.75" customHeight="1">
      <c r="A72" s="3" t="s">
        <v>103</v>
      </c>
      <c r="B72" s="3" t="s">
        <v>112</v>
      </c>
      <c r="C72" s="3" t="s">
        <v>104</v>
      </c>
      <c r="D72" s="3"/>
      <c r="E72" s="3" t="s">
        <v>103</v>
      </c>
      <c r="F72" s="3"/>
      <c r="G72" s="3"/>
      <c r="H72" s="3" t="s">
        <v>137</v>
      </c>
      <c r="I72" s="3"/>
      <c r="J72" s="3"/>
      <c r="K72" s="3" t="s">
        <v>150</v>
      </c>
      <c r="L72" s="3" t="s">
        <v>202</v>
      </c>
      <c r="M72" s="3"/>
      <c r="N72" s="3" t="s">
        <v>106</v>
      </c>
      <c r="O72" s="3"/>
      <c r="P72" s="3"/>
      <c r="Q72" s="3"/>
      <c r="R72" s="3"/>
      <c r="S72" s="3" t="s">
        <v>140</v>
      </c>
      <c r="T72" s="3" t="s">
        <v>162</v>
      </c>
      <c r="U72" s="3" t="s">
        <v>148</v>
      </c>
      <c r="V72" s="3" t="s">
        <v>127</v>
      </c>
      <c r="W72" s="3"/>
      <c r="X72" s="3"/>
      <c r="Y72" s="3" t="s">
        <v>103</v>
      </c>
      <c r="Z72" s="3"/>
      <c r="AA72" s="3"/>
      <c r="AB72" s="3" t="s">
        <v>103</v>
      </c>
      <c r="AC72" s="3"/>
      <c r="AD72" s="3" t="s">
        <v>103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 t="s">
        <v>126</v>
      </c>
      <c r="AW72" s="3" t="s">
        <v>150</v>
      </c>
      <c r="AX72" s="3"/>
      <c r="AY72" s="4" t="s">
        <v>137</v>
      </c>
      <c r="AZ72" s="3"/>
      <c r="BA72" s="3"/>
      <c r="BB72" s="3"/>
      <c r="BC72" s="3"/>
      <c r="BD72" s="3" t="s">
        <v>103</v>
      </c>
      <c r="BE72" s="3" t="s">
        <v>144</v>
      </c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>
        <f>1/2</f>
        <v>0.5</v>
      </c>
      <c r="CD72" s="3" t="s">
        <v>116</v>
      </c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</row>
    <row r="73" ht="15.75" customHeight="1">
      <c r="A73" s="3" t="s">
        <v>126</v>
      </c>
      <c r="B73" s="3" t="s">
        <v>112</v>
      </c>
      <c r="C73" s="3" t="s">
        <v>104</v>
      </c>
      <c r="D73" s="3"/>
      <c r="E73" s="3" t="s">
        <v>103</v>
      </c>
      <c r="F73" s="3"/>
      <c r="G73" s="3"/>
      <c r="H73" s="3" t="s">
        <v>179</v>
      </c>
      <c r="I73" s="3"/>
      <c r="J73" s="3" t="s">
        <v>107</v>
      </c>
      <c r="K73" s="3"/>
      <c r="L73" s="3" t="s">
        <v>275</v>
      </c>
      <c r="M73" s="3" t="s">
        <v>109</v>
      </c>
      <c r="N73" s="3" t="s">
        <v>256</v>
      </c>
      <c r="O73" s="3" t="s">
        <v>106</v>
      </c>
      <c r="P73" s="3" t="s">
        <v>150</v>
      </c>
      <c r="Q73" s="3" t="s">
        <v>113</v>
      </c>
      <c r="R73" s="3" t="s">
        <v>188</v>
      </c>
      <c r="S73" s="3" t="s">
        <v>380</v>
      </c>
      <c r="T73" s="3" t="s">
        <v>116</v>
      </c>
      <c r="U73" s="3" t="s">
        <v>140</v>
      </c>
      <c r="V73" s="3" t="s">
        <v>154</v>
      </c>
      <c r="W73" s="3"/>
      <c r="X73" s="3"/>
      <c r="Y73" s="3" t="s">
        <v>132</v>
      </c>
      <c r="Z73" s="3"/>
      <c r="AA73" s="3" t="s">
        <v>103</v>
      </c>
      <c r="AB73" s="3" t="s">
        <v>137</v>
      </c>
      <c r="AC73" s="3" t="s">
        <v>166</v>
      </c>
      <c r="AD73" s="3" t="s">
        <v>111</v>
      </c>
      <c r="AE73" s="3" t="s">
        <v>129</v>
      </c>
      <c r="AF73" s="3" t="s">
        <v>126</v>
      </c>
      <c r="AG73" s="3" t="s">
        <v>119</v>
      </c>
      <c r="AH73" s="3"/>
      <c r="AI73" s="3"/>
      <c r="AJ73" s="3" t="s">
        <v>139</v>
      </c>
      <c r="AK73" s="3"/>
      <c r="AL73" s="3" t="s">
        <v>253</v>
      </c>
      <c r="AM73" s="3" t="s">
        <v>192</v>
      </c>
      <c r="AN73" s="3"/>
      <c r="AO73" s="3"/>
      <c r="AP73" s="3"/>
      <c r="AQ73" s="3"/>
      <c r="AR73" s="3" t="s">
        <v>103</v>
      </c>
      <c r="AS73" s="3"/>
      <c r="AT73" s="3" t="s">
        <v>253</v>
      </c>
      <c r="AU73" s="3" t="s">
        <v>280</v>
      </c>
      <c r="AV73" s="3" t="s">
        <v>119</v>
      </c>
      <c r="AW73" s="3" t="s">
        <v>116</v>
      </c>
      <c r="AX73" s="3"/>
      <c r="AY73" s="4" t="s">
        <v>135</v>
      </c>
      <c r="AZ73" s="3"/>
      <c r="BA73" s="3"/>
      <c r="BB73" s="3"/>
      <c r="BC73" s="3"/>
      <c r="BD73" s="3" t="s">
        <v>129</v>
      </c>
      <c r="BE73" s="3" t="s">
        <v>154</v>
      </c>
      <c r="BF73" s="3" t="s">
        <v>137</v>
      </c>
      <c r="BG73" s="3" t="s">
        <v>224</v>
      </c>
      <c r="BH73" s="3"/>
      <c r="BI73" s="3"/>
      <c r="BJ73" s="3" t="s">
        <v>112</v>
      </c>
      <c r="BK73" s="3" t="s">
        <v>128</v>
      </c>
      <c r="BL73" s="3"/>
      <c r="BM73" s="3" t="s">
        <v>132</v>
      </c>
      <c r="BN73" s="3"/>
      <c r="BO73" s="3"/>
      <c r="BP73" s="3"/>
      <c r="BQ73" s="3"/>
      <c r="BR73" s="3"/>
      <c r="BS73" s="3"/>
      <c r="BT73" s="3"/>
      <c r="BU73" s="3"/>
      <c r="BV73" s="3"/>
      <c r="BW73" s="3" t="s">
        <v>203</v>
      </c>
      <c r="BX73" s="3"/>
      <c r="BY73" s="3"/>
      <c r="BZ73" s="3"/>
      <c r="CA73" s="3"/>
      <c r="CB73" s="3"/>
      <c r="CC73" s="3" t="s">
        <v>103</v>
      </c>
      <c r="CD73" s="3" t="s">
        <v>154</v>
      </c>
      <c r="CE73" s="3"/>
      <c r="CF73" s="3"/>
      <c r="CG73" s="3"/>
      <c r="CH73" s="3"/>
      <c r="CI73" s="3" t="s">
        <v>103</v>
      </c>
      <c r="CJ73" s="3" t="s">
        <v>136</v>
      </c>
      <c r="CK73" s="3" t="s">
        <v>135</v>
      </c>
      <c r="CL73" s="3"/>
      <c r="CM73" s="3"/>
      <c r="CN73" s="3"/>
      <c r="CO73" s="3" t="s">
        <v>136</v>
      </c>
      <c r="CP73" s="3"/>
      <c r="CQ73" s="3"/>
      <c r="CR73" s="3"/>
      <c r="CS73" s="3"/>
      <c r="CT73" s="3"/>
      <c r="CU73" s="3"/>
      <c r="CV73" s="3" t="s">
        <v>154</v>
      </c>
      <c r="CW73" s="3" t="s">
        <v>129</v>
      </c>
      <c r="CX73" s="3" t="s">
        <v>107</v>
      </c>
      <c r="CY73" s="3" t="s">
        <v>144</v>
      </c>
      <c r="CZ73" s="3"/>
      <c r="DA73" s="3"/>
      <c r="DB73" s="3"/>
    </row>
    <row r="74" ht="15.75" customHeight="1">
      <c r="A74" s="3" t="s">
        <v>119</v>
      </c>
      <c r="B74" s="3" t="s">
        <v>112</v>
      </c>
      <c r="C74" s="3" t="s">
        <v>104</v>
      </c>
      <c r="D74" s="3"/>
      <c r="E74" s="3" t="s">
        <v>103</v>
      </c>
      <c r="F74" s="3"/>
      <c r="G74" s="3"/>
      <c r="H74" s="3" t="s">
        <v>116</v>
      </c>
      <c r="I74" s="3" t="s">
        <v>136</v>
      </c>
      <c r="J74" s="3" t="s">
        <v>136</v>
      </c>
      <c r="K74" s="3"/>
      <c r="L74" s="3" t="s">
        <v>238</v>
      </c>
      <c r="M74" s="3" t="s">
        <v>154</v>
      </c>
      <c r="N74" s="3" t="s">
        <v>203</v>
      </c>
      <c r="O74" s="3"/>
      <c r="P74" s="3"/>
      <c r="Q74" s="3" t="s">
        <v>225</v>
      </c>
      <c r="R74" s="3" t="s">
        <v>199</v>
      </c>
      <c r="S74" s="4" t="s">
        <v>381</v>
      </c>
      <c r="T74" s="3" t="s">
        <v>136</v>
      </c>
      <c r="U74" s="3" t="s">
        <v>116</v>
      </c>
      <c r="V74" s="3" t="s">
        <v>136</v>
      </c>
      <c r="W74" s="3"/>
      <c r="X74" s="3"/>
      <c r="Y74" s="3" t="s">
        <v>103</v>
      </c>
      <c r="Z74" s="3"/>
      <c r="AA74" s="3"/>
      <c r="AB74" s="3" t="s">
        <v>103</v>
      </c>
      <c r="AC74" s="3" t="s">
        <v>119</v>
      </c>
      <c r="AD74" s="3"/>
      <c r="AE74" s="3"/>
      <c r="AF74" s="3" t="s">
        <v>119</v>
      </c>
      <c r="AG74" s="3"/>
      <c r="AH74" s="3"/>
      <c r="AI74" s="3"/>
      <c r="AJ74" s="3" t="s">
        <v>109</v>
      </c>
      <c r="AK74" s="3"/>
      <c r="AL74" s="3" t="s">
        <v>111</v>
      </c>
      <c r="AM74" s="3" t="s">
        <v>127</v>
      </c>
      <c r="AN74" s="3"/>
      <c r="AO74" s="3"/>
      <c r="AP74" s="3"/>
      <c r="AQ74" s="3"/>
      <c r="AR74" s="3"/>
      <c r="AS74" s="3"/>
      <c r="AT74" s="3" t="s">
        <v>111</v>
      </c>
      <c r="AU74" s="3" t="s">
        <v>116</v>
      </c>
      <c r="AV74" s="3"/>
      <c r="AW74" s="3" t="s">
        <v>137</v>
      </c>
      <c r="AX74" s="3"/>
      <c r="AY74" s="4" t="s">
        <v>135</v>
      </c>
      <c r="AZ74" s="3"/>
      <c r="BA74" s="3"/>
      <c r="BB74" s="3"/>
      <c r="BC74" s="3"/>
      <c r="BD74" s="3" t="s">
        <v>103</v>
      </c>
      <c r="BE74" s="3" t="s">
        <v>144</v>
      </c>
      <c r="BF74" s="3" t="s">
        <v>127</v>
      </c>
      <c r="BG74" s="3" t="s">
        <v>203</v>
      </c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 t="s">
        <v>103</v>
      </c>
      <c r="CD74" s="3" t="s">
        <v>116</v>
      </c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 t="s">
        <v>137</v>
      </c>
      <c r="CY74" s="3" t="s">
        <v>137</v>
      </c>
      <c r="CZ74" s="3"/>
      <c r="DA74" s="3"/>
      <c r="DB74" s="3"/>
    </row>
    <row r="75" ht="15.75" customHeight="1">
      <c r="A75" s="3" t="s">
        <v>129</v>
      </c>
      <c r="B75" s="3" t="s">
        <v>112</v>
      </c>
      <c r="C75" s="3" t="s">
        <v>104</v>
      </c>
      <c r="D75" s="3"/>
      <c r="E75" s="3" t="s">
        <v>103</v>
      </c>
      <c r="F75" s="3"/>
      <c r="G75" s="3"/>
      <c r="H75" s="3" t="s">
        <v>140</v>
      </c>
      <c r="I75" s="3" t="s">
        <v>154</v>
      </c>
      <c r="J75" s="3" t="s">
        <v>107</v>
      </c>
      <c r="K75" s="3"/>
      <c r="L75" s="3" t="s">
        <v>275</v>
      </c>
      <c r="M75" s="3" t="s">
        <v>154</v>
      </c>
      <c r="N75" s="3" t="s">
        <v>256</v>
      </c>
      <c r="O75" s="3"/>
      <c r="P75" s="3"/>
      <c r="Q75" s="3" t="s">
        <v>203</v>
      </c>
      <c r="R75" s="3" t="s">
        <v>188</v>
      </c>
      <c r="S75" s="3" t="s">
        <v>382</v>
      </c>
      <c r="T75" s="3" t="s">
        <v>167</v>
      </c>
      <c r="U75" s="3" t="s">
        <v>128</v>
      </c>
      <c r="V75" s="3" t="s">
        <v>149</v>
      </c>
      <c r="W75" s="3"/>
      <c r="X75" s="3"/>
      <c r="Y75" s="3" t="s">
        <v>129</v>
      </c>
      <c r="Z75" s="3"/>
      <c r="AA75" s="3"/>
      <c r="AB75" s="3" t="s">
        <v>111</v>
      </c>
      <c r="AC75" s="3" t="s">
        <v>132</v>
      </c>
      <c r="AD75" s="3" t="s">
        <v>137</v>
      </c>
      <c r="AE75" s="3"/>
      <c r="AF75" s="3" t="s">
        <v>119</v>
      </c>
      <c r="AG75" s="3" t="s">
        <v>126</v>
      </c>
      <c r="AH75" s="3"/>
      <c r="AI75" s="3"/>
      <c r="AJ75" s="3" t="s">
        <v>187</v>
      </c>
      <c r="AK75" s="3"/>
      <c r="AL75" s="3" t="s">
        <v>127</v>
      </c>
      <c r="AM75" s="3" t="s">
        <v>127</v>
      </c>
      <c r="AN75" s="3" t="s">
        <v>119</v>
      </c>
      <c r="AO75" s="3" t="s">
        <v>162</v>
      </c>
      <c r="AP75" s="3"/>
      <c r="AQ75" s="3"/>
      <c r="AR75" s="3"/>
      <c r="AS75" s="3"/>
      <c r="AT75" s="3" t="s">
        <v>127</v>
      </c>
      <c r="AU75" s="3" t="s">
        <v>174</v>
      </c>
      <c r="AV75" s="3" t="s">
        <v>126</v>
      </c>
      <c r="AW75" s="3" t="s">
        <v>144</v>
      </c>
      <c r="AX75" s="3" t="s">
        <v>150</v>
      </c>
      <c r="AY75" s="4" t="s">
        <v>116</v>
      </c>
      <c r="AZ75" s="3" t="s">
        <v>126</v>
      </c>
      <c r="BA75" s="3" t="s">
        <v>149</v>
      </c>
      <c r="BB75" s="3"/>
      <c r="BC75" s="3"/>
      <c r="BD75" s="3" t="s">
        <v>119</v>
      </c>
      <c r="BE75" s="3" t="s">
        <v>109</v>
      </c>
      <c r="BF75" s="3" t="s">
        <v>127</v>
      </c>
      <c r="BG75" s="3" t="s">
        <v>133</v>
      </c>
      <c r="BH75" s="3"/>
      <c r="BI75" s="3"/>
      <c r="BJ75" s="3" t="s">
        <v>126</v>
      </c>
      <c r="BK75" s="3" t="s">
        <v>149</v>
      </c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 t="s">
        <v>103</v>
      </c>
      <c r="CD75" s="3" t="s">
        <v>135</v>
      </c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 t="s">
        <v>144</v>
      </c>
      <c r="CY75" s="3" t="s">
        <v>368</v>
      </c>
      <c r="CZ75" s="3"/>
      <c r="DA75" s="3"/>
      <c r="DB75" s="3"/>
    </row>
    <row r="76" ht="15.75" customHeight="1">
      <c r="A76" s="3" t="s">
        <v>132</v>
      </c>
      <c r="B76" s="3" t="s">
        <v>112</v>
      </c>
      <c r="C76" s="3" t="s">
        <v>104</v>
      </c>
      <c r="D76" s="3"/>
      <c r="E76" s="3" t="s">
        <v>103</v>
      </c>
      <c r="F76" s="3"/>
      <c r="G76" s="3"/>
      <c r="H76" s="3" t="s">
        <v>135</v>
      </c>
      <c r="I76" s="3"/>
      <c r="J76" s="3" t="s">
        <v>169</v>
      </c>
      <c r="K76" s="3"/>
      <c r="L76" s="3" t="s">
        <v>383</v>
      </c>
      <c r="M76" s="3" t="s">
        <v>203</v>
      </c>
      <c r="N76" s="3" t="s">
        <v>147</v>
      </c>
      <c r="O76" s="3" t="s">
        <v>166</v>
      </c>
      <c r="P76" s="3" t="s">
        <v>144</v>
      </c>
      <c r="Q76" s="3" t="s">
        <v>272</v>
      </c>
      <c r="R76" s="3" t="s">
        <v>178</v>
      </c>
      <c r="S76" s="3" t="s">
        <v>384</v>
      </c>
      <c r="T76" s="3" t="s">
        <v>105</v>
      </c>
      <c r="U76" s="3" t="s">
        <v>107</v>
      </c>
      <c r="V76" s="3" t="s">
        <v>135</v>
      </c>
      <c r="W76" s="3"/>
      <c r="X76" s="3"/>
      <c r="Y76" s="3" t="s">
        <v>119</v>
      </c>
      <c r="Z76" s="3"/>
      <c r="AA76" s="3"/>
      <c r="AB76" s="3" t="s">
        <v>119</v>
      </c>
      <c r="AC76" s="3"/>
      <c r="AD76" s="3" t="s">
        <v>119</v>
      </c>
      <c r="AE76" s="3" t="s">
        <v>103</v>
      </c>
      <c r="AF76" s="3"/>
      <c r="AG76" s="3"/>
      <c r="AH76" s="3"/>
      <c r="AI76" s="3"/>
      <c r="AJ76" s="3" t="s">
        <v>147</v>
      </c>
      <c r="AK76" s="3"/>
      <c r="AL76" s="3" t="s">
        <v>172</v>
      </c>
      <c r="AM76" s="3" t="s">
        <v>192</v>
      </c>
      <c r="AN76" s="3"/>
      <c r="AO76" s="3" t="s">
        <v>148</v>
      </c>
      <c r="AP76" s="3"/>
      <c r="AQ76" s="3" t="s">
        <v>119</v>
      </c>
      <c r="AR76" s="3" t="s">
        <v>103</v>
      </c>
      <c r="AS76" s="3"/>
      <c r="AT76" s="3" t="s">
        <v>172</v>
      </c>
      <c r="AU76" s="3" t="s">
        <v>385</v>
      </c>
      <c r="AV76" s="3" t="s">
        <v>103</v>
      </c>
      <c r="AW76" s="3" t="s">
        <v>150</v>
      </c>
      <c r="AX76" s="3"/>
      <c r="AY76" s="4" t="s">
        <v>131</v>
      </c>
      <c r="AZ76" s="3"/>
      <c r="BA76" s="3"/>
      <c r="BB76" s="3" t="s">
        <v>119</v>
      </c>
      <c r="BC76" s="3" t="s">
        <v>105</v>
      </c>
      <c r="BD76" s="5">
        <f>4 + (1/2)</f>
        <v>4.5</v>
      </c>
      <c r="BE76" s="3" t="s">
        <v>106</v>
      </c>
      <c r="BF76" s="3" t="s">
        <v>129</v>
      </c>
      <c r="BG76" s="3" t="s">
        <v>109</v>
      </c>
      <c r="BH76" s="5">
        <f t="shared" ref="BH76:BH77" si="12">1 + (1/2)</f>
        <v>1.5</v>
      </c>
      <c r="BI76" s="3" t="s">
        <v>199</v>
      </c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 t="s">
        <v>288</v>
      </c>
      <c r="BX76" s="3" t="s">
        <v>166</v>
      </c>
      <c r="BY76" s="3"/>
      <c r="BZ76" s="3"/>
      <c r="CA76" s="3"/>
      <c r="CB76" s="3"/>
      <c r="CC76" s="3" t="s">
        <v>103</v>
      </c>
      <c r="CD76" s="3" t="s">
        <v>224</v>
      </c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 t="s">
        <v>140</v>
      </c>
      <c r="CY76" s="3" t="s">
        <v>386</v>
      </c>
      <c r="CZ76" s="3"/>
      <c r="DA76" s="3"/>
      <c r="DB76" s="3"/>
    </row>
    <row r="77" ht="15.75" customHeight="1">
      <c r="A77" s="3" t="s">
        <v>162</v>
      </c>
      <c r="B77" s="3" t="s">
        <v>112</v>
      </c>
      <c r="C77" s="3" t="s">
        <v>104</v>
      </c>
      <c r="D77" s="3"/>
      <c r="E77" s="3" t="s">
        <v>103</v>
      </c>
      <c r="F77" s="3"/>
      <c r="G77" s="3"/>
      <c r="H77" s="3" t="s">
        <v>210</v>
      </c>
      <c r="I77" s="3" t="s">
        <v>116</v>
      </c>
      <c r="J77" s="3" t="s">
        <v>235</v>
      </c>
      <c r="K77" s="3"/>
      <c r="L77" s="3" t="s">
        <v>387</v>
      </c>
      <c r="M77" s="3" t="s">
        <v>203</v>
      </c>
      <c r="N77" s="3" t="s">
        <v>388</v>
      </c>
      <c r="O77" s="3" t="s">
        <v>166</v>
      </c>
      <c r="P77" s="3"/>
      <c r="Q77" s="3" t="s">
        <v>106</v>
      </c>
      <c r="R77" s="3" t="s">
        <v>136</v>
      </c>
      <c r="S77" s="3" t="s">
        <v>389</v>
      </c>
      <c r="T77" s="3" t="s">
        <v>154</v>
      </c>
      <c r="U77" s="3" t="s">
        <v>300</v>
      </c>
      <c r="V77" s="3" t="s">
        <v>105</v>
      </c>
      <c r="W77" s="3"/>
      <c r="X77" s="3"/>
      <c r="Y77" s="3" t="s">
        <v>129</v>
      </c>
      <c r="Z77" s="3"/>
      <c r="AA77" s="3"/>
      <c r="AB77" s="3" t="s">
        <v>166</v>
      </c>
      <c r="AC77" s="3" t="s">
        <v>137</v>
      </c>
      <c r="AD77" s="3" t="s">
        <v>148</v>
      </c>
      <c r="AE77" s="3"/>
      <c r="AF77" s="3"/>
      <c r="AG77" s="3" t="s">
        <v>126</v>
      </c>
      <c r="AH77" s="3"/>
      <c r="AI77" s="3" t="s">
        <v>390</v>
      </c>
      <c r="AJ77" s="3" t="s">
        <v>176</v>
      </c>
      <c r="AK77" s="3"/>
      <c r="AL77" s="3" t="s">
        <v>169</v>
      </c>
      <c r="AM77" s="3" t="s">
        <v>144</v>
      </c>
      <c r="AN77" s="3"/>
      <c r="AO77" s="3" t="s">
        <v>162</v>
      </c>
      <c r="AP77" s="3"/>
      <c r="AQ77" s="3"/>
      <c r="AR77" s="3"/>
      <c r="AS77" s="3"/>
      <c r="AT77" s="3" t="s">
        <v>169</v>
      </c>
      <c r="AU77" s="3" t="s">
        <v>381</v>
      </c>
      <c r="AV77" s="3" t="s">
        <v>126</v>
      </c>
      <c r="AW77" s="3" t="s">
        <v>166</v>
      </c>
      <c r="AX77" s="3"/>
      <c r="AY77" s="4" t="s">
        <v>154</v>
      </c>
      <c r="AZ77" s="3" t="s">
        <v>162</v>
      </c>
      <c r="BA77" s="3" t="s">
        <v>223</v>
      </c>
      <c r="BB77" s="3"/>
      <c r="BC77" s="3"/>
      <c r="BD77" s="3" t="s">
        <v>119</v>
      </c>
      <c r="BE77" s="3" t="s">
        <v>135</v>
      </c>
      <c r="BF77" s="3" t="s">
        <v>119</v>
      </c>
      <c r="BG77" s="3" t="s">
        <v>135</v>
      </c>
      <c r="BH77" s="5">
        <f t="shared" si="12"/>
        <v>1.5</v>
      </c>
      <c r="BI77" s="3" t="s">
        <v>144</v>
      </c>
      <c r="BJ77" s="3" t="s">
        <v>126</v>
      </c>
      <c r="BK77" s="3" t="s">
        <v>136</v>
      </c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>
        <f>1/2</f>
        <v>0.5</v>
      </c>
      <c r="CD77" s="3" t="s">
        <v>135</v>
      </c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 t="s">
        <v>111</v>
      </c>
      <c r="CY77" s="3" t="s">
        <v>121</v>
      </c>
      <c r="CZ77" s="3"/>
      <c r="DA77" s="3"/>
      <c r="DB77" s="3"/>
    </row>
    <row r="78" ht="15.75" customHeight="1">
      <c r="A78" s="3" t="s">
        <v>127</v>
      </c>
      <c r="B78" s="3" t="s">
        <v>112</v>
      </c>
      <c r="C78" s="3" t="s">
        <v>104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</row>
    <row r="79" ht="15.75" customHeight="1">
      <c r="A79" s="3" t="s">
        <v>112</v>
      </c>
      <c r="B79" s="3" t="s">
        <v>112</v>
      </c>
      <c r="C79" s="3" t="s">
        <v>104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</row>
    <row r="80" ht="15.75" customHeight="1">
      <c r="A80" s="3" t="s">
        <v>184</v>
      </c>
      <c r="B80" s="3" t="s">
        <v>112</v>
      </c>
      <c r="C80" s="3" t="s">
        <v>104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</row>
    <row r="81" ht="15.75" customHeight="1">
      <c r="A81" s="3" t="s">
        <v>137</v>
      </c>
      <c r="B81" s="3" t="s">
        <v>112</v>
      </c>
      <c r="C81" s="3" t="s">
        <v>104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</row>
    <row r="82" ht="15.75" customHeight="1">
      <c r="A82" s="3" t="s">
        <v>103</v>
      </c>
      <c r="B82" s="3" t="s">
        <v>184</v>
      </c>
      <c r="C82" s="3" t="s">
        <v>104</v>
      </c>
      <c r="D82" s="3"/>
      <c r="E82" s="3"/>
      <c r="F82" s="3" t="s">
        <v>103</v>
      </c>
      <c r="G82" s="3"/>
      <c r="H82" s="3" t="s">
        <v>391</v>
      </c>
      <c r="I82" s="3"/>
      <c r="J82" s="3" t="s">
        <v>166</v>
      </c>
      <c r="K82" s="3"/>
      <c r="L82" s="3" t="s">
        <v>316</v>
      </c>
      <c r="M82" s="3"/>
      <c r="N82" s="3"/>
      <c r="O82" s="3"/>
      <c r="P82" s="3"/>
      <c r="Q82" s="3"/>
      <c r="R82" s="3"/>
      <c r="S82" s="3" t="s">
        <v>145</v>
      </c>
      <c r="T82" s="3" t="s">
        <v>154</v>
      </c>
      <c r="U82" s="3" t="s">
        <v>188</v>
      </c>
      <c r="V82" s="3" t="s">
        <v>136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 t="s">
        <v>103</v>
      </c>
      <c r="BK82" s="3" t="s">
        <v>107</v>
      </c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</row>
    <row r="83" ht="15.75" customHeight="1">
      <c r="A83" s="3" t="s">
        <v>126</v>
      </c>
      <c r="B83" s="3" t="s">
        <v>184</v>
      </c>
      <c r="C83" s="3" t="s">
        <v>104</v>
      </c>
      <c r="D83" s="3"/>
      <c r="E83" s="3" t="s">
        <v>103</v>
      </c>
      <c r="F83" s="3"/>
      <c r="G83" s="3"/>
      <c r="H83" s="3" t="s">
        <v>303</v>
      </c>
      <c r="I83" s="3"/>
      <c r="J83" s="3" t="s">
        <v>166</v>
      </c>
      <c r="K83" s="3"/>
      <c r="L83" s="3" t="s">
        <v>254</v>
      </c>
      <c r="M83" s="3" t="s">
        <v>106</v>
      </c>
      <c r="N83" s="3" t="s">
        <v>288</v>
      </c>
      <c r="O83" s="3"/>
      <c r="P83" s="3"/>
      <c r="Q83" s="3" t="s">
        <v>392</v>
      </c>
      <c r="R83" s="3" t="s">
        <v>188</v>
      </c>
      <c r="S83" s="3" t="s">
        <v>393</v>
      </c>
      <c r="T83" s="3" t="s">
        <v>116</v>
      </c>
      <c r="U83" s="3" t="s">
        <v>225</v>
      </c>
      <c r="V83" s="3" t="s">
        <v>116</v>
      </c>
      <c r="W83" s="3"/>
      <c r="X83" s="3"/>
      <c r="Y83" s="3" t="s">
        <v>132</v>
      </c>
      <c r="Z83" s="3"/>
      <c r="AA83" s="3"/>
      <c r="AB83" s="3" t="s">
        <v>112</v>
      </c>
      <c r="AC83" s="3" t="s">
        <v>162</v>
      </c>
      <c r="AD83" s="3" t="s">
        <v>127</v>
      </c>
      <c r="AE83" s="3"/>
      <c r="AF83" s="3" t="s">
        <v>126</v>
      </c>
      <c r="AG83" s="3" t="s">
        <v>103</v>
      </c>
      <c r="AH83" s="3"/>
      <c r="AI83" s="3"/>
      <c r="AJ83" s="3" t="s">
        <v>187</v>
      </c>
      <c r="AK83" s="3"/>
      <c r="AL83" s="3" t="s">
        <v>128</v>
      </c>
      <c r="AM83" s="3" t="s">
        <v>136</v>
      </c>
      <c r="AN83" s="3" t="s">
        <v>394</v>
      </c>
      <c r="AO83" s="3" t="s">
        <v>394</v>
      </c>
      <c r="AP83" s="3" t="s">
        <v>129</v>
      </c>
      <c r="AQ83" s="3"/>
      <c r="AR83" s="3" t="s">
        <v>119</v>
      </c>
      <c r="AS83" s="3"/>
      <c r="AT83" s="3" t="s">
        <v>395</v>
      </c>
      <c r="AU83" s="3" t="s">
        <v>396</v>
      </c>
      <c r="AV83" s="3" t="s">
        <v>126</v>
      </c>
      <c r="AW83" s="3" t="s">
        <v>107</v>
      </c>
      <c r="AX83" s="3" t="s">
        <v>126</v>
      </c>
      <c r="AY83" s="3" t="s">
        <v>116</v>
      </c>
      <c r="AZ83" s="3"/>
      <c r="BA83" s="3"/>
      <c r="BB83" s="3"/>
      <c r="BC83" s="3"/>
      <c r="BD83" s="3"/>
      <c r="BE83" s="3"/>
      <c r="BF83" s="3" t="s">
        <v>152</v>
      </c>
      <c r="BG83" s="3" t="s">
        <v>321</v>
      </c>
      <c r="BH83" s="3" t="s">
        <v>103</v>
      </c>
      <c r="BI83" s="3" t="s">
        <v>137</v>
      </c>
      <c r="BJ83" s="3" t="s">
        <v>132</v>
      </c>
      <c r="BK83" s="3" t="s">
        <v>135</v>
      </c>
      <c r="BL83" s="3" t="s">
        <v>112</v>
      </c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 t="s">
        <v>103</v>
      </c>
      <c r="CD83" s="3" t="s">
        <v>125</v>
      </c>
      <c r="CE83" s="3"/>
      <c r="CF83" s="3"/>
      <c r="CG83" s="3"/>
      <c r="CH83" s="3"/>
      <c r="CI83" s="3" t="s">
        <v>103</v>
      </c>
      <c r="CJ83" s="3" t="s">
        <v>154</v>
      </c>
      <c r="CK83" s="3" t="s">
        <v>135</v>
      </c>
      <c r="CL83" s="3"/>
      <c r="CM83" s="3"/>
      <c r="CN83" s="3"/>
      <c r="CO83" s="3" t="s">
        <v>144</v>
      </c>
      <c r="CP83" s="3"/>
      <c r="CQ83" s="3"/>
      <c r="CR83" s="3"/>
      <c r="CS83" s="3"/>
      <c r="CT83" s="3"/>
      <c r="CU83" s="3"/>
      <c r="CV83" s="3"/>
      <c r="CW83" s="3"/>
      <c r="CX83" s="3" t="s">
        <v>137</v>
      </c>
      <c r="CY83" s="3" t="s">
        <v>136</v>
      </c>
      <c r="CZ83" s="3"/>
      <c r="DA83" s="3"/>
      <c r="DB83" s="3"/>
    </row>
    <row r="84" ht="15.75" customHeight="1">
      <c r="A84" s="3" t="s">
        <v>119</v>
      </c>
      <c r="B84" s="3" t="s">
        <v>184</v>
      </c>
      <c r="C84" s="3" t="s">
        <v>104</v>
      </c>
      <c r="D84" s="3"/>
      <c r="E84" s="3"/>
      <c r="F84" s="3"/>
      <c r="G84" s="3" t="s">
        <v>103</v>
      </c>
      <c r="H84" s="3" t="s">
        <v>397</v>
      </c>
      <c r="I84" s="3"/>
      <c r="J84" s="3" t="s">
        <v>144</v>
      </c>
      <c r="K84" s="3"/>
      <c r="L84" s="3" t="s">
        <v>316</v>
      </c>
      <c r="M84" s="3" t="s">
        <v>131</v>
      </c>
      <c r="N84" s="3" t="s">
        <v>398</v>
      </c>
      <c r="O84" s="3" t="s">
        <v>154</v>
      </c>
      <c r="P84" s="3"/>
      <c r="Q84" s="3" t="s">
        <v>134</v>
      </c>
      <c r="R84" s="3" t="s">
        <v>144</v>
      </c>
      <c r="S84" s="3" t="s">
        <v>399</v>
      </c>
      <c r="T84" s="3" t="s">
        <v>140</v>
      </c>
      <c r="U84" s="3" t="s">
        <v>400</v>
      </c>
      <c r="V84" s="3" t="s">
        <v>154</v>
      </c>
      <c r="W84" s="3"/>
      <c r="X84" s="3"/>
      <c r="Y84" s="3" t="s">
        <v>129</v>
      </c>
      <c r="Z84" s="3"/>
      <c r="AA84" s="3"/>
      <c r="AB84" s="3" t="s">
        <v>166</v>
      </c>
      <c r="AC84" s="3" t="s">
        <v>129</v>
      </c>
      <c r="AD84" s="3" t="s">
        <v>166</v>
      </c>
      <c r="AE84" s="3"/>
      <c r="AF84" s="3"/>
      <c r="AG84" s="3" t="s">
        <v>103</v>
      </c>
      <c r="AH84" s="3"/>
      <c r="AI84" s="3"/>
      <c r="AJ84" s="3" t="s">
        <v>249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 t="s">
        <v>129</v>
      </c>
      <c r="AW84" s="3" t="s">
        <v>122</v>
      </c>
      <c r="AX84" s="3"/>
      <c r="AY84" s="3" t="s">
        <v>116</v>
      </c>
      <c r="AZ84" s="5">
        <f>1 + (3/4)</f>
        <v>1.75</v>
      </c>
      <c r="BA84" s="3" t="s">
        <v>107</v>
      </c>
      <c r="BB84" s="3" t="s">
        <v>129</v>
      </c>
      <c r="BC84" s="3" t="s">
        <v>107</v>
      </c>
      <c r="BD84" s="3" t="s">
        <v>126</v>
      </c>
      <c r="BE84" s="3" t="s">
        <v>107</v>
      </c>
      <c r="BF84" s="3" t="s">
        <v>166</v>
      </c>
      <c r="BG84" s="3" t="s">
        <v>203</v>
      </c>
      <c r="BH84" s="3"/>
      <c r="BI84" s="3"/>
      <c r="BJ84" s="3"/>
      <c r="BK84" s="3"/>
      <c r="BL84" s="3" t="s">
        <v>107</v>
      </c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>
        <f>1/2</f>
        <v>0.5</v>
      </c>
      <c r="CD84" s="3" t="s">
        <v>154</v>
      </c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 t="s">
        <v>127</v>
      </c>
      <c r="CY84" s="3" t="s">
        <v>137</v>
      </c>
      <c r="CZ84" s="3"/>
      <c r="DA84" s="3"/>
      <c r="DB84" s="3"/>
    </row>
    <row r="85" ht="15.75" customHeight="1">
      <c r="A85" s="3" t="s">
        <v>129</v>
      </c>
      <c r="B85" s="3" t="s">
        <v>184</v>
      </c>
      <c r="C85" s="3" t="s">
        <v>104</v>
      </c>
      <c r="D85" s="3"/>
      <c r="E85" s="3" t="s">
        <v>103</v>
      </c>
      <c r="F85" s="3"/>
      <c r="G85" s="3"/>
      <c r="H85" s="3" t="s">
        <v>199</v>
      </c>
      <c r="I85" s="3"/>
      <c r="J85" s="3"/>
      <c r="K85" s="3"/>
      <c r="L85" s="3" t="s">
        <v>187</v>
      </c>
      <c r="M85" s="3" t="s">
        <v>166</v>
      </c>
      <c r="N85" s="3" t="s">
        <v>106</v>
      </c>
      <c r="O85" s="3" t="s">
        <v>107</v>
      </c>
      <c r="P85" s="3"/>
      <c r="Q85" s="3"/>
      <c r="R85" s="3"/>
      <c r="S85" s="3" t="s">
        <v>269</v>
      </c>
      <c r="T85" s="3" t="s">
        <v>166</v>
      </c>
      <c r="U85" s="3" t="s">
        <v>152</v>
      </c>
      <c r="V85" s="3" t="s">
        <v>137</v>
      </c>
      <c r="W85" s="3"/>
      <c r="X85" s="3"/>
      <c r="Y85" s="3" t="s">
        <v>103</v>
      </c>
      <c r="Z85" s="3"/>
      <c r="AA85" s="3"/>
      <c r="AB85" s="3" t="s">
        <v>103</v>
      </c>
      <c r="AC85" s="3" t="s">
        <v>126</v>
      </c>
      <c r="AD85" s="3" t="s">
        <v>103</v>
      </c>
      <c r="AE85" s="3"/>
      <c r="AF85" s="3"/>
      <c r="AG85" s="3"/>
      <c r="AH85" s="3"/>
      <c r="AI85" s="3"/>
      <c r="AJ85" s="3" t="s">
        <v>106</v>
      </c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 t="s">
        <v>107</v>
      </c>
      <c r="AX85" s="3" t="s">
        <v>119</v>
      </c>
      <c r="AY85" s="3" t="s">
        <v>131</v>
      </c>
      <c r="AZ85" s="3"/>
      <c r="BA85" s="3"/>
      <c r="BB85" s="3"/>
      <c r="BC85" s="3"/>
      <c r="BD85" s="3"/>
      <c r="BE85" s="3"/>
      <c r="BF85" s="3" t="s">
        <v>126</v>
      </c>
      <c r="BG85" s="3" t="s">
        <v>154</v>
      </c>
      <c r="BH85" s="3"/>
      <c r="BI85" s="3"/>
      <c r="BJ85" s="3" t="s">
        <v>103</v>
      </c>
      <c r="BK85" s="3" t="s">
        <v>137</v>
      </c>
      <c r="BL85" s="3" t="s">
        <v>132</v>
      </c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>
        <f>1/4</f>
        <v>0.25</v>
      </c>
      <c r="CD85" s="3" t="s">
        <v>136</v>
      </c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</row>
    <row r="86" ht="15.75" customHeight="1">
      <c r="A86" s="3" t="s">
        <v>132</v>
      </c>
      <c r="B86" s="3" t="s">
        <v>184</v>
      </c>
      <c r="C86" s="3" t="s">
        <v>104</v>
      </c>
      <c r="D86" s="3"/>
      <c r="E86" s="3" t="s">
        <v>103</v>
      </c>
      <c r="F86" s="3"/>
      <c r="G86" s="3"/>
      <c r="H86" s="3" t="s">
        <v>397</v>
      </c>
      <c r="I86" s="3"/>
      <c r="J86" s="3" t="s">
        <v>144</v>
      </c>
      <c r="K86" s="3"/>
      <c r="L86" s="3" t="s">
        <v>254</v>
      </c>
      <c r="M86" s="3" t="s">
        <v>113</v>
      </c>
      <c r="N86" s="3" t="s">
        <v>401</v>
      </c>
      <c r="O86" s="3" t="s">
        <v>136</v>
      </c>
      <c r="P86" s="3" t="s">
        <v>111</v>
      </c>
      <c r="Q86" s="3" t="s">
        <v>113</v>
      </c>
      <c r="R86" s="3" t="s">
        <v>116</v>
      </c>
      <c r="S86" s="3" t="s">
        <v>187</v>
      </c>
      <c r="T86" s="3" t="s">
        <v>154</v>
      </c>
      <c r="U86" s="3" t="s">
        <v>271</v>
      </c>
      <c r="V86" s="3" t="s">
        <v>154</v>
      </c>
      <c r="W86" s="3"/>
      <c r="X86" s="3"/>
      <c r="Y86" s="3" t="s">
        <v>119</v>
      </c>
      <c r="Z86" s="3"/>
      <c r="AA86" s="3"/>
      <c r="AB86" s="3" t="s">
        <v>112</v>
      </c>
      <c r="AC86" s="3" t="s">
        <v>129</v>
      </c>
      <c r="AD86" s="3" t="s">
        <v>127</v>
      </c>
      <c r="AE86" s="3"/>
      <c r="AF86" s="3" t="s">
        <v>126</v>
      </c>
      <c r="AG86" s="3" t="s">
        <v>103</v>
      </c>
      <c r="AH86" s="3"/>
      <c r="AI86" s="3"/>
      <c r="AJ86" s="3" t="s">
        <v>202</v>
      </c>
      <c r="AK86" s="3"/>
      <c r="AL86" s="3" t="s">
        <v>402</v>
      </c>
      <c r="AM86" s="3" t="s">
        <v>235</v>
      </c>
      <c r="AN86" s="3"/>
      <c r="AO86" s="3" t="s">
        <v>122</v>
      </c>
      <c r="AP86" s="3" t="s">
        <v>126</v>
      </c>
      <c r="AQ86" s="3"/>
      <c r="AR86" s="3" t="s">
        <v>103</v>
      </c>
      <c r="AS86" s="3"/>
      <c r="AT86" s="3" t="s">
        <v>402</v>
      </c>
      <c r="AU86" s="3" t="s">
        <v>403</v>
      </c>
      <c r="AV86" s="3" t="s">
        <v>129</v>
      </c>
      <c r="AW86" s="3" t="s">
        <v>296</v>
      </c>
      <c r="AX86" s="3"/>
      <c r="AY86" s="3" t="s">
        <v>105</v>
      </c>
      <c r="AZ86" s="3" t="s">
        <v>126</v>
      </c>
      <c r="BA86" s="3" t="s">
        <v>144</v>
      </c>
      <c r="BB86" s="3"/>
      <c r="BC86" s="3"/>
      <c r="BD86" s="5">
        <f>1 + (1/2)</f>
        <v>1.5</v>
      </c>
      <c r="BE86" s="3" t="s">
        <v>154</v>
      </c>
      <c r="BF86" s="3" t="s">
        <v>132</v>
      </c>
      <c r="BG86" s="3" t="s">
        <v>106</v>
      </c>
      <c r="BH86" s="3"/>
      <c r="BI86" s="3"/>
      <c r="BJ86" s="5">
        <f>1 + (1/2)</f>
        <v>1.5</v>
      </c>
      <c r="BK86" s="3" t="s">
        <v>296</v>
      </c>
      <c r="BL86" s="3" t="s">
        <v>144</v>
      </c>
      <c r="BM86" s="3" t="s">
        <v>103</v>
      </c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>
        <f>1/2</f>
        <v>0.5</v>
      </c>
      <c r="CD86" s="3" t="s">
        <v>154</v>
      </c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 t="s">
        <v>121</v>
      </c>
      <c r="CY86" s="3" t="s">
        <v>169</v>
      </c>
      <c r="CZ86" s="3"/>
      <c r="DA86" s="3"/>
      <c r="DB86" s="3"/>
    </row>
    <row r="87" ht="15.75" customHeight="1">
      <c r="A87" s="3" t="s">
        <v>162</v>
      </c>
      <c r="B87" s="3" t="s">
        <v>184</v>
      </c>
      <c r="C87" s="3" t="s">
        <v>104</v>
      </c>
      <c r="D87" s="3"/>
      <c r="E87" s="3" t="s">
        <v>103</v>
      </c>
      <c r="F87" s="3"/>
      <c r="G87" s="3"/>
      <c r="H87" s="3" t="s">
        <v>279</v>
      </c>
      <c r="I87" s="3"/>
      <c r="J87" s="3"/>
      <c r="K87" s="3"/>
      <c r="L87" s="3" t="s">
        <v>404</v>
      </c>
      <c r="M87" s="3" t="s">
        <v>106</v>
      </c>
      <c r="N87" s="3" t="s">
        <v>113</v>
      </c>
      <c r="O87" s="3" t="s">
        <v>137</v>
      </c>
      <c r="P87" s="3" t="s">
        <v>132</v>
      </c>
      <c r="Q87" s="3" t="s">
        <v>154</v>
      </c>
      <c r="R87" s="3" t="s">
        <v>112</v>
      </c>
      <c r="S87" s="3" t="s">
        <v>405</v>
      </c>
      <c r="T87" s="3" t="s">
        <v>107</v>
      </c>
      <c r="U87" s="3" t="s">
        <v>112</v>
      </c>
      <c r="V87" s="3" t="s">
        <v>107</v>
      </c>
      <c r="W87" s="3"/>
      <c r="X87" s="3"/>
      <c r="Y87" s="3" t="s">
        <v>129</v>
      </c>
      <c r="Z87" s="3"/>
      <c r="AA87" s="3"/>
      <c r="AB87" s="3" t="s">
        <v>126</v>
      </c>
      <c r="AC87" s="3"/>
      <c r="AD87" s="3" t="s">
        <v>126</v>
      </c>
      <c r="AE87" s="3"/>
      <c r="AF87" s="3" t="s">
        <v>119</v>
      </c>
      <c r="AG87" s="3"/>
      <c r="AH87" s="3"/>
      <c r="AI87" s="3"/>
      <c r="AJ87" s="3" t="s">
        <v>113</v>
      </c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 t="s">
        <v>103</v>
      </c>
      <c r="AW87" s="3" t="s">
        <v>121</v>
      </c>
      <c r="AX87" s="3" t="s">
        <v>126</v>
      </c>
      <c r="AY87" s="3" t="s">
        <v>135</v>
      </c>
      <c r="AZ87" s="3"/>
      <c r="BA87" s="3"/>
      <c r="BB87" s="3"/>
      <c r="BC87" s="3"/>
      <c r="BD87" s="3" t="s">
        <v>103</v>
      </c>
      <c r="BE87" s="3" t="s">
        <v>144</v>
      </c>
      <c r="BF87" s="3" t="s">
        <v>126</v>
      </c>
      <c r="BG87" s="3" t="s">
        <v>140</v>
      </c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 t="s">
        <v>103</v>
      </c>
      <c r="CD87" s="3" t="s">
        <v>105</v>
      </c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</row>
    <row r="88" ht="15.75" customHeight="1">
      <c r="A88" s="3" t="s">
        <v>127</v>
      </c>
      <c r="B88" s="3" t="s">
        <v>184</v>
      </c>
      <c r="C88" s="3" t="s">
        <v>104</v>
      </c>
      <c r="D88" s="3"/>
      <c r="E88" s="3" t="s">
        <v>103</v>
      </c>
      <c r="F88" s="3"/>
      <c r="G88" s="3"/>
      <c r="H88" s="3" t="s">
        <v>136</v>
      </c>
      <c r="I88" s="3"/>
      <c r="J88" s="3"/>
      <c r="K88" s="3"/>
      <c r="L88" s="3" t="s">
        <v>406</v>
      </c>
      <c r="M88" s="3"/>
      <c r="N88" s="3" t="s">
        <v>135</v>
      </c>
      <c r="O88" s="3"/>
      <c r="P88" s="3"/>
      <c r="Q88" s="3" t="s">
        <v>136</v>
      </c>
      <c r="R88" s="3" t="s">
        <v>129</v>
      </c>
      <c r="S88" s="3" t="s">
        <v>407</v>
      </c>
      <c r="T88" s="3" t="s">
        <v>127</v>
      </c>
      <c r="U88" s="3" t="s">
        <v>296</v>
      </c>
      <c r="V88" s="3" t="s">
        <v>127</v>
      </c>
      <c r="W88" s="3"/>
      <c r="X88" s="3"/>
      <c r="Y88" s="3" t="s">
        <v>103</v>
      </c>
      <c r="Z88" s="3"/>
      <c r="AA88" s="3"/>
      <c r="AB88" s="3" t="s">
        <v>103</v>
      </c>
      <c r="AC88" s="3"/>
      <c r="AD88" s="3" t="s">
        <v>103</v>
      </c>
      <c r="AE88" s="3"/>
      <c r="AF88" s="3" t="s">
        <v>103</v>
      </c>
      <c r="AG88" s="3"/>
      <c r="AH88" s="3"/>
      <c r="AI88" s="3"/>
      <c r="AJ88" s="3" t="s">
        <v>109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 t="s">
        <v>154</v>
      </c>
      <c r="AX88" s="3"/>
      <c r="AY88" s="3" t="s">
        <v>408</v>
      </c>
      <c r="AZ88" s="3"/>
      <c r="BA88" s="3"/>
      <c r="BB88" s="3"/>
      <c r="BC88" s="3"/>
      <c r="BD88" s="3"/>
      <c r="BE88" s="3"/>
      <c r="BF88" s="3">
        <f>3/4</f>
        <v>0.75</v>
      </c>
      <c r="BG88" s="3" t="s">
        <v>156</v>
      </c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>
        <f>1/2</f>
        <v>0.5</v>
      </c>
      <c r="CD88" s="3" t="s">
        <v>149</v>
      </c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</row>
    <row r="89" ht="15.75" customHeight="1">
      <c r="A89" s="3" t="s">
        <v>112</v>
      </c>
      <c r="B89" s="3" t="s">
        <v>184</v>
      </c>
      <c r="C89" s="3" t="s">
        <v>104</v>
      </c>
      <c r="D89" s="3"/>
      <c r="E89" s="3" t="s">
        <v>103</v>
      </c>
      <c r="F89" s="3"/>
      <c r="G89" s="3"/>
      <c r="H89" s="3" t="s">
        <v>235</v>
      </c>
      <c r="I89" s="3"/>
      <c r="J89" s="3"/>
      <c r="K89" s="3"/>
      <c r="L89" s="3" t="s">
        <v>229</v>
      </c>
      <c r="M89" s="3" t="s">
        <v>106</v>
      </c>
      <c r="N89" s="3" t="s">
        <v>223</v>
      </c>
      <c r="O89" s="3"/>
      <c r="P89" s="3"/>
      <c r="Q89" s="3"/>
      <c r="R89" s="3"/>
      <c r="S89" s="3" t="s">
        <v>409</v>
      </c>
      <c r="T89" s="3" t="s">
        <v>162</v>
      </c>
      <c r="U89" s="3" t="s">
        <v>137</v>
      </c>
      <c r="V89" s="3" t="s">
        <v>162</v>
      </c>
      <c r="W89" s="3"/>
      <c r="X89" s="3"/>
      <c r="Y89" s="3" t="s">
        <v>103</v>
      </c>
      <c r="Z89" s="3"/>
      <c r="AA89" s="3"/>
      <c r="AB89" s="3" t="s">
        <v>126</v>
      </c>
      <c r="AC89" s="3" t="s">
        <v>126</v>
      </c>
      <c r="AD89" s="3" t="s">
        <v>126</v>
      </c>
      <c r="AE89" s="3"/>
      <c r="AF89" s="3"/>
      <c r="AG89" s="3"/>
      <c r="AH89" s="3"/>
      <c r="AI89" s="3"/>
      <c r="AJ89" s="3" t="s">
        <v>106</v>
      </c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 t="s">
        <v>129</v>
      </c>
      <c r="BG89" s="3" t="s">
        <v>135</v>
      </c>
      <c r="BH89" s="3"/>
      <c r="BI89" s="3"/>
      <c r="BJ89" s="3"/>
      <c r="BK89" s="3"/>
      <c r="BL89" s="3"/>
      <c r="BM89" s="3" t="s">
        <v>137</v>
      </c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>
        <f>1/4</f>
        <v>0.25</v>
      </c>
      <c r="CD89" s="3" t="s">
        <v>107</v>
      </c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</row>
    <row r="90" ht="15.75" customHeight="1">
      <c r="A90" s="3" t="s">
        <v>184</v>
      </c>
      <c r="B90" s="3" t="s">
        <v>184</v>
      </c>
      <c r="C90" s="3" t="s">
        <v>104</v>
      </c>
      <c r="D90" s="3"/>
      <c r="E90" s="3"/>
      <c r="F90" s="3"/>
      <c r="G90" s="3" t="s">
        <v>103</v>
      </c>
      <c r="H90" s="3" t="s">
        <v>149</v>
      </c>
      <c r="I90" s="3"/>
      <c r="J90" s="3"/>
      <c r="K90" s="3"/>
      <c r="L90" s="3" t="s">
        <v>202</v>
      </c>
      <c r="M90" s="3"/>
      <c r="N90" s="3" t="s">
        <v>303</v>
      </c>
      <c r="O90" s="3"/>
      <c r="P90" s="3"/>
      <c r="Q90" s="3"/>
      <c r="R90" s="3"/>
      <c r="S90" s="3" t="s">
        <v>407</v>
      </c>
      <c r="T90" s="3" t="s">
        <v>137</v>
      </c>
      <c r="U90" s="3" t="s">
        <v>136</v>
      </c>
      <c r="V90" s="3" t="s">
        <v>137</v>
      </c>
      <c r="W90" s="3"/>
      <c r="X90" s="3"/>
      <c r="Y90" s="3" t="s">
        <v>126</v>
      </c>
      <c r="Z90" s="3"/>
      <c r="AA90" s="3"/>
      <c r="AB90" s="3" t="s">
        <v>129</v>
      </c>
      <c r="AC90" s="3"/>
      <c r="AD90" s="3" t="s">
        <v>126</v>
      </c>
      <c r="AE90" s="3"/>
      <c r="AF90" s="3"/>
      <c r="AG90" s="3"/>
      <c r="AH90" s="3"/>
      <c r="AI90" s="3"/>
      <c r="AJ90" s="3" t="s">
        <v>239</v>
      </c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 t="s">
        <v>119</v>
      </c>
      <c r="AW90" s="3" t="s">
        <v>150</v>
      </c>
      <c r="AX90" s="3"/>
      <c r="AY90" s="3" t="s">
        <v>172</v>
      </c>
      <c r="AZ90" s="3"/>
      <c r="BA90" s="3"/>
      <c r="BB90" s="3"/>
      <c r="BC90" s="3"/>
      <c r="BD90" s="3" t="s">
        <v>103</v>
      </c>
      <c r="BE90" s="3" t="s">
        <v>149</v>
      </c>
      <c r="BF90" s="3" t="s">
        <v>129</v>
      </c>
      <c r="BG90" s="3" t="s">
        <v>128</v>
      </c>
      <c r="BH90" s="3"/>
      <c r="BI90" s="3"/>
      <c r="BJ90" s="3" t="s">
        <v>126</v>
      </c>
      <c r="BK90" s="3" t="s">
        <v>235</v>
      </c>
      <c r="BL90" s="3" t="s">
        <v>129</v>
      </c>
      <c r="BM90" s="3" t="s">
        <v>103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4" t="s">
        <v>410</v>
      </c>
      <c r="CD90" s="4" t="s">
        <v>410</v>
      </c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</row>
    <row r="91" ht="15.75" customHeight="1">
      <c r="A91" s="3" t="s">
        <v>137</v>
      </c>
      <c r="B91" s="3" t="s">
        <v>184</v>
      </c>
      <c r="C91" s="3" t="s">
        <v>104</v>
      </c>
      <c r="D91" s="3"/>
      <c r="E91" s="3" t="s">
        <v>103</v>
      </c>
      <c r="F91" s="3"/>
      <c r="G91" s="3"/>
      <c r="H91" s="3" t="s">
        <v>411</v>
      </c>
      <c r="I91" s="3"/>
      <c r="J91" s="3" t="s">
        <v>107</v>
      </c>
      <c r="K91" s="3"/>
      <c r="L91" s="3" t="s">
        <v>238</v>
      </c>
      <c r="M91" s="3" t="s">
        <v>134</v>
      </c>
      <c r="N91" s="3" t="s">
        <v>412</v>
      </c>
      <c r="O91" s="3" t="s">
        <v>132</v>
      </c>
      <c r="P91" s="3"/>
      <c r="Q91" s="3" t="s">
        <v>413</v>
      </c>
      <c r="R91" s="3" t="s">
        <v>178</v>
      </c>
      <c r="S91" s="3" t="s">
        <v>239</v>
      </c>
      <c r="T91" s="3" t="s">
        <v>144</v>
      </c>
      <c r="U91" s="3" t="s">
        <v>164</v>
      </c>
      <c r="V91" s="3" t="s">
        <v>144</v>
      </c>
      <c r="W91" s="3"/>
      <c r="X91" s="3"/>
      <c r="Y91" s="3" t="s">
        <v>119</v>
      </c>
      <c r="Z91" s="3"/>
      <c r="AA91" s="3"/>
      <c r="AB91" s="3" t="s">
        <v>132</v>
      </c>
      <c r="AC91" s="3" t="s">
        <v>103</v>
      </c>
      <c r="AD91" s="3" t="s">
        <v>129</v>
      </c>
      <c r="AE91" s="3"/>
      <c r="AF91" s="3" t="s">
        <v>103</v>
      </c>
      <c r="AG91" s="3" t="s">
        <v>103</v>
      </c>
      <c r="AH91" s="3"/>
      <c r="AI91" s="3"/>
      <c r="AJ91" s="3" t="s">
        <v>191</v>
      </c>
      <c r="AK91" s="3"/>
      <c r="AL91" s="3" t="s">
        <v>126</v>
      </c>
      <c r="AM91" s="3"/>
      <c r="AN91" s="3"/>
      <c r="AO91" s="3"/>
      <c r="AP91" s="3"/>
      <c r="AQ91" s="3"/>
      <c r="AR91" s="3"/>
      <c r="AS91" s="3"/>
      <c r="AT91" s="3" t="s">
        <v>126</v>
      </c>
      <c r="AU91" s="3" t="s">
        <v>107</v>
      </c>
      <c r="AV91" s="3" t="s">
        <v>126</v>
      </c>
      <c r="AW91" s="3" t="s">
        <v>192</v>
      </c>
      <c r="AX91" s="3" t="s">
        <v>132</v>
      </c>
      <c r="AY91" s="3" t="s">
        <v>154</v>
      </c>
      <c r="AZ91" s="3"/>
      <c r="BA91" s="3"/>
      <c r="BB91" s="3"/>
      <c r="BC91" s="3"/>
      <c r="BD91" s="3" t="s">
        <v>103</v>
      </c>
      <c r="BE91" s="3" t="s">
        <v>149</v>
      </c>
      <c r="BF91" s="3" t="s">
        <v>132</v>
      </c>
      <c r="BG91" s="3" t="s">
        <v>135</v>
      </c>
      <c r="BH91" s="3"/>
      <c r="BI91" s="3"/>
      <c r="BJ91" s="3">
        <f>1/2</f>
        <v>0.5</v>
      </c>
      <c r="BK91" s="3" t="s">
        <v>184</v>
      </c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 t="s">
        <v>132</v>
      </c>
      <c r="CY91" s="3" t="s">
        <v>335</v>
      </c>
      <c r="CZ91" s="3"/>
      <c r="DA91" s="3"/>
      <c r="DB91" s="3"/>
    </row>
    <row r="92" ht="15.75" customHeight="1">
      <c r="A92" s="3" t="s">
        <v>103</v>
      </c>
      <c r="B92" s="3" t="s">
        <v>137</v>
      </c>
      <c r="C92" s="3" t="s">
        <v>104</v>
      </c>
      <c r="D92" s="3"/>
      <c r="E92" s="3" t="s">
        <v>103</v>
      </c>
      <c r="F92" s="3"/>
      <c r="G92" s="3"/>
      <c r="H92" s="3" t="s">
        <v>225</v>
      </c>
      <c r="I92" s="3" t="s">
        <v>125</v>
      </c>
      <c r="J92" s="3" t="s">
        <v>107</v>
      </c>
      <c r="K92" s="3"/>
      <c r="L92" s="3" t="s">
        <v>284</v>
      </c>
      <c r="M92" s="3" t="s">
        <v>106</v>
      </c>
      <c r="N92" s="4" t="s">
        <v>414</v>
      </c>
      <c r="O92" s="3" t="s">
        <v>137</v>
      </c>
      <c r="P92" s="3" t="s">
        <v>136</v>
      </c>
      <c r="Q92" s="3" t="s">
        <v>191</v>
      </c>
      <c r="R92" s="3" t="s">
        <v>160</v>
      </c>
      <c r="S92" s="3" t="s">
        <v>415</v>
      </c>
      <c r="T92" s="3" t="s">
        <v>116</v>
      </c>
      <c r="U92" s="3" t="s">
        <v>117</v>
      </c>
      <c r="V92" s="3" t="s">
        <v>105</v>
      </c>
      <c r="W92" s="3"/>
      <c r="X92" s="3"/>
      <c r="Y92" s="3" t="s">
        <v>127</v>
      </c>
      <c r="Z92" s="3"/>
      <c r="AA92" s="3"/>
      <c r="AB92" s="3" t="s">
        <v>112</v>
      </c>
      <c r="AC92" s="3" t="s">
        <v>167</v>
      </c>
      <c r="AD92" s="3" t="s">
        <v>137</v>
      </c>
      <c r="AE92" s="3" t="s">
        <v>107</v>
      </c>
      <c r="AF92" s="3" t="s">
        <v>184</v>
      </c>
      <c r="AG92" s="3" t="s">
        <v>103</v>
      </c>
      <c r="AH92" s="3"/>
      <c r="AI92" s="3"/>
      <c r="AJ92" s="3" t="s">
        <v>288</v>
      </c>
      <c r="AK92" s="3"/>
      <c r="AL92" s="3" t="s">
        <v>416</v>
      </c>
      <c r="AM92" s="3" t="s">
        <v>169</v>
      </c>
      <c r="AN92" s="3"/>
      <c r="AO92" s="3" t="s">
        <v>154</v>
      </c>
      <c r="AP92" s="3" t="s">
        <v>126</v>
      </c>
      <c r="AQ92" s="3"/>
      <c r="AR92" s="3" t="s">
        <v>103</v>
      </c>
      <c r="AS92" s="3"/>
      <c r="AT92" s="3" t="s">
        <v>416</v>
      </c>
      <c r="AU92" s="3" t="s">
        <v>417</v>
      </c>
      <c r="AV92" s="3" t="s">
        <v>129</v>
      </c>
      <c r="AW92" s="3" t="s">
        <v>122</v>
      </c>
      <c r="AX92" s="3"/>
      <c r="AY92" s="4" t="s">
        <v>154</v>
      </c>
      <c r="AZ92" s="3" t="s">
        <v>129</v>
      </c>
      <c r="BA92" s="3" t="s">
        <v>135</v>
      </c>
      <c r="BB92" s="3"/>
      <c r="BC92" s="3"/>
      <c r="BD92" s="3" t="s">
        <v>132</v>
      </c>
      <c r="BE92" s="3" t="s">
        <v>303</v>
      </c>
      <c r="BF92" s="3" t="s">
        <v>166</v>
      </c>
      <c r="BG92" s="3" t="s">
        <v>147</v>
      </c>
      <c r="BH92" s="3"/>
      <c r="BI92" s="3"/>
      <c r="BJ92" s="3" t="s">
        <v>162</v>
      </c>
      <c r="BK92" s="3" t="s">
        <v>134</v>
      </c>
      <c r="BL92" s="3" t="s">
        <v>107</v>
      </c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 t="s">
        <v>103</v>
      </c>
      <c r="CD92" s="3" t="s">
        <v>106</v>
      </c>
      <c r="CE92" s="3"/>
      <c r="CF92" s="3"/>
      <c r="CG92" s="3"/>
      <c r="CH92" s="3"/>
      <c r="CI92" s="3">
        <f t="shared" ref="CI92:CI94" si="13">1/2</f>
        <v>0.5</v>
      </c>
      <c r="CJ92" s="3" t="s">
        <v>154</v>
      </c>
      <c r="CK92" s="3" t="s">
        <v>224</v>
      </c>
      <c r="CL92" s="3"/>
      <c r="CM92" s="3"/>
      <c r="CN92" s="3"/>
      <c r="CO92" s="3" t="s">
        <v>169</v>
      </c>
      <c r="CP92" s="3"/>
      <c r="CQ92" s="3"/>
      <c r="CR92" s="3"/>
      <c r="CS92" s="3"/>
      <c r="CT92" s="3"/>
      <c r="CU92" s="3"/>
      <c r="CV92" s="3"/>
      <c r="CW92" s="3"/>
      <c r="CX92" s="3" t="s">
        <v>132</v>
      </c>
      <c r="CY92" s="3" t="s">
        <v>166</v>
      </c>
      <c r="CZ92" s="3"/>
      <c r="DA92" s="3"/>
      <c r="DB92" s="3"/>
    </row>
    <row r="93" ht="15.75" customHeight="1">
      <c r="A93" s="3" t="s">
        <v>126</v>
      </c>
      <c r="B93" s="3" t="s">
        <v>137</v>
      </c>
      <c r="C93" s="3" t="s">
        <v>104</v>
      </c>
      <c r="D93" s="3"/>
      <c r="E93" s="3" t="s">
        <v>103</v>
      </c>
      <c r="F93" s="3"/>
      <c r="G93" s="3"/>
      <c r="H93" s="3" t="s">
        <v>177</v>
      </c>
      <c r="I93" s="3"/>
      <c r="J93" s="3"/>
      <c r="K93" s="3"/>
      <c r="L93" s="3" t="s">
        <v>229</v>
      </c>
      <c r="M93" s="3" t="s">
        <v>154</v>
      </c>
      <c r="N93" s="3" t="s">
        <v>386</v>
      </c>
      <c r="O93" s="3"/>
      <c r="P93" s="3"/>
      <c r="Q93" s="3" t="s">
        <v>144</v>
      </c>
      <c r="R93" s="3" t="s">
        <v>119</v>
      </c>
      <c r="S93" s="3" t="s">
        <v>359</v>
      </c>
      <c r="T93" s="3" t="s">
        <v>166</v>
      </c>
      <c r="U93" s="3" t="s">
        <v>200</v>
      </c>
      <c r="V93" s="3" t="s">
        <v>166</v>
      </c>
      <c r="W93" s="3"/>
      <c r="X93" s="3"/>
      <c r="Y93" s="3" t="s">
        <v>126</v>
      </c>
      <c r="Z93" s="3"/>
      <c r="AA93" s="3"/>
      <c r="AB93" s="3" t="s">
        <v>129</v>
      </c>
      <c r="AC93" s="3"/>
      <c r="AD93" s="3" t="s">
        <v>129</v>
      </c>
      <c r="AE93" s="3"/>
      <c r="AF93" s="3"/>
      <c r="AG93" s="3"/>
      <c r="AH93" s="3"/>
      <c r="AI93" s="3"/>
      <c r="AJ93" s="3" t="s">
        <v>256</v>
      </c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 t="s">
        <v>126</v>
      </c>
      <c r="AW93" s="3" t="s">
        <v>137</v>
      </c>
      <c r="AX93" s="3" t="s">
        <v>126</v>
      </c>
      <c r="AY93" s="4" t="s">
        <v>149</v>
      </c>
      <c r="AZ93" s="3"/>
      <c r="BA93" s="3"/>
      <c r="BB93" s="3"/>
      <c r="BC93" s="3"/>
      <c r="BD93" s="3">
        <f>3/4</f>
        <v>0.75</v>
      </c>
      <c r="BE93" s="3" t="s">
        <v>144</v>
      </c>
      <c r="BF93" s="3" t="s">
        <v>119</v>
      </c>
      <c r="BG93" s="3" t="s">
        <v>125</v>
      </c>
      <c r="BH93" s="3"/>
      <c r="BI93" s="3"/>
      <c r="BJ93" s="3"/>
      <c r="BK93" s="3"/>
      <c r="BL93" s="3" t="s">
        <v>111</v>
      </c>
      <c r="BM93" s="3" t="s">
        <v>103</v>
      </c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>
        <f t="shared" ref="CC93:CC94" si="14">1/2</f>
        <v>0.5</v>
      </c>
      <c r="CD93" s="3" t="s">
        <v>131</v>
      </c>
      <c r="CE93" s="3"/>
      <c r="CF93" s="3"/>
      <c r="CG93" s="3"/>
      <c r="CH93" s="3"/>
      <c r="CI93" s="3">
        <f t="shared" si="13"/>
        <v>0.5</v>
      </c>
      <c r="CJ93" s="3" t="s">
        <v>111</v>
      </c>
      <c r="CK93" s="3" t="s">
        <v>154</v>
      </c>
      <c r="CL93" s="3"/>
      <c r="CM93" s="3"/>
      <c r="CN93" s="3"/>
      <c r="CO93" s="3" t="s">
        <v>166</v>
      </c>
      <c r="CP93" s="3"/>
      <c r="CQ93" s="3"/>
      <c r="CR93" s="3"/>
      <c r="CS93" s="3"/>
      <c r="CT93" s="3"/>
      <c r="CU93" s="3"/>
      <c r="CV93" s="3"/>
      <c r="CW93" s="3"/>
      <c r="CX93" s="3" t="s">
        <v>137</v>
      </c>
      <c r="CY93" s="3" t="s">
        <v>107</v>
      </c>
      <c r="CZ93" s="3"/>
      <c r="DA93" s="3"/>
      <c r="DB93" s="3"/>
    </row>
    <row r="94" ht="15.75" customHeight="1">
      <c r="A94" s="3" t="s">
        <v>119</v>
      </c>
      <c r="B94" s="3" t="s">
        <v>137</v>
      </c>
      <c r="C94" s="3" t="s">
        <v>104</v>
      </c>
      <c r="D94" s="3"/>
      <c r="E94" s="3" t="s">
        <v>103</v>
      </c>
      <c r="F94" s="3"/>
      <c r="G94" s="3"/>
      <c r="H94" s="3" t="s">
        <v>118</v>
      </c>
      <c r="I94" s="3"/>
      <c r="J94" s="3" t="s">
        <v>149</v>
      </c>
      <c r="K94" s="3"/>
      <c r="L94" s="3" t="s">
        <v>316</v>
      </c>
      <c r="M94" s="3" t="s">
        <v>109</v>
      </c>
      <c r="N94" s="3" t="s">
        <v>418</v>
      </c>
      <c r="O94" s="3" t="s">
        <v>132</v>
      </c>
      <c r="P94" s="3"/>
      <c r="Q94" s="3" t="s">
        <v>224</v>
      </c>
      <c r="R94" s="3" t="s">
        <v>178</v>
      </c>
      <c r="S94" s="3" t="s">
        <v>187</v>
      </c>
      <c r="T94" s="3" t="s">
        <v>149</v>
      </c>
      <c r="U94" s="3" t="s">
        <v>105</v>
      </c>
      <c r="V94" s="3" t="s">
        <v>149</v>
      </c>
      <c r="W94" s="3"/>
      <c r="X94" s="3"/>
      <c r="Y94" s="3" t="s">
        <v>119</v>
      </c>
      <c r="Z94" s="3"/>
      <c r="AA94" s="3"/>
      <c r="AB94" s="3" t="s">
        <v>150</v>
      </c>
      <c r="AC94" s="3" t="s">
        <v>127</v>
      </c>
      <c r="AD94" s="3" t="s">
        <v>150</v>
      </c>
      <c r="AE94" s="3" t="s">
        <v>103</v>
      </c>
      <c r="AF94" s="3" t="s">
        <v>126</v>
      </c>
      <c r="AG94" s="3" t="s">
        <v>103</v>
      </c>
      <c r="AH94" s="3" t="s">
        <v>103</v>
      </c>
      <c r="AI94" s="3"/>
      <c r="AJ94" s="3" t="s">
        <v>406</v>
      </c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 t="s">
        <v>156</v>
      </c>
      <c r="AX94" s="3"/>
      <c r="AY94" s="4" t="s">
        <v>169</v>
      </c>
      <c r="AZ94" s="3" t="s">
        <v>103</v>
      </c>
      <c r="BA94" s="3" t="s">
        <v>156</v>
      </c>
      <c r="BB94" s="3"/>
      <c r="BC94" s="3"/>
      <c r="BD94" s="3" t="s">
        <v>119</v>
      </c>
      <c r="BE94" s="3" t="s">
        <v>134</v>
      </c>
      <c r="BF94" s="3" t="s">
        <v>156</v>
      </c>
      <c r="BG94" s="3" t="s">
        <v>176</v>
      </c>
      <c r="BH94" s="3" t="s">
        <v>126</v>
      </c>
      <c r="BI94" s="3" t="s">
        <v>192</v>
      </c>
      <c r="BJ94" s="5">
        <f>2 + (1/2)</f>
        <v>2.5</v>
      </c>
      <c r="BK94" s="3" t="s">
        <v>167</v>
      </c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>
        <f t="shared" si="14"/>
        <v>0.5</v>
      </c>
      <c r="CD94" s="3" t="s">
        <v>154</v>
      </c>
      <c r="CE94" s="3"/>
      <c r="CF94" s="3"/>
      <c r="CG94" s="3"/>
      <c r="CH94" s="3"/>
      <c r="CI94" s="3">
        <f t="shared" si="13"/>
        <v>0.5</v>
      </c>
      <c r="CJ94" s="3" t="s">
        <v>167</v>
      </c>
      <c r="CK94" s="3" t="s">
        <v>167</v>
      </c>
      <c r="CL94" s="3"/>
      <c r="CM94" s="3"/>
      <c r="CN94" s="3"/>
      <c r="CO94" s="3" t="s">
        <v>148</v>
      </c>
      <c r="CP94" s="3"/>
      <c r="CQ94" s="3"/>
      <c r="CR94" s="3"/>
      <c r="CS94" s="3"/>
      <c r="CT94" s="3"/>
      <c r="CU94" s="3"/>
      <c r="CV94" s="3"/>
      <c r="CW94" s="3"/>
      <c r="CX94" s="3" t="s">
        <v>136</v>
      </c>
      <c r="CY94" s="3" t="s">
        <v>135</v>
      </c>
      <c r="CZ94" s="3"/>
      <c r="DA94" s="3"/>
      <c r="DB94" s="3"/>
    </row>
    <row r="95" ht="15.75" customHeight="1">
      <c r="A95" s="3" t="s">
        <v>129</v>
      </c>
      <c r="B95" s="3" t="s">
        <v>137</v>
      </c>
      <c r="C95" s="3" t="s">
        <v>104</v>
      </c>
      <c r="D95" s="3"/>
      <c r="E95" s="3" t="s">
        <v>103</v>
      </c>
      <c r="F95" s="3"/>
      <c r="G95" s="3"/>
      <c r="H95" s="3" t="s">
        <v>114</v>
      </c>
      <c r="I95" s="3"/>
      <c r="J95" s="3" t="s">
        <v>129</v>
      </c>
      <c r="K95" s="3"/>
      <c r="L95" s="3" t="s">
        <v>244</v>
      </c>
      <c r="M95" s="3" t="s">
        <v>154</v>
      </c>
      <c r="N95" s="3" t="s">
        <v>113</v>
      </c>
      <c r="O95" s="3" t="s">
        <v>154</v>
      </c>
      <c r="P95" s="3" t="s">
        <v>112</v>
      </c>
      <c r="Q95" s="3" t="s">
        <v>109</v>
      </c>
      <c r="R95" s="3" t="s">
        <v>178</v>
      </c>
      <c r="S95" s="3" t="s">
        <v>419</v>
      </c>
      <c r="T95" s="3" t="s">
        <v>122</v>
      </c>
      <c r="U95" s="3" t="s">
        <v>298</v>
      </c>
      <c r="V95" s="3" t="s">
        <v>107</v>
      </c>
      <c r="W95" s="3"/>
      <c r="X95" s="3"/>
      <c r="Y95" s="3" t="s">
        <v>103</v>
      </c>
      <c r="Z95" s="3"/>
      <c r="AA95" s="3"/>
      <c r="AB95" s="3" t="s">
        <v>162</v>
      </c>
      <c r="AC95" s="3" t="s">
        <v>126</v>
      </c>
      <c r="AD95" s="3" t="s">
        <v>132</v>
      </c>
      <c r="AE95" s="3"/>
      <c r="AF95" s="3"/>
      <c r="AG95" s="3"/>
      <c r="AH95" s="3"/>
      <c r="AI95" s="3" t="s">
        <v>420</v>
      </c>
      <c r="AJ95" s="3" t="s">
        <v>421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 t="s">
        <v>126</v>
      </c>
      <c r="AW95" s="3" t="s">
        <v>166</v>
      </c>
      <c r="AX95" s="3"/>
      <c r="AY95" s="4" t="s">
        <v>116</v>
      </c>
      <c r="AZ95" s="3" t="s">
        <v>103</v>
      </c>
      <c r="BA95" s="3" t="s">
        <v>296</v>
      </c>
      <c r="BB95" s="3"/>
      <c r="BC95" s="3"/>
      <c r="BD95" s="3"/>
      <c r="BE95" s="3"/>
      <c r="BF95" s="5">
        <f>1 + (1/2)</f>
        <v>1.5</v>
      </c>
      <c r="BG95" s="3" t="s">
        <v>154</v>
      </c>
      <c r="BH95" s="3"/>
      <c r="BI95" s="3"/>
      <c r="BJ95" s="3"/>
      <c r="BK95" s="3"/>
      <c r="BL95" s="3" t="s">
        <v>107</v>
      </c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>
        <f>1/8</f>
        <v>0.125</v>
      </c>
      <c r="CD95" s="3" t="s">
        <v>136</v>
      </c>
      <c r="CE95" s="3"/>
      <c r="CF95" s="3"/>
      <c r="CG95" s="3"/>
      <c r="CH95" s="3"/>
      <c r="CI95" s="3" t="s">
        <v>103</v>
      </c>
      <c r="CJ95" s="3" t="s">
        <v>154</v>
      </c>
      <c r="CK95" s="3" t="s">
        <v>135</v>
      </c>
      <c r="CL95" s="3"/>
      <c r="CM95" s="3"/>
      <c r="CN95" s="3"/>
      <c r="CO95" s="3" t="s">
        <v>136</v>
      </c>
      <c r="CP95" s="3"/>
      <c r="CQ95" s="3"/>
      <c r="CR95" s="3"/>
      <c r="CS95" s="3"/>
      <c r="CT95" s="3"/>
      <c r="CU95" s="3"/>
      <c r="CV95" s="3" t="s">
        <v>203</v>
      </c>
      <c r="CW95" s="3"/>
      <c r="CX95" s="3" t="s">
        <v>122</v>
      </c>
      <c r="CY95" s="3" t="s">
        <v>120</v>
      </c>
      <c r="CZ95" s="3"/>
      <c r="DA95" s="3"/>
      <c r="DB95" s="3"/>
    </row>
    <row r="96" ht="15.75" customHeight="1">
      <c r="A96" s="3" t="s">
        <v>132</v>
      </c>
      <c r="B96" s="3" t="s">
        <v>137</v>
      </c>
      <c r="C96" s="3" t="s">
        <v>104</v>
      </c>
      <c r="D96" s="3"/>
      <c r="E96" s="3" t="s">
        <v>103</v>
      </c>
      <c r="F96" s="3"/>
      <c r="G96" s="3"/>
      <c r="H96" s="4" t="s">
        <v>154</v>
      </c>
      <c r="I96" s="3"/>
      <c r="J96" s="3" t="s">
        <v>144</v>
      </c>
      <c r="K96" s="3"/>
      <c r="L96" s="3" t="s">
        <v>238</v>
      </c>
      <c r="M96" s="3" t="s">
        <v>106</v>
      </c>
      <c r="N96" s="3" t="s">
        <v>272</v>
      </c>
      <c r="O96" s="3" t="s">
        <v>144</v>
      </c>
      <c r="P96" s="3" t="s">
        <v>119</v>
      </c>
      <c r="Q96" s="3" t="s">
        <v>106</v>
      </c>
      <c r="R96" s="3" t="s">
        <v>136</v>
      </c>
      <c r="S96" s="3" t="s">
        <v>422</v>
      </c>
      <c r="T96" s="3" t="s">
        <v>166</v>
      </c>
      <c r="U96" s="3" t="s">
        <v>167</v>
      </c>
      <c r="V96" s="3" t="s">
        <v>107</v>
      </c>
      <c r="W96" s="3"/>
      <c r="X96" s="3"/>
      <c r="Y96" s="3" t="s">
        <v>126</v>
      </c>
      <c r="Z96" s="3"/>
      <c r="AA96" s="3"/>
      <c r="AB96" s="3" t="s">
        <v>127</v>
      </c>
      <c r="AC96" s="3"/>
      <c r="AD96" s="3" t="s">
        <v>112</v>
      </c>
      <c r="AE96" s="3"/>
      <c r="AF96" s="3" t="s">
        <v>112</v>
      </c>
      <c r="AG96" s="3" t="s">
        <v>103</v>
      </c>
      <c r="AH96" s="3"/>
      <c r="AI96" s="3" t="s">
        <v>423</v>
      </c>
      <c r="AJ96" s="3" t="s">
        <v>203</v>
      </c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 t="s">
        <v>119</v>
      </c>
      <c r="AW96" s="3" t="s">
        <v>111</v>
      </c>
      <c r="AX96" s="3"/>
      <c r="AY96" s="4" t="s">
        <v>154</v>
      </c>
      <c r="AZ96" s="3" t="s">
        <v>119</v>
      </c>
      <c r="BA96" s="3" t="s">
        <v>211</v>
      </c>
      <c r="BB96" s="3"/>
      <c r="BC96" s="3"/>
      <c r="BD96" s="3" t="s">
        <v>103</v>
      </c>
      <c r="BE96" s="3" t="s">
        <v>144</v>
      </c>
      <c r="BF96" s="3">
        <f>1/2</f>
        <v>0.5</v>
      </c>
      <c r="BG96" s="3" t="s">
        <v>137</v>
      </c>
      <c r="BH96" s="3"/>
      <c r="BI96" s="3"/>
      <c r="BJ96" s="5">
        <f>1 + (1/2)</f>
        <v>1.5</v>
      </c>
      <c r="BK96" s="3" t="s">
        <v>178</v>
      </c>
      <c r="BL96" s="3" t="s">
        <v>137</v>
      </c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>
        <f>1/2</f>
        <v>0.5</v>
      </c>
      <c r="CD96" s="3" t="s">
        <v>154</v>
      </c>
      <c r="CE96" s="3"/>
      <c r="CF96" s="3"/>
      <c r="CG96" s="3"/>
      <c r="CH96" s="3"/>
      <c r="CI96" s="3">
        <f>1/2</f>
        <v>0.5</v>
      </c>
      <c r="CJ96" s="3" t="s">
        <v>166</v>
      </c>
      <c r="CK96" s="3" t="s">
        <v>106</v>
      </c>
      <c r="CL96" s="3"/>
      <c r="CM96" s="3"/>
      <c r="CN96" s="3"/>
      <c r="CO96" s="3" t="s">
        <v>144</v>
      </c>
      <c r="CP96" s="3"/>
      <c r="CQ96" s="3"/>
      <c r="CR96" s="3"/>
      <c r="CS96" s="3"/>
      <c r="CT96" s="3"/>
      <c r="CU96" s="3"/>
      <c r="CV96" s="3"/>
      <c r="CW96" s="3"/>
      <c r="CX96" s="3" t="s">
        <v>166</v>
      </c>
      <c r="CY96" s="3" t="s">
        <v>157</v>
      </c>
      <c r="CZ96" s="3"/>
      <c r="DA96" s="3"/>
      <c r="DB96" s="3"/>
    </row>
    <row r="97" ht="15.75" customHeight="1">
      <c r="A97" s="3" t="s">
        <v>162</v>
      </c>
      <c r="B97" s="3" t="s">
        <v>137</v>
      </c>
      <c r="C97" s="3" t="s">
        <v>104</v>
      </c>
      <c r="D97" s="3"/>
      <c r="E97" s="3" t="s">
        <v>103</v>
      </c>
      <c r="F97" s="3"/>
      <c r="G97" s="3"/>
      <c r="H97" s="3" t="s">
        <v>107</v>
      </c>
      <c r="I97" s="3"/>
      <c r="J97" s="3"/>
      <c r="K97" s="3"/>
      <c r="L97" s="3" t="s">
        <v>229</v>
      </c>
      <c r="M97" s="3" t="s">
        <v>191</v>
      </c>
      <c r="N97" s="3" t="s">
        <v>203</v>
      </c>
      <c r="O97" s="3"/>
      <c r="P97" s="3" t="s">
        <v>119</v>
      </c>
      <c r="Q97" s="3" t="s">
        <v>154</v>
      </c>
      <c r="R97" s="3" t="s">
        <v>111</v>
      </c>
      <c r="S97" s="3" t="s">
        <v>291</v>
      </c>
      <c r="T97" s="3" t="s">
        <v>122</v>
      </c>
      <c r="U97" s="3" t="s">
        <v>162</v>
      </c>
      <c r="V97" s="3" t="s">
        <v>121</v>
      </c>
      <c r="W97" s="3"/>
      <c r="X97" s="3"/>
      <c r="Y97" s="3" t="s">
        <v>129</v>
      </c>
      <c r="Z97" s="3"/>
      <c r="AA97" s="3"/>
      <c r="AB97" s="3" t="s">
        <v>126</v>
      </c>
      <c r="AC97" s="3"/>
      <c r="AD97" s="3" t="s">
        <v>126</v>
      </c>
      <c r="AE97" s="3"/>
      <c r="AF97" s="3" t="s">
        <v>119</v>
      </c>
      <c r="AG97" s="3"/>
      <c r="AH97" s="3"/>
      <c r="AI97" s="3"/>
      <c r="AJ97" s="3" t="s">
        <v>145</v>
      </c>
      <c r="AK97" s="3"/>
      <c r="AL97" s="3" t="s">
        <v>162</v>
      </c>
      <c r="AM97" s="3" t="s">
        <v>132</v>
      </c>
      <c r="AN97" s="3"/>
      <c r="AO97" s="3" t="s">
        <v>162</v>
      </c>
      <c r="AP97" s="3"/>
      <c r="AQ97" s="3"/>
      <c r="AR97" s="3"/>
      <c r="AS97" s="3"/>
      <c r="AT97" s="3" t="s">
        <v>162</v>
      </c>
      <c r="AU97" s="3" t="s">
        <v>154</v>
      </c>
      <c r="AV97" s="3" t="s">
        <v>103</v>
      </c>
      <c r="AW97" s="3" t="s">
        <v>122</v>
      </c>
      <c r="AX97" s="3"/>
      <c r="AY97" s="4" t="s">
        <v>154</v>
      </c>
      <c r="AZ97" s="3"/>
      <c r="BA97" s="3"/>
      <c r="BB97" s="3">
        <f>1/2</f>
        <v>0.5</v>
      </c>
      <c r="BC97" s="3" t="s">
        <v>235</v>
      </c>
      <c r="BD97" s="3"/>
      <c r="BE97" s="3"/>
      <c r="BF97" s="3" t="s">
        <v>129</v>
      </c>
      <c r="BG97" s="3" t="s">
        <v>225</v>
      </c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>
        <f>1/8</f>
        <v>0.125</v>
      </c>
      <c r="CD97" s="4" t="s">
        <v>144</v>
      </c>
      <c r="CE97" s="3"/>
      <c r="CF97" s="3"/>
      <c r="CG97" s="3"/>
      <c r="CH97" s="3"/>
      <c r="CI97" s="3" t="s">
        <v>126</v>
      </c>
      <c r="CJ97" s="3" t="s">
        <v>179</v>
      </c>
      <c r="CK97" s="3" t="s">
        <v>144</v>
      </c>
      <c r="CL97" s="3"/>
      <c r="CM97" s="3"/>
      <c r="CN97" s="3"/>
      <c r="CO97" s="3" t="s">
        <v>150</v>
      </c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</row>
    <row r="98" ht="15.75" customHeight="1">
      <c r="A98" s="3" t="s">
        <v>127</v>
      </c>
      <c r="B98" s="3" t="s">
        <v>137</v>
      </c>
      <c r="C98" s="3" t="s">
        <v>104</v>
      </c>
      <c r="D98" s="3"/>
      <c r="E98" s="3" t="s">
        <v>103</v>
      </c>
      <c r="F98" s="3"/>
      <c r="G98" s="3"/>
      <c r="H98" s="3" t="s">
        <v>152</v>
      </c>
      <c r="I98" s="3"/>
      <c r="J98" s="3"/>
      <c r="K98" s="3"/>
      <c r="L98" s="3" t="s">
        <v>229</v>
      </c>
      <c r="M98" s="3" t="s">
        <v>135</v>
      </c>
      <c r="N98" s="3" t="s">
        <v>109</v>
      </c>
      <c r="O98" s="3" t="s">
        <v>154</v>
      </c>
      <c r="P98" s="3"/>
      <c r="Q98" s="3"/>
      <c r="R98" s="3"/>
      <c r="S98" s="3" t="s">
        <v>424</v>
      </c>
      <c r="T98" s="3" t="s">
        <v>162</v>
      </c>
      <c r="U98" s="3" t="s">
        <v>132</v>
      </c>
      <c r="V98" s="3" t="s">
        <v>112</v>
      </c>
      <c r="W98" s="3"/>
      <c r="X98" s="3"/>
      <c r="Y98" s="3" t="s">
        <v>103</v>
      </c>
      <c r="Z98" s="3"/>
      <c r="AA98" s="3"/>
      <c r="AB98" s="3" t="s">
        <v>126</v>
      </c>
      <c r="AC98" s="3"/>
      <c r="AD98" s="3" t="s">
        <v>103</v>
      </c>
      <c r="AE98" s="3"/>
      <c r="AF98" s="3"/>
      <c r="AG98" s="3"/>
      <c r="AH98" s="3"/>
      <c r="AI98" s="3"/>
      <c r="AJ98" s="3" t="s">
        <v>191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 t="s">
        <v>103</v>
      </c>
      <c r="AW98" s="3" t="s">
        <v>112</v>
      </c>
      <c r="AX98" s="3"/>
      <c r="AY98" s="4" t="s">
        <v>178</v>
      </c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>
        <f t="shared" ref="CC98:CC100" si="15">1/2</f>
        <v>0.5</v>
      </c>
      <c r="CD98" s="4" t="s">
        <v>131</v>
      </c>
      <c r="CE98" s="3"/>
      <c r="CF98" s="3"/>
      <c r="CG98" s="3"/>
      <c r="CH98" s="3"/>
      <c r="CI98" s="3">
        <f>1/2</f>
        <v>0.5</v>
      </c>
      <c r="CJ98" s="3" t="s">
        <v>144</v>
      </c>
      <c r="CK98" s="3" t="s">
        <v>154</v>
      </c>
      <c r="CL98" s="3"/>
      <c r="CM98" s="3"/>
      <c r="CN98" s="3"/>
      <c r="CO98" s="3" t="s">
        <v>144</v>
      </c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</row>
    <row r="99" ht="15.75" customHeight="1">
      <c r="A99" s="3" t="s">
        <v>112</v>
      </c>
      <c r="B99" s="3" t="s">
        <v>137</v>
      </c>
      <c r="C99" s="3" t="s">
        <v>104</v>
      </c>
      <c r="D99" s="3"/>
      <c r="E99" s="3" t="s">
        <v>103</v>
      </c>
      <c r="F99" s="3"/>
      <c r="G99" s="3"/>
      <c r="H99" s="3" t="s">
        <v>305</v>
      </c>
      <c r="I99" s="3"/>
      <c r="J99" s="3" t="s">
        <v>144</v>
      </c>
      <c r="K99" s="3"/>
      <c r="L99" s="3" t="s">
        <v>254</v>
      </c>
      <c r="M99" s="3" t="s">
        <v>130</v>
      </c>
      <c r="N99" s="3" t="s">
        <v>425</v>
      </c>
      <c r="O99" s="3" t="s">
        <v>162</v>
      </c>
      <c r="P99" s="3"/>
      <c r="Q99" s="3" t="s">
        <v>106</v>
      </c>
      <c r="R99" s="3" t="s">
        <v>144</v>
      </c>
      <c r="S99" s="3" t="s">
        <v>426</v>
      </c>
      <c r="T99" s="3" t="s">
        <v>211</v>
      </c>
      <c r="U99" s="3" t="s">
        <v>172</v>
      </c>
      <c r="V99" s="3" t="s">
        <v>211</v>
      </c>
      <c r="W99" s="3"/>
      <c r="X99" s="3"/>
      <c r="Y99" s="3" t="s">
        <v>129</v>
      </c>
      <c r="Z99" s="3"/>
      <c r="AA99" s="3"/>
      <c r="AB99" s="3" t="s">
        <v>192</v>
      </c>
      <c r="AC99" s="3" t="s">
        <v>152</v>
      </c>
      <c r="AD99" s="3" t="s">
        <v>121</v>
      </c>
      <c r="AE99" s="3"/>
      <c r="AF99" s="3" t="s">
        <v>126</v>
      </c>
      <c r="AG99" s="3" t="s">
        <v>126</v>
      </c>
      <c r="AH99" s="3"/>
      <c r="AI99" s="3"/>
      <c r="AJ99" s="3" t="s">
        <v>427</v>
      </c>
      <c r="AK99" s="3"/>
      <c r="AL99" s="3" t="s">
        <v>126</v>
      </c>
      <c r="AM99" s="3"/>
      <c r="AN99" s="3"/>
      <c r="AO99" s="3" t="s">
        <v>126</v>
      </c>
      <c r="AP99" s="3"/>
      <c r="AQ99" s="3"/>
      <c r="AR99" s="3"/>
      <c r="AS99" s="3"/>
      <c r="AT99" s="3" t="s">
        <v>126</v>
      </c>
      <c r="AU99" s="3" t="s">
        <v>122</v>
      </c>
      <c r="AV99" s="3" t="s">
        <v>132</v>
      </c>
      <c r="AW99" s="3" t="s">
        <v>279</v>
      </c>
      <c r="AX99" s="3"/>
      <c r="AY99" s="4" t="s">
        <v>154</v>
      </c>
      <c r="AZ99" s="5">
        <f t="shared" ref="AZ99:AZ100" si="16">1 + (1/2)</f>
        <v>1.5</v>
      </c>
      <c r="BA99" s="3" t="s">
        <v>149</v>
      </c>
      <c r="BB99" s="3">
        <f>1/2</f>
        <v>0.5</v>
      </c>
      <c r="BC99" s="3" t="s">
        <v>112</v>
      </c>
      <c r="BD99" s="5">
        <f>1 + (1/4)</f>
        <v>1.25</v>
      </c>
      <c r="BE99" s="3" t="s">
        <v>154</v>
      </c>
      <c r="BF99" s="3" t="s">
        <v>132</v>
      </c>
      <c r="BG99" s="3" t="s">
        <v>303</v>
      </c>
      <c r="BH99" s="3" t="s">
        <v>103</v>
      </c>
      <c r="BI99" s="3" t="s">
        <v>121</v>
      </c>
      <c r="BJ99" s="5">
        <f>1 + (1/4)</f>
        <v>1.25</v>
      </c>
      <c r="BK99" s="3" t="s">
        <v>166</v>
      </c>
      <c r="BL99" s="3" t="s">
        <v>112</v>
      </c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>
        <f t="shared" si="15"/>
        <v>0.5</v>
      </c>
      <c r="CD99" s="3" t="s">
        <v>140</v>
      </c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 t="s">
        <v>112</v>
      </c>
      <c r="CY99" s="3" t="s">
        <v>237</v>
      </c>
      <c r="CZ99" s="3"/>
      <c r="DA99" s="3"/>
      <c r="DB99" s="3"/>
    </row>
    <row r="100" ht="15.75" customHeight="1">
      <c r="A100" s="3" t="s">
        <v>184</v>
      </c>
      <c r="B100" s="3" t="s">
        <v>137</v>
      </c>
      <c r="C100" s="3" t="s">
        <v>104</v>
      </c>
      <c r="D100" s="3"/>
      <c r="E100" s="3" t="s">
        <v>103</v>
      </c>
      <c r="F100" s="3"/>
      <c r="G100" s="3"/>
      <c r="H100" s="3" t="s">
        <v>107</v>
      </c>
      <c r="I100" s="3"/>
      <c r="J100" s="3" t="s">
        <v>137</v>
      </c>
      <c r="K100" s="3"/>
      <c r="L100" s="3" t="s">
        <v>229</v>
      </c>
      <c r="M100" s="3" t="s">
        <v>135</v>
      </c>
      <c r="N100" s="3" t="s">
        <v>113</v>
      </c>
      <c r="O100" s="3" t="s">
        <v>144</v>
      </c>
      <c r="P100" s="3"/>
      <c r="Q100" s="3" t="s">
        <v>107</v>
      </c>
      <c r="R100" s="3" t="s">
        <v>119</v>
      </c>
      <c r="S100" s="3" t="s">
        <v>428</v>
      </c>
      <c r="T100" s="3" t="s">
        <v>235</v>
      </c>
      <c r="U100" s="3" t="s">
        <v>129</v>
      </c>
      <c r="V100" s="3" t="s">
        <v>107</v>
      </c>
      <c r="W100" s="3"/>
      <c r="X100" s="3"/>
      <c r="Y100" s="3" t="s">
        <v>119</v>
      </c>
      <c r="Z100" s="3"/>
      <c r="AA100" s="3"/>
      <c r="AB100" s="3" t="s">
        <v>129</v>
      </c>
      <c r="AC100" s="3"/>
      <c r="AD100" s="3" t="s">
        <v>132</v>
      </c>
      <c r="AE100" s="3" t="s">
        <v>103</v>
      </c>
      <c r="AF100" s="3"/>
      <c r="AG100" s="3" t="s">
        <v>103</v>
      </c>
      <c r="AH100" s="3"/>
      <c r="AI100" s="3" t="s">
        <v>429</v>
      </c>
      <c r="AJ100" s="3" t="s">
        <v>203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 t="s">
        <v>103</v>
      </c>
      <c r="AW100" s="3" t="s">
        <v>111</v>
      </c>
      <c r="AX100" s="3"/>
      <c r="AY100" s="4" t="s">
        <v>154</v>
      </c>
      <c r="AZ100" s="5">
        <f t="shared" si="16"/>
        <v>1.5</v>
      </c>
      <c r="BA100" s="3" t="s">
        <v>169</v>
      </c>
      <c r="BB100" s="3"/>
      <c r="BC100" s="3"/>
      <c r="BD100" s="3">
        <f>3/4</f>
        <v>0.75</v>
      </c>
      <c r="BE100" s="3" t="s">
        <v>149</v>
      </c>
      <c r="BF100" s="3" t="s">
        <v>103</v>
      </c>
      <c r="BG100" s="3" t="s">
        <v>136</v>
      </c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>
        <f t="shared" si="15"/>
        <v>0.5</v>
      </c>
      <c r="CD100" s="3" t="s">
        <v>105</v>
      </c>
      <c r="CE100" s="3"/>
      <c r="CF100" s="3"/>
      <c r="CG100" s="3"/>
      <c r="CH100" s="3"/>
      <c r="CI100" s="5">
        <f>1 + (1/2)</f>
        <v>1.5</v>
      </c>
      <c r="CJ100" s="3" t="s">
        <v>149</v>
      </c>
      <c r="CK100" s="3" t="s">
        <v>109</v>
      </c>
      <c r="CL100" s="3"/>
      <c r="CM100" s="3"/>
      <c r="CN100" s="3"/>
      <c r="CO100" s="3" t="s">
        <v>116</v>
      </c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</row>
    <row r="101" ht="15.75" customHeight="1">
      <c r="A101" s="3" t="s">
        <v>137</v>
      </c>
      <c r="B101" s="3" t="s">
        <v>137</v>
      </c>
      <c r="C101" s="3" t="s">
        <v>104</v>
      </c>
      <c r="D101" s="3"/>
      <c r="E101" s="3" t="s">
        <v>103</v>
      </c>
      <c r="F101" s="3"/>
      <c r="G101" s="3"/>
      <c r="H101" s="3" t="s">
        <v>160</v>
      </c>
      <c r="I101" s="3" t="s">
        <v>149</v>
      </c>
      <c r="J101" s="3" t="s">
        <v>136</v>
      </c>
      <c r="K101" s="3"/>
      <c r="L101" s="3" t="s">
        <v>158</v>
      </c>
      <c r="M101" s="3" t="s">
        <v>113</v>
      </c>
      <c r="N101" s="3" t="s">
        <v>430</v>
      </c>
      <c r="O101" s="3"/>
      <c r="P101" s="3"/>
      <c r="Q101" s="3" t="s">
        <v>203</v>
      </c>
      <c r="R101" s="3" t="s">
        <v>188</v>
      </c>
      <c r="S101" s="3" t="s">
        <v>431</v>
      </c>
      <c r="T101" s="3" t="s">
        <v>154</v>
      </c>
      <c r="U101" s="3" t="s">
        <v>160</v>
      </c>
      <c r="V101" s="3" t="s">
        <v>116</v>
      </c>
      <c r="W101" s="3"/>
      <c r="X101" s="3"/>
      <c r="Y101" s="3" t="s">
        <v>127</v>
      </c>
      <c r="Z101" s="3"/>
      <c r="AA101" s="3"/>
      <c r="AB101" s="3" t="s">
        <v>121</v>
      </c>
      <c r="AC101" s="3"/>
      <c r="AD101" s="3" t="s">
        <v>111</v>
      </c>
      <c r="AE101" s="3"/>
      <c r="AF101" s="3" t="s">
        <v>119</v>
      </c>
      <c r="AG101" s="3"/>
      <c r="AH101" s="3"/>
      <c r="AI101" s="3" t="s">
        <v>432</v>
      </c>
      <c r="AJ101" s="3" t="s">
        <v>256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 t="s">
        <v>132</v>
      </c>
      <c r="AW101" s="3" t="s">
        <v>107</v>
      </c>
      <c r="AX101" s="3"/>
      <c r="AY101" s="4" t="s">
        <v>135</v>
      </c>
      <c r="AZ101" s="3" t="s">
        <v>132</v>
      </c>
      <c r="BA101" s="3" t="s">
        <v>125</v>
      </c>
      <c r="BB101" s="3"/>
      <c r="BC101" s="3"/>
      <c r="BD101" s="3" t="s">
        <v>129</v>
      </c>
      <c r="BE101" s="3" t="s">
        <v>106</v>
      </c>
      <c r="BF101" s="3" t="s">
        <v>132</v>
      </c>
      <c r="BG101" s="3" t="s">
        <v>224</v>
      </c>
      <c r="BH101" s="3"/>
      <c r="BI101" s="3"/>
      <c r="BJ101" s="3" t="s">
        <v>103</v>
      </c>
      <c r="BK101" s="3" t="s">
        <v>137</v>
      </c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 t="s">
        <v>113</v>
      </c>
      <c r="BX101" s="3"/>
      <c r="BY101" s="3"/>
      <c r="BZ101" s="3"/>
      <c r="CA101" s="3"/>
      <c r="CB101" s="3"/>
      <c r="CC101" s="3" t="s">
        <v>103</v>
      </c>
      <c r="CD101" s="3" t="s">
        <v>135</v>
      </c>
      <c r="CE101" s="3"/>
      <c r="CF101" s="3"/>
      <c r="CG101" s="3"/>
      <c r="CH101" s="3"/>
      <c r="CI101" s="3" t="s">
        <v>103</v>
      </c>
      <c r="CJ101" s="3" t="s">
        <v>131</v>
      </c>
      <c r="CK101" s="3" t="s">
        <v>106</v>
      </c>
      <c r="CL101" s="3"/>
      <c r="CM101" s="3"/>
      <c r="CN101" s="3"/>
      <c r="CO101" s="3" t="s">
        <v>167</v>
      </c>
      <c r="CP101" s="3"/>
      <c r="CQ101" s="3"/>
      <c r="CR101" s="3"/>
      <c r="CS101" s="3"/>
      <c r="CT101" s="3"/>
      <c r="CU101" s="3"/>
      <c r="CV101" s="3"/>
      <c r="CW101" s="3"/>
      <c r="CX101" s="3" t="s">
        <v>132</v>
      </c>
      <c r="CY101" s="3" t="s">
        <v>137</v>
      </c>
      <c r="CZ101" s="3"/>
      <c r="DA101" s="3"/>
      <c r="DB101" s="3"/>
    </row>
    <row r="102" ht="15.75" customHeight="1">
      <c r="A102" s="3" t="s">
        <v>103</v>
      </c>
      <c r="B102" s="3" t="s">
        <v>152</v>
      </c>
      <c r="C102" s="3" t="s">
        <v>104</v>
      </c>
      <c r="D102" s="3"/>
      <c r="E102" s="3" t="s">
        <v>103</v>
      </c>
      <c r="F102" s="3"/>
      <c r="G102" s="3"/>
      <c r="H102" s="3" t="s">
        <v>118</v>
      </c>
      <c r="I102" s="3"/>
      <c r="J102" s="3" t="s">
        <v>132</v>
      </c>
      <c r="K102" s="3"/>
      <c r="L102" s="3" t="s">
        <v>254</v>
      </c>
      <c r="M102" s="3" t="s">
        <v>191</v>
      </c>
      <c r="N102" s="3" t="s">
        <v>147</v>
      </c>
      <c r="O102" s="3" t="s">
        <v>137</v>
      </c>
      <c r="P102" s="3"/>
      <c r="Q102" s="3" t="s">
        <v>113</v>
      </c>
      <c r="R102" s="3" t="s">
        <v>116</v>
      </c>
      <c r="S102" s="3" t="s">
        <v>433</v>
      </c>
      <c r="T102" s="3" t="s">
        <v>149</v>
      </c>
      <c r="U102" s="3" t="s">
        <v>105</v>
      </c>
      <c r="V102" s="3" t="s">
        <v>131</v>
      </c>
      <c r="W102" s="3"/>
      <c r="X102" s="3"/>
      <c r="Y102" s="3" t="s">
        <v>119</v>
      </c>
      <c r="Z102" s="3"/>
      <c r="AA102" s="3"/>
      <c r="AB102" s="3" t="s">
        <v>137</v>
      </c>
      <c r="AC102" s="3" t="s">
        <v>184</v>
      </c>
      <c r="AD102" s="3" t="s">
        <v>184</v>
      </c>
      <c r="AE102" s="3"/>
      <c r="AF102" s="3" t="s">
        <v>119</v>
      </c>
      <c r="AG102" s="3" t="s">
        <v>103</v>
      </c>
      <c r="AH102" s="3"/>
      <c r="AI102" s="3"/>
      <c r="AJ102" s="3" t="s">
        <v>139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 t="s">
        <v>103</v>
      </c>
      <c r="AW102" s="3" t="s">
        <v>112</v>
      </c>
      <c r="AX102" s="3"/>
      <c r="AY102" s="3" t="s">
        <v>178</v>
      </c>
      <c r="AZ102" s="3"/>
      <c r="BA102" s="3"/>
      <c r="BB102" s="3"/>
      <c r="BC102" s="3"/>
      <c r="BD102" s="5">
        <f>1 + (1/2)</f>
        <v>1.5</v>
      </c>
      <c r="BE102" s="3" t="s">
        <v>154</v>
      </c>
      <c r="BF102" s="3" t="s">
        <v>132</v>
      </c>
      <c r="BG102" s="3" t="s">
        <v>386</v>
      </c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>
        <f>1/2</f>
        <v>0.5</v>
      </c>
      <c r="CD102" s="3" t="s">
        <v>135</v>
      </c>
      <c r="CE102" s="3"/>
      <c r="CF102" s="3"/>
      <c r="CG102" s="3"/>
      <c r="CH102" s="3"/>
      <c r="CI102" s="3" t="s">
        <v>103</v>
      </c>
      <c r="CJ102" s="3" t="s">
        <v>144</v>
      </c>
      <c r="CK102" s="3" t="s">
        <v>116</v>
      </c>
      <c r="CL102" s="3"/>
      <c r="CM102" s="3"/>
      <c r="CN102" s="3"/>
      <c r="CO102" s="3" t="s">
        <v>136</v>
      </c>
      <c r="CP102" s="3"/>
      <c r="CQ102" s="3"/>
      <c r="CR102" s="3"/>
      <c r="CS102" s="3"/>
      <c r="CT102" s="3"/>
      <c r="CU102" s="3"/>
      <c r="CV102" s="3"/>
      <c r="CW102" s="3"/>
      <c r="CX102" s="3" t="s">
        <v>127</v>
      </c>
      <c r="CY102" s="3" t="s">
        <v>137</v>
      </c>
      <c r="CZ102" s="3"/>
      <c r="DA102" s="3"/>
      <c r="DB102" s="3"/>
    </row>
    <row r="103" ht="15.75" customHeight="1">
      <c r="A103" s="3" t="s">
        <v>126</v>
      </c>
      <c r="B103" s="3" t="s">
        <v>152</v>
      </c>
      <c r="C103" s="3" t="s">
        <v>104</v>
      </c>
      <c r="D103" s="3"/>
      <c r="E103" s="3" t="s">
        <v>103</v>
      </c>
      <c r="F103" s="3"/>
      <c r="G103" s="3"/>
      <c r="H103" s="3" t="s">
        <v>174</v>
      </c>
      <c r="I103" s="3"/>
      <c r="J103" s="3"/>
      <c r="K103" s="3"/>
      <c r="L103" s="3" t="s">
        <v>244</v>
      </c>
      <c r="M103" s="3" t="s">
        <v>106</v>
      </c>
      <c r="N103" s="3" t="s">
        <v>203</v>
      </c>
      <c r="O103" s="3"/>
      <c r="P103" s="3"/>
      <c r="Q103" s="3" t="s">
        <v>116</v>
      </c>
      <c r="R103" s="3" t="s">
        <v>126</v>
      </c>
      <c r="S103" s="3" t="s">
        <v>434</v>
      </c>
      <c r="T103" s="3" t="s">
        <v>167</v>
      </c>
      <c r="U103" s="3" t="s">
        <v>200</v>
      </c>
      <c r="V103" s="3" t="s">
        <v>154</v>
      </c>
      <c r="W103" s="3"/>
      <c r="X103" s="3"/>
      <c r="Y103" s="3" t="s">
        <v>103</v>
      </c>
      <c r="Z103" s="3"/>
      <c r="AA103" s="3"/>
      <c r="AB103" s="3" t="s">
        <v>132</v>
      </c>
      <c r="AC103" s="3" t="s">
        <v>126</v>
      </c>
      <c r="AD103" s="3" t="s">
        <v>132</v>
      </c>
      <c r="AE103" s="3"/>
      <c r="AF103" s="3" t="s">
        <v>126</v>
      </c>
      <c r="AG103" s="3"/>
      <c r="AH103" s="3"/>
      <c r="AI103" s="3" t="s">
        <v>435</v>
      </c>
      <c r="AJ103" s="3" t="s">
        <v>256</v>
      </c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 t="s">
        <v>111</v>
      </c>
      <c r="AX103" s="3"/>
      <c r="AY103" s="3" t="s">
        <v>116</v>
      </c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</row>
    <row r="104" ht="15.75" customHeight="1">
      <c r="A104" s="3" t="s">
        <v>119</v>
      </c>
      <c r="B104" s="3" t="s">
        <v>152</v>
      </c>
      <c r="C104" s="3" t="s">
        <v>104</v>
      </c>
      <c r="D104" s="3"/>
      <c r="E104" s="3" t="s">
        <v>103</v>
      </c>
      <c r="F104" s="3"/>
      <c r="G104" s="3"/>
      <c r="H104" s="3" t="s">
        <v>436</v>
      </c>
      <c r="I104" s="3"/>
      <c r="J104" s="3" t="s">
        <v>166</v>
      </c>
      <c r="K104" s="3"/>
      <c r="L104" s="3" t="s">
        <v>229</v>
      </c>
      <c r="M104" s="3" t="s">
        <v>135</v>
      </c>
      <c r="N104" s="3" t="s">
        <v>437</v>
      </c>
      <c r="O104" s="3" t="s">
        <v>154</v>
      </c>
      <c r="P104" s="3"/>
      <c r="Q104" s="3" t="s">
        <v>203</v>
      </c>
      <c r="R104" s="3" t="s">
        <v>188</v>
      </c>
      <c r="S104" s="3" t="s">
        <v>438</v>
      </c>
      <c r="T104" s="3" t="s">
        <v>149</v>
      </c>
      <c r="U104" s="3" t="s">
        <v>146</v>
      </c>
      <c r="V104" s="3" t="s">
        <v>136</v>
      </c>
      <c r="W104" s="3"/>
      <c r="X104" s="3" t="s">
        <v>103</v>
      </c>
      <c r="Y104" s="3" t="s">
        <v>129</v>
      </c>
      <c r="Z104" s="3"/>
      <c r="AA104" s="3"/>
      <c r="AB104" s="3" t="s">
        <v>184</v>
      </c>
      <c r="AC104" s="3" t="s">
        <v>132</v>
      </c>
      <c r="AD104" s="3" t="s">
        <v>137</v>
      </c>
      <c r="AE104" s="3"/>
      <c r="AF104" s="3" t="s">
        <v>119</v>
      </c>
      <c r="AG104" s="3" t="s">
        <v>103</v>
      </c>
      <c r="AH104" s="3"/>
      <c r="AI104" s="3"/>
      <c r="AJ104" s="3" t="s">
        <v>139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 t="s">
        <v>132</v>
      </c>
      <c r="AW104" s="3" t="s">
        <v>107</v>
      </c>
      <c r="AX104" s="3" t="s">
        <v>132</v>
      </c>
      <c r="AY104" s="3" t="s">
        <v>135</v>
      </c>
      <c r="AZ104" s="3" t="s">
        <v>103</v>
      </c>
      <c r="BA104" s="3" t="s">
        <v>121</v>
      </c>
      <c r="BB104" s="3" t="s">
        <v>126</v>
      </c>
      <c r="BC104" s="3" t="s">
        <v>144</v>
      </c>
      <c r="BD104" s="3" t="s">
        <v>126</v>
      </c>
      <c r="BE104" s="3" t="s">
        <v>131</v>
      </c>
      <c r="BF104" s="3" t="s">
        <v>112</v>
      </c>
      <c r="BG104" s="3" t="s">
        <v>333</v>
      </c>
      <c r="BH104" s="3"/>
      <c r="BI104" s="3"/>
      <c r="BJ104" s="5">
        <f>1 + (1/2)</f>
        <v>1.5</v>
      </c>
      <c r="BK104" s="3" t="s">
        <v>137</v>
      </c>
      <c r="BL104" s="3"/>
      <c r="BM104" s="3" t="s">
        <v>129</v>
      </c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>
        <f>1/2</f>
        <v>0.5</v>
      </c>
      <c r="CD104" s="3" t="s">
        <v>154</v>
      </c>
      <c r="CE104" s="3"/>
      <c r="CF104" s="3"/>
      <c r="CG104" s="3"/>
      <c r="CH104" s="3"/>
      <c r="CI104" s="3" t="s">
        <v>103</v>
      </c>
      <c r="CJ104" s="3" t="s">
        <v>136</v>
      </c>
      <c r="CK104" s="3" t="s">
        <v>106</v>
      </c>
      <c r="CL104" s="3"/>
      <c r="CM104" s="3"/>
      <c r="CN104" s="3"/>
      <c r="CO104" s="3" t="s">
        <v>144</v>
      </c>
      <c r="CP104" s="3"/>
      <c r="CQ104" s="3"/>
      <c r="CR104" s="3"/>
      <c r="CS104" s="3"/>
      <c r="CT104" s="3"/>
      <c r="CU104" s="3"/>
      <c r="CV104" s="3"/>
      <c r="CW104" s="3"/>
      <c r="CX104" s="3" t="s">
        <v>132</v>
      </c>
      <c r="CY104" s="3" t="s">
        <v>150</v>
      </c>
      <c r="CZ104" s="3"/>
      <c r="DA104" s="3"/>
      <c r="DB104" s="3"/>
    </row>
    <row r="105" ht="15.75" customHeight="1">
      <c r="A105" s="3" t="s">
        <v>129</v>
      </c>
      <c r="B105" s="3" t="s">
        <v>152</v>
      </c>
      <c r="C105" s="3" t="s">
        <v>104</v>
      </c>
      <c r="D105" s="3"/>
      <c r="E105" s="3" t="s">
        <v>103</v>
      </c>
      <c r="F105" s="3"/>
      <c r="G105" s="3"/>
      <c r="H105" s="3" t="s">
        <v>298</v>
      </c>
      <c r="I105" s="3"/>
      <c r="J105" s="3"/>
      <c r="K105" s="3"/>
      <c r="L105" s="3" t="s">
        <v>439</v>
      </c>
      <c r="M105" s="3" t="s">
        <v>131</v>
      </c>
      <c r="N105" s="3" t="s">
        <v>440</v>
      </c>
      <c r="O105" s="3"/>
      <c r="P105" s="3"/>
      <c r="Q105" s="3" t="s">
        <v>106</v>
      </c>
      <c r="R105" s="3" t="s">
        <v>199</v>
      </c>
      <c r="S105" s="3" t="s">
        <v>441</v>
      </c>
      <c r="T105" s="3" t="s">
        <v>162</v>
      </c>
      <c r="U105" s="3" t="s">
        <v>200</v>
      </c>
      <c r="V105" s="3" t="s">
        <v>162</v>
      </c>
      <c r="W105" s="3"/>
      <c r="X105" s="3"/>
      <c r="Y105" s="3" t="s">
        <v>129</v>
      </c>
      <c r="Z105" s="3"/>
      <c r="AA105" s="3"/>
      <c r="AB105" s="3" t="s">
        <v>119</v>
      </c>
      <c r="AC105" s="3"/>
      <c r="AD105" s="3" t="s">
        <v>119</v>
      </c>
      <c r="AE105" s="3" t="s">
        <v>129</v>
      </c>
      <c r="AF105" s="3" t="s">
        <v>162</v>
      </c>
      <c r="AG105" s="3" t="s">
        <v>103</v>
      </c>
      <c r="AH105" s="3"/>
      <c r="AI105" s="3"/>
      <c r="AJ105" s="3" t="s">
        <v>239</v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 t="s">
        <v>119</v>
      </c>
      <c r="AX105" s="3" t="s">
        <v>126</v>
      </c>
      <c r="AY105" s="3" t="s">
        <v>137</v>
      </c>
      <c r="AZ105" s="3"/>
      <c r="BA105" s="3"/>
      <c r="BB105" s="3"/>
      <c r="BC105" s="3"/>
      <c r="BD105" s="3" t="s">
        <v>103</v>
      </c>
      <c r="BE105" s="3" t="s">
        <v>144</v>
      </c>
      <c r="BF105" s="3" t="s">
        <v>137</v>
      </c>
      <c r="BG105" s="3" t="s">
        <v>113</v>
      </c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</row>
    <row r="106" ht="15.75" customHeight="1">
      <c r="A106" s="3" t="s">
        <v>132</v>
      </c>
      <c r="B106" s="3" t="s">
        <v>152</v>
      </c>
      <c r="C106" s="3" t="s">
        <v>104</v>
      </c>
      <c r="D106" s="3"/>
      <c r="E106" s="3" t="s">
        <v>103</v>
      </c>
      <c r="F106" s="3"/>
      <c r="G106" s="3"/>
      <c r="H106" s="3" t="s">
        <v>169</v>
      </c>
      <c r="I106" s="3" t="s">
        <v>166</v>
      </c>
      <c r="J106" s="3" t="s">
        <v>127</v>
      </c>
      <c r="K106" s="3"/>
      <c r="L106" s="3" t="s">
        <v>139</v>
      </c>
      <c r="M106" s="3" t="s">
        <v>106</v>
      </c>
      <c r="N106" s="3" t="s">
        <v>113</v>
      </c>
      <c r="O106" s="3" t="s">
        <v>132</v>
      </c>
      <c r="P106" s="3" t="s">
        <v>129</v>
      </c>
      <c r="Q106" s="3"/>
      <c r="R106" s="3"/>
      <c r="S106" s="3" t="s">
        <v>442</v>
      </c>
      <c r="T106" s="3" t="s">
        <v>310</v>
      </c>
      <c r="U106" s="3" t="s">
        <v>141</v>
      </c>
      <c r="V106" s="3" t="s">
        <v>144</v>
      </c>
      <c r="W106" s="3"/>
      <c r="X106" s="3"/>
      <c r="Y106" s="3" t="s">
        <v>119</v>
      </c>
      <c r="Z106" s="3"/>
      <c r="AA106" s="3"/>
      <c r="AB106" s="3" t="s">
        <v>129</v>
      </c>
      <c r="AC106" s="3" t="s">
        <v>126</v>
      </c>
      <c r="AD106" s="3" t="s">
        <v>126</v>
      </c>
      <c r="AE106" s="3" t="s">
        <v>103</v>
      </c>
      <c r="AF106" s="3"/>
      <c r="AG106" s="3"/>
      <c r="AH106" s="3"/>
      <c r="AI106" s="3"/>
      <c r="AJ106" s="3" t="s">
        <v>191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 t="s">
        <v>126</v>
      </c>
      <c r="AW106" s="3" t="s">
        <v>112</v>
      </c>
      <c r="AX106" s="3"/>
      <c r="AY106" s="3" t="s">
        <v>149</v>
      </c>
      <c r="AZ106" s="3"/>
      <c r="BA106" s="3"/>
      <c r="BB106" s="3"/>
      <c r="BC106" s="3"/>
      <c r="BD106" s="5">
        <f t="shared" ref="BD106:BD107" si="17">2 + (1/2)</f>
        <v>2.5</v>
      </c>
      <c r="BE106" s="3" t="s">
        <v>131</v>
      </c>
      <c r="BF106" s="3" t="s">
        <v>184</v>
      </c>
      <c r="BG106" s="3" t="s">
        <v>203</v>
      </c>
      <c r="BH106" s="3"/>
      <c r="BI106" s="3"/>
      <c r="BJ106" s="3">
        <f>1/2</f>
        <v>0.5</v>
      </c>
      <c r="BK106" s="3" t="s">
        <v>111</v>
      </c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>
        <f>1/2</f>
        <v>0.5</v>
      </c>
      <c r="CD106" s="3" t="s">
        <v>149</v>
      </c>
      <c r="CE106" s="3"/>
      <c r="CF106" s="3"/>
      <c r="CG106" s="3"/>
      <c r="CH106" s="3"/>
      <c r="CI106" s="3" t="s">
        <v>103</v>
      </c>
      <c r="CJ106" s="3" t="s">
        <v>154</v>
      </c>
      <c r="CK106" s="3" t="s">
        <v>109</v>
      </c>
      <c r="CL106" s="3"/>
      <c r="CM106" s="3"/>
      <c r="CN106" s="3"/>
      <c r="CO106" s="3" t="s">
        <v>154</v>
      </c>
      <c r="CP106" s="3"/>
      <c r="CQ106" s="3"/>
      <c r="CR106" s="3"/>
      <c r="CS106" s="3"/>
      <c r="CT106" s="3"/>
      <c r="CU106" s="3"/>
      <c r="CV106" s="3"/>
      <c r="CW106" s="3"/>
      <c r="CX106" s="3" t="s">
        <v>116</v>
      </c>
      <c r="CY106" s="3" t="s">
        <v>223</v>
      </c>
      <c r="CZ106" s="3"/>
      <c r="DA106" s="3"/>
      <c r="DB106" s="3"/>
    </row>
    <row r="107" ht="15.75" customHeight="1">
      <c r="A107" s="3" t="s">
        <v>162</v>
      </c>
      <c r="B107" s="3" t="s">
        <v>152</v>
      </c>
      <c r="C107" s="3" t="s">
        <v>104</v>
      </c>
      <c r="D107" s="3"/>
      <c r="E107" s="3" t="s">
        <v>103</v>
      </c>
      <c r="F107" s="3"/>
      <c r="G107" s="3"/>
      <c r="H107" s="3" t="s">
        <v>347</v>
      </c>
      <c r="I107" s="3"/>
      <c r="J107" s="3" t="s">
        <v>111</v>
      </c>
      <c r="K107" s="3"/>
      <c r="L107" s="3" t="s">
        <v>244</v>
      </c>
      <c r="M107" s="3" t="s">
        <v>326</v>
      </c>
      <c r="N107" s="3" t="s">
        <v>443</v>
      </c>
      <c r="O107" s="3" t="s">
        <v>166</v>
      </c>
      <c r="P107" s="3"/>
      <c r="Q107" s="3" t="s">
        <v>134</v>
      </c>
      <c r="R107" s="3" t="s">
        <v>279</v>
      </c>
      <c r="S107" s="3" t="s">
        <v>444</v>
      </c>
      <c r="T107" s="3" t="s">
        <v>136</v>
      </c>
      <c r="U107" s="3" t="s">
        <v>120</v>
      </c>
      <c r="V107" s="3" t="s">
        <v>136</v>
      </c>
      <c r="W107" s="3"/>
      <c r="X107" s="3"/>
      <c r="Y107" s="3" t="s">
        <v>126</v>
      </c>
      <c r="Z107" s="3"/>
      <c r="AA107" s="3"/>
      <c r="AB107" s="3" t="s">
        <v>162</v>
      </c>
      <c r="AC107" s="3" t="s">
        <v>119</v>
      </c>
      <c r="AD107" s="3" t="s">
        <v>162</v>
      </c>
      <c r="AE107" s="3"/>
      <c r="AF107" s="3" t="s">
        <v>126</v>
      </c>
      <c r="AG107" s="3" t="s">
        <v>103</v>
      </c>
      <c r="AH107" s="3"/>
      <c r="AI107" s="3"/>
      <c r="AJ107" s="3" t="s">
        <v>191</v>
      </c>
      <c r="AK107" s="3" t="s">
        <v>113</v>
      </c>
      <c r="AL107" s="3" t="s">
        <v>144</v>
      </c>
      <c r="AM107" s="3" t="s">
        <v>184</v>
      </c>
      <c r="AN107" s="3"/>
      <c r="AO107" s="3" t="s">
        <v>184</v>
      </c>
      <c r="AP107" s="3" t="s">
        <v>103</v>
      </c>
      <c r="AQ107" s="3"/>
      <c r="AR107" s="3" t="s">
        <v>126</v>
      </c>
      <c r="AS107" s="3"/>
      <c r="AT107" s="3" t="s">
        <v>144</v>
      </c>
      <c r="AU107" s="3" t="s">
        <v>133</v>
      </c>
      <c r="AV107" s="3" t="s">
        <v>126</v>
      </c>
      <c r="AW107" s="3" t="s">
        <v>111</v>
      </c>
      <c r="AX107" s="3"/>
      <c r="AY107" s="3" t="s">
        <v>116</v>
      </c>
      <c r="AZ107" s="3"/>
      <c r="BA107" s="3"/>
      <c r="BB107" s="3"/>
      <c r="BC107" s="3"/>
      <c r="BD107" s="5">
        <f t="shared" si="17"/>
        <v>2.5</v>
      </c>
      <c r="BE107" s="3" t="s">
        <v>391</v>
      </c>
      <c r="BF107" s="3" t="s">
        <v>127</v>
      </c>
      <c r="BG107" s="3" t="s">
        <v>133</v>
      </c>
      <c r="BH107" s="3"/>
      <c r="BI107" s="3"/>
      <c r="BJ107" s="3" t="s">
        <v>103</v>
      </c>
      <c r="BK107" s="3" t="s">
        <v>192</v>
      </c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>
        <f>3/4</f>
        <v>0.75</v>
      </c>
      <c r="CD107" s="3" t="s">
        <v>118</v>
      </c>
      <c r="CE107" s="3"/>
      <c r="CF107" s="3"/>
      <c r="CG107" s="3"/>
      <c r="CH107" s="3"/>
      <c r="CI107" s="3">
        <f>1/2</f>
        <v>0.5</v>
      </c>
      <c r="CJ107" s="3" t="s">
        <v>111</v>
      </c>
      <c r="CK107" s="3" t="s">
        <v>135</v>
      </c>
      <c r="CL107" s="3"/>
      <c r="CM107" s="3"/>
      <c r="CN107" s="3"/>
      <c r="CO107" s="3" t="s">
        <v>121</v>
      </c>
      <c r="CP107" s="3"/>
      <c r="CQ107" s="3"/>
      <c r="CR107" s="3"/>
      <c r="CS107" s="3"/>
      <c r="CT107" s="3"/>
      <c r="CU107" s="3"/>
      <c r="CV107" s="3"/>
      <c r="CW107" s="3"/>
      <c r="CX107" s="5">
        <f>2 + (1/2)</f>
        <v>2.5</v>
      </c>
      <c r="CY107" s="3" t="s">
        <v>167</v>
      </c>
      <c r="CZ107" s="3"/>
      <c r="DA107" s="3"/>
      <c r="DB107" s="3"/>
    </row>
    <row r="108" ht="15.75" customHeight="1">
      <c r="A108" s="3" t="s">
        <v>127</v>
      </c>
      <c r="B108" s="3" t="s">
        <v>152</v>
      </c>
      <c r="C108" s="3" t="s">
        <v>104</v>
      </c>
      <c r="D108" s="3"/>
      <c r="E108" s="3" t="s">
        <v>103</v>
      </c>
      <c r="F108" s="3"/>
      <c r="G108" s="3"/>
      <c r="H108" s="3" t="s">
        <v>137</v>
      </c>
      <c r="I108" s="3"/>
      <c r="J108" s="3"/>
      <c r="K108" s="3"/>
      <c r="L108" s="3" t="s">
        <v>139</v>
      </c>
      <c r="M108" s="3"/>
      <c r="N108" s="3"/>
      <c r="O108" s="3"/>
      <c r="P108" s="3"/>
      <c r="Q108" s="3"/>
      <c r="R108" s="3"/>
      <c r="S108" s="3" t="s">
        <v>109</v>
      </c>
      <c r="T108" s="3" t="s">
        <v>137</v>
      </c>
      <c r="U108" s="3"/>
      <c r="V108" s="3" t="s">
        <v>166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>
        <f>3/4</f>
        <v>0.75</v>
      </c>
      <c r="CJ108" s="3" t="s">
        <v>149</v>
      </c>
      <c r="CK108" s="3" t="s">
        <v>135</v>
      </c>
      <c r="CL108" s="3"/>
      <c r="CM108" s="3"/>
      <c r="CN108" s="3"/>
      <c r="CO108" s="3" t="s">
        <v>154</v>
      </c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</row>
    <row r="109" ht="15.75" customHeight="1">
      <c r="A109" s="3" t="s">
        <v>112</v>
      </c>
      <c r="B109" s="3" t="s">
        <v>152</v>
      </c>
      <c r="C109" s="3" t="s">
        <v>104</v>
      </c>
      <c r="D109" s="3"/>
      <c r="E109" s="3" t="s">
        <v>103</v>
      </c>
      <c r="F109" s="3"/>
      <c r="G109" s="3"/>
      <c r="H109" s="3" t="s">
        <v>135</v>
      </c>
      <c r="I109" s="3" t="s">
        <v>136</v>
      </c>
      <c r="J109" s="3" t="s">
        <v>149</v>
      </c>
      <c r="K109" s="3"/>
      <c r="L109" s="3" t="s">
        <v>254</v>
      </c>
      <c r="M109" s="3" t="s">
        <v>135</v>
      </c>
      <c r="N109" s="3" t="s">
        <v>445</v>
      </c>
      <c r="O109" s="3" t="s">
        <v>137</v>
      </c>
      <c r="P109" s="3"/>
      <c r="Q109" s="3" t="s">
        <v>446</v>
      </c>
      <c r="R109" s="3" t="s">
        <v>178</v>
      </c>
      <c r="S109" s="3" t="s">
        <v>447</v>
      </c>
      <c r="T109" s="3" t="s">
        <v>154</v>
      </c>
      <c r="U109" s="3" t="s">
        <v>105</v>
      </c>
      <c r="V109" s="3" t="s">
        <v>116</v>
      </c>
      <c r="W109" s="3"/>
      <c r="X109" s="3"/>
      <c r="Y109" s="3" t="s">
        <v>103</v>
      </c>
      <c r="Z109" s="3"/>
      <c r="AA109" s="3"/>
      <c r="AB109" s="3" t="s">
        <v>129</v>
      </c>
      <c r="AC109" s="3" t="s">
        <v>103</v>
      </c>
      <c r="AD109" s="3" t="s">
        <v>129</v>
      </c>
      <c r="AE109" s="3"/>
      <c r="AF109" s="3"/>
      <c r="AG109" s="3"/>
      <c r="AH109" s="3"/>
      <c r="AI109" s="3"/>
      <c r="AJ109" s="3" t="s">
        <v>176</v>
      </c>
      <c r="AK109" s="3"/>
      <c r="AL109" s="3" t="s">
        <v>411</v>
      </c>
      <c r="AM109" s="3" t="s">
        <v>144</v>
      </c>
      <c r="AN109" s="3"/>
      <c r="AO109" s="3"/>
      <c r="AP109" s="3"/>
      <c r="AQ109" s="3"/>
      <c r="AR109" s="3"/>
      <c r="AS109" s="3"/>
      <c r="AT109" s="3" t="s">
        <v>411</v>
      </c>
      <c r="AU109" s="3" t="s">
        <v>448</v>
      </c>
      <c r="AV109" s="3"/>
      <c r="AW109" s="3"/>
      <c r="AX109" s="3"/>
      <c r="AY109" s="3"/>
      <c r="AZ109" s="3" t="s">
        <v>129</v>
      </c>
      <c r="BA109" s="3" t="s">
        <v>116</v>
      </c>
      <c r="BB109" s="3" t="s">
        <v>103</v>
      </c>
      <c r="BC109" s="3" t="s">
        <v>144</v>
      </c>
      <c r="BD109" s="3" t="s">
        <v>103</v>
      </c>
      <c r="BE109" s="3" t="s">
        <v>149</v>
      </c>
      <c r="BF109" s="3" t="s">
        <v>132</v>
      </c>
      <c r="BG109" s="3" t="s">
        <v>109</v>
      </c>
      <c r="BH109" s="5">
        <f>1 + (1/2)</f>
        <v>1.5</v>
      </c>
      <c r="BI109" s="3" t="s">
        <v>199</v>
      </c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 t="s">
        <v>256</v>
      </c>
      <c r="BX109" s="3"/>
      <c r="BY109" s="3"/>
      <c r="BZ109" s="3"/>
      <c r="CA109" s="3"/>
      <c r="CB109" s="3"/>
      <c r="CC109" s="5">
        <f>1 + (1/2)</f>
        <v>1.5</v>
      </c>
      <c r="CD109" s="3" t="s">
        <v>346</v>
      </c>
      <c r="CE109" s="3"/>
      <c r="CF109" s="3"/>
      <c r="CG109" s="3"/>
      <c r="CH109" s="3"/>
      <c r="CI109" s="3">
        <f>1/2</f>
        <v>0.5</v>
      </c>
      <c r="CJ109" s="3" t="s">
        <v>144</v>
      </c>
      <c r="CK109" s="3" t="s">
        <v>135</v>
      </c>
      <c r="CL109" s="3"/>
      <c r="CM109" s="3"/>
      <c r="CN109" s="3"/>
      <c r="CO109" s="3" t="s">
        <v>136</v>
      </c>
      <c r="CP109" s="3"/>
      <c r="CQ109" s="3"/>
      <c r="CR109" s="3"/>
      <c r="CS109" s="3"/>
      <c r="CT109" s="3"/>
      <c r="CU109" s="3"/>
      <c r="CV109" s="3"/>
      <c r="CW109" s="3"/>
      <c r="CX109" s="3" t="s">
        <v>154</v>
      </c>
      <c r="CY109" s="3" t="s">
        <v>134</v>
      </c>
      <c r="CZ109" s="3"/>
      <c r="DA109" s="3"/>
      <c r="DB109" s="3"/>
    </row>
    <row r="110" ht="15.75" customHeight="1">
      <c r="A110" s="3" t="s">
        <v>184</v>
      </c>
      <c r="B110" s="3" t="s">
        <v>152</v>
      </c>
      <c r="C110" s="3" t="s">
        <v>104</v>
      </c>
      <c r="D110" s="3"/>
      <c r="E110" s="3" t="s">
        <v>103</v>
      </c>
      <c r="F110" s="3"/>
      <c r="G110" s="3"/>
      <c r="H110" s="3" t="s">
        <v>113</v>
      </c>
      <c r="I110" s="3"/>
      <c r="J110" s="3" t="s">
        <v>144</v>
      </c>
      <c r="K110" s="3"/>
      <c r="L110" s="3" t="s">
        <v>354</v>
      </c>
      <c r="M110" s="3" t="s">
        <v>203</v>
      </c>
      <c r="N110" s="3" t="s">
        <v>139</v>
      </c>
      <c r="O110" s="3"/>
      <c r="P110" s="3" t="s">
        <v>112</v>
      </c>
      <c r="Q110" s="3" t="s">
        <v>272</v>
      </c>
      <c r="R110" s="3" t="s">
        <v>146</v>
      </c>
      <c r="S110" s="3" t="s">
        <v>449</v>
      </c>
      <c r="T110" s="3" t="s">
        <v>135</v>
      </c>
      <c r="U110" s="3" t="s">
        <v>109</v>
      </c>
      <c r="V110" s="3" t="s">
        <v>135</v>
      </c>
      <c r="W110" s="3"/>
      <c r="X110" s="3"/>
      <c r="Y110" s="3" t="s">
        <v>112</v>
      </c>
      <c r="Z110" s="3"/>
      <c r="AA110" s="3" t="s">
        <v>129</v>
      </c>
      <c r="AB110" s="3" t="s">
        <v>156</v>
      </c>
      <c r="AC110" s="3" t="s">
        <v>199</v>
      </c>
      <c r="AD110" s="3" t="s">
        <v>156</v>
      </c>
      <c r="AE110" s="3" t="s">
        <v>162</v>
      </c>
      <c r="AF110" s="3" t="s">
        <v>184</v>
      </c>
      <c r="AG110" s="3" t="s">
        <v>103</v>
      </c>
      <c r="AH110" s="3"/>
      <c r="AI110" s="3"/>
      <c r="AJ110" s="3" t="s">
        <v>450</v>
      </c>
      <c r="AK110" s="3"/>
      <c r="AL110" s="3" t="s">
        <v>107</v>
      </c>
      <c r="AM110" s="3" t="s">
        <v>112</v>
      </c>
      <c r="AN110" s="3"/>
      <c r="AO110" s="3" t="s">
        <v>126</v>
      </c>
      <c r="AP110" s="3"/>
      <c r="AQ110" s="3"/>
      <c r="AR110" s="3"/>
      <c r="AS110" s="3"/>
      <c r="AT110" s="3" t="s">
        <v>107</v>
      </c>
      <c r="AU110" s="3" t="s">
        <v>125</v>
      </c>
      <c r="AV110" s="3" t="s">
        <v>126</v>
      </c>
      <c r="AW110" s="3" t="s">
        <v>112</v>
      </c>
      <c r="AX110" s="3"/>
      <c r="AY110" s="3" t="s">
        <v>237</v>
      </c>
      <c r="AZ110" s="3"/>
      <c r="BA110" s="3"/>
      <c r="BB110" s="3" t="s">
        <v>119</v>
      </c>
      <c r="BC110" s="3" t="s">
        <v>140</v>
      </c>
      <c r="BD110" s="3" t="s">
        <v>126</v>
      </c>
      <c r="BE110" s="3" t="s">
        <v>154</v>
      </c>
      <c r="BF110" s="3" t="s">
        <v>137</v>
      </c>
      <c r="BG110" s="3" t="s">
        <v>191</v>
      </c>
      <c r="BH110" s="3" t="s">
        <v>129</v>
      </c>
      <c r="BI110" s="3" t="s">
        <v>149</v>
      </c>
      <c r="BJ110" s="3" t="s">
        <v>129</v>
      </c>
      <c r="BK110" s="3" t="s">
        <v>140</v>
      </c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 t="s">
        <v>137</v>
      </c>
      <c r="CY110" s="3" t="s">
        <v>136</v>
      </c>
      <c r="CZ110" s="3"/>
      <c r="DA110" s="3"/>
      <c r="DB110" s="3"/>
    </row>
    <row r="111" ht="15.75" customHeight="1">
      <c r="A111" s="3" t="s">
        <v>137</v>
      </c>
      <c r="B111" s="3" t="s">
        <v>152</v>
      </c>
      <c r="C111" s="3" t="s">
        <v>104</v>
      </c>
      <c r="D111" s="3"/>
      <c r="E111" s="3" t="s">
        <v>103</v>
      </c>
      <c r="F111" s="3"/>
      <c r="G111" s="3"/>
      <c r="H111" s="3" t="s">
        <v>146</v>
      </c>
      <c r="I111" s="3" t="s">
        <v>131</v>
      </c>
      <c r="J111" s="3" t="s">
        <v>116</v>
      </c>
      <c r="K111" s="3"/>
      <c r="L111" s="3" t="s">
        <v>254</v>
      </c>
      <c r="M111" s="3" t="s">
        <v>144</v>
      </c>
      <c r="N111" s="3" t="s">
        <v>154</v>
      </c>
      <c r="O111" s="3" t="s">
        <v>144</v>
      </c>
      <c r="P111" s="3"/>
      <c r="Q111" s="3" t="s">
        <v>133</v>
      </c>
      <c r="R111" s="3" t="s">
        <v>169</v>
      </c>
      <c r="S111" s="3" t="s">
        <v>451</v>
      </c>
      <c r="T111" s="3" t="s">
        <v>211</v>
      </c>
      <c r="U111" s="3" t="s">
        <v>395</v>
      </c>
      <c r="V111" s="3" t="s">
        <v>211</v>
      </c>
      <c r="W111" s="3"/>
      <c r="X111" s="3"/>
      <c r="Y111" s="3" t="s">
        <v>126</v>
      </c>
      <c r="Z111" s="3"/>
      <c r="AA111" s="3"/>
      <c r="AB111" s="3" t="s">
        <v>103</v>
      </c>
      <c r="AC111" s="3"/>
      <c r="AD111" s="3" t="s">
        <v>112</v>
      </c>
      <c r="AE111" s="3"/>
      <c r="AF111" s="3" t="s">
        <v>137</v>
      </c>
      <c r="AG111" s="3" t="s">
        <v>126</v>
      </c>
      <c r="AH111" s="3" t="s">
        <v>103</v>
      </c>
      <c r="AI111" s="3"/>
      <c r="AJ111" s="3" t="s">
        <v>202</v>
      </c>
      <c r="AK111" s="3"/>
      <c r="AL111" s="3" t="s">
        <v>111</v>
      </c>
      <c r="AM111" s="3" t="s">
        <v>103</v>
      </c>
      <c r="AN111" s="3" t="s">
        <v>452</v>
      </c>
      <c r="AO111" s="3" t="s">
        <v>164</v>
      </c>
      <c r="AP111" s="3" t="s">
        <v>103</v>
      </c>
      <c r="AQ111" s="3"/>
      <c r="AR111" s="3"/>
      <c r="AS111" s="3"/>
      <c r="AT111" s="3" t="s">
        <v>111</v>
      </c>
      <c r="AU111" s="3" t="s">
        <v>345</v>
      </c>
      <c r="AV111" s="3" t="s">
        <v>103</v>
      </c>
      <c r="AW111" s="3" t="s">
        <v>107</v>
      </c>
      <c r="AX111" s="3"/>
      <c r="AY111" s="3" t="s">
        <v>154</v>
      </c>
      <c r="AZ111" s="3"/>
      <c r="BA111" s="3"/>
      <c r="BB111" s="3" t="s">
        <v>127</v>
      </c>
      <c r="BC111" s="3" t="s">
        <v>131</v>
      </c>
      <c r="BD111" s="3" t="s">
        <v>119</v>
      </c>
      <c r="BE111" s="3" t="s">
        <v>106</v>
      </c>
      <c r="BF111" s="3" t="s">
        <v>132</v>
      </c>
      <c r="BG111" s="3" t="s">
        <v>106</v>
      </c>
      <c r="BH111" s="3"/>
      <c r="BI111" s="3"/>
      <c r="BJ111" s="3" t="s">
        <v>126</v>
      </c>
      <c r="BK111" s="3" t="s">
        <v>167</v>
      </c>
      <c r="BL111" s="3" t="s">
        <v>107</v>
      </c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 t="s">
        <v>191</v>
      </c>
      <c r="BX111" s="3"/>
      <c r="BY111" s="3"/>
      <c r="BZ111" s="3"/>
      <c r="CA111" s="3"/>
      <c r="CB111" s="3"/>
      <c r="CC111" s="3" t="s">
        <v>132</v>
      </c>
      <c r="CD111" s="3" t="s">
        <v>256</v>
      </c>
      <c r="CE111" s="3"/>
      <c r="CF111" s="3"/>
      <c r="CG111" s="3"/>
      <c r="CH111" s="3"/>
      <c r="CI111" s="3" t="s">
        <v>119</v>
      </c>
      <c r="CJ111" s="3" t="s">
        <v>134</v>
      </c>
      <c r="CK111" s="3" t="s">
        <v>113</v>
      </c>
      <c r="CL111" s="3"/>
      <c r="CM111" s="3"/>
      <c r="CN111" s="3"/>
      <c r="CO111" s="3" t="s">
        <v>106</v>
      </c>
      <c r="CP111" s="3"/>
      <c r="CQ111" s="3"/>
      <c r="CR111" s="3"/>
      <c r="CS111" s="3"/>
      <c r="CT111" s="3"/>
      <c r="CU111" s="3"/>
      <c r="CV111" s="3"/>
      <c r="CW111" s="3"/>
      <c r="CX111" s="3" t="s">
        <v>144</v>
      </c>
      <c r="CY111" s="3" t="s">
        <v>131</v>
      </c>
      <c r="CZ111" s="3"/>
      <c r="DA111" s="3"/>
      <c r="DB111" s="3"/>
    </row>
    <row r="112" ht="15.75" customHeight="1">
      <c r="A112" s="3" t="s">
        <v>103</v>
      </c>
      <c r="B112" s="3" t="s">
        <v>111</v>
      </c>
      <c r="C112" s="3" t="s">
        <v>104</v>
      </c>
      <c r="D112" s="3"/>
      <c r="E112" s="3" t="s">
        <v>103</v>
      </c>
      <c r="F112" s="3"/>
      <c r="G112" s="3"/>
      <c r="H112" s="3" t="s">
        <v>395</v>
      </c>
      <c r="I112" s="3"/>
      <c r="J112" s="3" t="s">
        <v>107</v>
      </c>
      <c r="K112" s="3"/>
      <c r="L112" s="3" t="s">
        <v>453</v>
      </c>
      <c r="M112" s="3" t="s">
        <v>131</v>
      </c>
      <c r="N112" s="3" t="s">
        <v>224</v>
      </c>
      <c r="O112" s="3"/>
      <c r="P112" s="3"/>
      <c r="Q112" s="3" t="s">
        <v>454</v>
      </c>
      <c r="R112" s="3" t="s">
        <v>279</v>
      </c>
      <c r="S112" s="3" t="s">
        <v>455</v>
      </c>
      <c r="T112" s="3" t="s">
        <v>136</v>
      </c>
      <c r="U112" s="3" t="s">
        <v>456</v>
      </c>
      <c r="V112" s="3" t="s">
        <v>149</v>
      </c>
      <c r="W112" s="3"/>
      <c r="X112" s="3"/>
      <c r="Y112" s="3" t="s">
        <v>126</v>
      </c>
      <c r="Z112" s="3"/>
      <c r="AA112" s="3"/>
      <c r="AB112" s="3" t="s">
        <v>119</v>
      </c>
      <c r="AC112" s="3"/>
      <c r="AD112" s="3" t="s">
        <v>119</v>
      </c>
      <c r="AE112" s="3"/>
      <c r="AF112" s="3"/>
      <c r="AG112" s="3"/>
      <c r="AH112" s="3" t="s">
        <v>103</v>
      </c>
      <c r="AI112" s="3"/>
      <c r="AJ112" s="3" t="s">
        <v>239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 t="s">
        <v>103</v>
      </c>
      <c r="AW112" s="3" t="s">
        <v>112</v>
      </c>
      <c r="AX112" s="3"/>
      <c r="AY112" s="3" t="s">
        <v>178</v>
      </c>
      <c r="AZ112" s="3"/>
      <c r="BA112" s="3"/>
      <c r="BB112" s="3"/>
      <c r="BC112" s="3"/>
      <c r="BD112" s="5">
        <f>2 + (1/2)</f>
        <v>2.5</v>
      </c>
      <c r="BE112" s="3" t="s">
        <v>135</v>
      </c>
      <c r="BF112" s="3" t="s">
        <v>162</v>
      </c>
      <c r="BG112" s="3" t="s">
        <v>106</v>
      </c>
      <c r="BH112" s="3"/>
      <c r="BI112" s="3"/>
      <c r="BJ112" s="5">
        <f>1 + (1/4)</f>
        <v>1.25</v>
      </c>
      <c r="BK112" s="3" t="s">
        <v>166</v>
      </c>
      <c r="BL112" s="3" t="s">
        <v>126</v>
      </c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 t="s">
        <v>129</v>
      </c>
      <c r="CD112" s="3" t="s">
        <v>113</v>
      </c>
      <c r="CE112" s="3"/>
      <c r="CF112" s="3"/>
      <c r="CG112" s="3"/>
      <c r="CH112" s="3"/>
      <c r="CI112" s="5">
        <f>1 + (1/2)</f>
        <v>1.5</v>
      </c>
      <c r="CJ112" s="3" t="s">
        <v>131</v>
      </c>
      <c r="CK112" s="3" t="s">
        <v>135</v>
      </c>
      <c r="CL112" s="3"/>
      <c r="CM112" s="3"/>
      <c r="CN112" s="3"/>
      <c r="CO112" s="3" t="s">
        <v>154</v>
      </c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</row>
    <row r="113" ht="15.75" customHeight="1">
      <c r="A113" s="3" t="s">
        <v>126</v>
      </c>
      <c r="B113" s="3" t="s">
        <v>111</v>
      </c>
      <c r="C113" s="3" t="s">
        <v>104</v>
      </c>
      <c r="D113" s="3"/>
      <c r="E113" s="3" t="s">
        <v>103</v>
      </c>
      <c r="F113" s="3"/>
      <c r="G113" s="3"/>
      <c r="H113" s="3" t="s">
        <v>167</v>
      </c>
      <c r="I113" s="3"/>
      <c r="J113" s="3" t="s">
        <v>137</v>
      </c>
      <c r="K113" s="3"/>
      <c r="L113" s="3" t="s">
        <v>187</v>
      </c>
      <c r="M113" s="3" t="s">
        <v>134</v>
      </c>
      <c r="N113" s="3" t="s">
        <v>372</v>
      </c>
      <c r="O113" s="3"/>
      <c r="P113" s="3"/>
      <c r="Q113" s="3"/>
      <c r="R113" s="3"/>
      <c r="S113" s="3" t="s">
        <v>457</v>
      </c>
      <c r="T113" s="3" t="s">
        <v>122</v>
      </c>
      <c r="U113" s="3" t="s">
        <v>200</v>
      </c>
      <c r="V113" s="3" t="s">
        <v>166</v>
      </c>
      <c r="W113" s="3"/>
      <c r="X113" s="3"/>
      <c r="Y113" s="3" t="s">
        <v>103</v>
      </c>
      <c r="Z113" s="3"/>
      <c r="AA113" s="3"/>
      <c r="AB113" s="3" t="s">
        <v>119</v>
      </c>
      <c r="AC113" s="3" t="s">
        <v>103</v>
      </c>
      <c r="AD113" s="3" t="s">
        <v>119</v>
      </c>
      <c r="AE113" s="3"/>
      <c r="AF113" s="3"/>
      <c r="AG113" s="3"/>
      <c r="AH113" s="3"/>
      <c r="AI113" s="3"/>
      <c r="AJ113" s="3" t="s">
        <v>191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 t="s">
        <v>103</v>
      </c>
      <c r="AW113" s="3" t="s">
        <v>112</v>
      </c>
      <c r="AX113" s="3"/>
      <c r="AY113" s="3" t="s">
        <v>149</v>
      </c>
      <c r="AZ113" s="3"/>
      <c r="BA113" s="3"/>
      <c r="BB113" s="3"/>
      <c r="BC113" s="3"/>
      <c r="BD113" s="3" t="s">
        <v>103</v>
      </c>
      <c r="BE113" s="3" t="s">
        <v>149</v>
      </c>
      <c r="BF113" s="3" t="s">
        <v>119</v>
      </c>
      <c r="BG113" s="3" t="s">
        <v>140</v>
      </c>
      <c r="BH113" s="3"/>
      <c r="BI113" s="3"/>
      <c r="BJ113" s="3" t="s">
        <v>103</v>
      </c>
      <c r="BK113" s="3" t="s">
        <v>107</v>
      </c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 t="s">
        <v>106</v>
      </c>
      <c r="BX113" s="3"/>
      <c r="BY113" s="3"/>
      <c r="BZ113" s="3"/>
      <c r="CA113" s="3"/>
      <c r="CB113" s="3"/>
      <c r="CC113" s="3" t="s">
        <v>103</v>
      </c>
      <c r="CD113" s="3" t="s">
        <v>116</v>
      </c>
      <c r="CE113" s="3"/>
      <c r="CF113" s="3"/>
      <c r="CG113" s="3"/>
      <c r="CH113" s="3"/>
      <c r="CI113" s="3" t="s">
        <v>103</v>
      </c>
      <c r="CJ113" s="3" t="s">
        <v>107</v>
      </c>
      <c r="CK113" s="3" t="s">
        <v>136</v>
      </c>
      <c r="CL113" s="3"/>
      <c r="CM113" s="3"/>
      <c r="CN113" s="3"/>
      <c r="CO113" s="3" t="s">
        <v>111</v>
      </c>
      <c r="CP113" s="3"/>
      <c r="CQ113" s="3"/>
      <c r="CR113" s="3"/>
      <c r="CS113" s="3"/>
      <c r="CT113" s="3"/>
      <c r="CU113" s="3"/>
      <c r="CV113" s="3"/>
      <c r="CW113" s="3"/>
      <c r="CX113" s="3" t="s">
        <v>150</v>
      </c>
      <c r="CY113" s="3" t="s">
        <v>136</v>
      </c>
      <c r="CZ113" s="3"/>
      <c r="DA113" s="3"/>
      <c r="DB113" s="3"/>
    </row>
    <row r="114" ht="15.75" customHeight="1">
      <c r="A114" s="3" t="s">
        <v>119</v>
      </c>
      <c r="B114" s="3" t="s">
        <v>111</v>
      </c>
      <c r="C114" s="3" t="s">
        <v>104</v>
      </c>
      <c r="D114" s="3"/>
      <c r="E114" s="3" t="s">
        <v>103</v>
      </c>
      <c r="F114" s="3"/>
      <c r="G114" s="3"/>
      <c r="H114" s="3" t="s">
        <v>136</v>
      </c>
      <c r="I114" s="3"/>
      <c r="J114" s="3"/>
      <c r="K114" s="3"/>
      <c r="L114" s="3" t="s">
        <v>139</v>
      </c>
      <c r="M114" s="3" t="s">
        <v>154</v>
      </c>
      <c r="N114" s="3" t="s">
        <v>224</v>
      </c>
      <c r="O114" s="3"/>
      <c r="P114" s="3"/>
      <c r="Q114" s="3"/>
      <c r="R114" s="3"/>
      <c r="S114" s="3" t="s">
        <v>458</v>
      </c>
      <c r="T114" s="3" t="s">
        <v>121</v>
      </c>
      <c r="U114" s="3" t="s">
        <v>111</v>
      </c>
      <c r="V114" s="3" t="s">
        <v>166</v>
      </c>
      <c r="W114" s="3"/>
      <c r="X114" s="3"/>
      <c r="Y114" s="3" t="s">
        <v>103</v>
      </c>
      <c r="Z114" s="3"/>
      <c r="AA114" s="3"/>
      <c r="AB114" s="3" t="s">
        <v>126</v>
      </c>
      <c r="AC114" s="3" t="s">
        <v>126</v>
      </c>
      <c r="AD114" s="3" t="s">
        <v>126</v>
      </c>
      <c r="AE114" s="3"/>
      <c r="AF114" s="3"/>
      <c r="AG114" s="3" t="s">
        <v>103</v>
      </c>
      <c r="AH114" s="3" t="s">
        <v>103</v>
      </c>
      <c r="AI114" s="3"/>
      <c r="AJ114" s="3" t="s">
        <v>203</v>
      </c>
      <c r="AK114" s="3"/>
      <c r="AL114" s="3" t="s">
        <v>132</v>
      </c>
      <c r="AM114" s="3" t="s">
        <v>112</v>
      </c>
      <c r="AN114" s="3"/>
      <c r="AO114" s="3" t="s">
        <v>152</v>
      </c>
      <c r="AP114" s="3"/>
      <c r="AQ114" s="3"/>
      <c r="AR114" s="3"/>
      <c r="AS114" s="3"/>
      <c r="AT114" s="3" t="s">
        <v>132</v>
      </c>
      <c r="AU114" s="3" t="s">
        <v>218</v>
      </c>
      <c r="AV114" s="3" t="s">
        <v>103</v>
      </c>
      <c r="AW114" s="3" t="s">
        <v>184</v>
      </c>
      <c r="AX114" s="3"/>
      <c r="AY114" s="3" t="s">
        <v>149</v>
      </c>
      <c r="AZ114" s="3"/>
      <c r="BA114" s="3"/>
      <c r="BB114" s="3"/>
      <c r="BC114" s="3"/>
      <c r="BD114" s="3" t="s">
        <v>103</v>
      </c>
      <c r="BE114" s="3" t="s">
        <v>144</v>
      </c>
      <c r="BF114" s="3" t="s">
        <v>103</v>
      </c>
      <c r="BG114" s="3" t="s">
        <v>298</v>
      </c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 t="s">
        <v>103</v>
      </c>
      <c r="CD114" s="3" t="s">
        <v>154</v>
      </c>
      <c r="CE114" s="3"/>
      <c r="CF114" s="3"/>
      <c r="CG114" s="3"/>
      <c r="CH114" s="3"/>
      <c r="CI114" s="3" t="s">
        <v>103</v>
      </c>
      <c r="CJ114" s="3" t="s">
        <v>149</v>
      </c>
      <c r="CK114" s="3" t="s">
        <v>135</v>
      </c>
      <c r="CL114" s="3"/>
      <c r="CM114" s="3"/>
      <c r="CN114" s="3"/>
      <c r="CO114" s="3" t="s">
        <v>154</v>
      </c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</row>
    <row r="115" ht="15.75" customHeight="1">
      <c r="A115" s="3" t="s">
        <v>129</v>
      </c>
      <c r="B115" s="3" t="s">
        <v>111</v>
      </c>
      <c r="C115" s="3" t="s">
        <v>104</v>
      </c>
      <c r="D115" s="3"/>
      <c r="E115" s="3" t="s">
        <v>103</v>
      </c>
      <c r="F115" s="3"/>
      <c r="G115" s="3"/>
      <c r="H115" s="3" t="s">
        <v>225</v>
      </c>
      <c r="I115" s="3" t="s">
        <v>107</v>
      </c>
      <c r="J115" s="3" t="s">
        <v>107</v>
      </c>
      <c r="K115" s="3"/>
      <c r="L115" s="3" t="s">
        <v>316</v>
      </c>
      <c r="M115" s="3" t="s">
        <v>256</v>
      </c>
      <c r="N115" s="3" t="s">
        <v>459</v>
      </c>
      <c r="O115" s="3" t="s">
        <v>154</v>
      </c>
      <c r="P115" s="3"/>
      <c r="Q115" s="3" t="s">
        <v>460</v>
      </c>
      <c r="R115" s="3" t="s">
        <v>199</v>
      </c>
      <c r="S115" s="3" t="s">
        <v>461</v>
      </c>
      <c r="T115" s="3" t="s">
        <v>149</v>
      </c>
      <c r="U115" s="3" t="s">
        <v>270</v>
      </c>
      <c r="V115" s="3" t="s">
        <v>154</v>
      </c>
      <c r="W115" s="3"/>
      <c r="X115" s="3"/>
      <c r="Y115" s="3" t="s">
        <v>129</v>
      </c>
      <c r="Z115" s="3"/>
      <c r="AA115" s="3"/>
      <c r="AB115" s="3" t="s">
        <v>122</v>
      </c>
      <c r="AC115" s="3" t="s">
        <v>129</v>
      </c>
      <c r="AD115" s="3" t="s">
        <v>111</v>
      </c>
      <c r="AE115" s="3"/>
      <c r="AF115" s="3" t="s">
        <v>103</v>
      </c>
      <c r="AG115" s="3" t="s">
        <v>103</v>
      </c>
      <c r="AH115" s="3"/>
      <c r="AI115" s="3"/>
      <c r="AJ115" s="3" t="s">
        <v>462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 t="s">
        <v>119</v>
      </c>
      <c r="AW115" s="3" t="s">
        <v>111</v>
      </c>
      <c r="AX115" s="3"/>
      <c r="AY115" s="3" t="s">
        <v>116</v>
      </c>
      <c r="AZ115" s="3"/>
      <c r="BA115" s="3"/>
      <c r="BB115" s="3"/>
      <c r="BC115" s="3"/>
      <c r="BD115" s="3" t="s">
        <v>119</v>
      </c>
      <c r="BE115" s="3" t="s">
        <v>106</v>
      </c>
      <c r="BF115" s="3" t="s">
        <v>112</v>
      </c>
      <c r="BG115" s="3" t="s">
        <v>203</v>
      </c>
      <c r="BH115" s="3"/>
      <c r="BI115" s="3"/>
      <c r="BJ115" s="3" t="s">
        <v>103</v>
      </c>
      <c r="BK115" s="3" t="s">
        <v>298</v>
      </c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5">
        <f>1 + (1/2)</f>
        <v>1.5</v>
      </c>
      <c r="CD115" s="3" t="s">
        <v>109</v>
      </c>
      <c r="CE115" s="3"/>
      <c r="CF115" s="3"/>
      <c r="CG115" s="3"/>
      <c r="CH115" s="3"/>
      <c r="CI115" s="3">
        <f>1/2</f>
        <v>0.5</v>
      </c>
      <c r="CJ115" s="3" t="s">
        <v>137</v>
      </c>
      <c r="CK115" s="3" t="s">
        <v>107</v>
      </c>
      <c r="CL115" s="3"/>
      <c r="CM115" s="3"/>
      <c r="CN115" s="3"/>
      <c r="CO115" s="3" t="s">
        <v>137</v>
      </c>
      <c r="CP115" s="3"/>
      <c r="CQ115" s="3"/>
      <c r="CR115" s="3"/>
      <c r="CS115" s="3"/>
      <c r="CT115" s="3"/>
      <c r="CU115" s="3"/>
      <c r="CV115" s="3"/>
      <c r="CW115" s="3"/>
      <c r="CX115" s="3" t="s">
        <v>136</v>
      </c>
      <c r="CY115" s="3" t="s">
        <v>116</v>
      </c>
      <c r="CZ115" s="3"/>
      <c r="DA115" s="3"/>
      <c r="DB115" s="3"/>
    </row>
    <row r="116" ht="15.75" customHeight="1">
      <c r="A116" s="3" t="s">
        <v>132</v>
      </c>
      <c r="B116" s="3" t="s">
        <v>111</v>
      </c>
      <c r="C116" s="3" t="s">
        <v>104</v>
      </c>
      <c r="D116" s="3"/>
      <c r="E116" s="3" t="s">
        <v>103</v>
      </c>
      <c r="F116" s="3"/>
      <c r="G116" s="3"/>
      <c r="H116" s="3" t="s">
        <v>154</v>
      </c>
      <c r="I116" s="3"/>
      <c r="J116" s="3" t="s">
        <v>144</v>
      </c>
      <c r="K116" s="3"/>
      <c r="L116" s="3" t="s">
        <v>332</v>
      </c>
      <c r="M116" s="3" t="s">
        <v>106</v>
      </c>
      <c r="N116" s="3" t="s">
        <v>168</v>
      </c>
      <c r="O116" s="3" t="s">
        <v>107</v>
      </c>
      <c r="P116" s="3"/>
      <c r="Q116" s="3"/>
      <c r="R116" s="3"/>
      <c r="S116" s="3" t="s">
        <v>463</v>
      </c>
      <c r="T116" s="3" t="s">
        <v>136</v>
      </c>
      <c r="U116" s="3" t="s">
        <v>107</v>
      </c>
      <c r="V116" s="3" t="s">
        <v>167</v>
      </c>
      <c r="W116" s="3"/>
      <c r="X116" s="3"/>
      <c r="Y116" s="3" t="s">
        <v>126</v>
      </c>
      <c r="Z116" s="3"/>
      <c r="AA116" s="3"/>
      <c r="AB116" s="3" t="s">
        <v>162</v>
      </c>
      <c r="AC116" s="3" t="s">
        <v>112</v>
      </c>
      <c r="AD116" s="3" t="s">
        <v>132</v>
      </c>
      <c r="AE116" s="3" t="s">
        <v>129</v>
      </c>
      <c r="AF116" s="3" t="s">
        <v>103</v>
      </c>
      <c r="AG116" s="3"/>
      <c r="AH116" s="3"/>
      <c r="AI116" s="3"/>
      <c r="AJ116" s="3" t="s">
        <v>176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 t="s">
        <v>103</v>
      </c>
      <c r="AW116" s="3" t="s">
        <v>166</v>
      </c>
      <c r="AX116" s="3"/>
      <c r="AY116" s="3" t="s">
        <v>154</v>
      </c>
      <c r="AZ116" s="3"/>
      <c r="BA116" s="3"/>
      <c r="BB116" s="3"/>
      <c r="BC116" s="3"/>
      <c r="BD116" s="5">
        <f>1 + (1/2)</f>
        <v>1.5</v>
      </c>
      <c r="BE116" s="3" t="s">
        <v>211</v>
      </c>
      <c r="BF116" s="3" t="s">
        <v>126</v>
      </c>
      <c r="BG116" s="3" t="s">
        <v>211</v>
      </c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>
        <f>1/4</f>
        <v>0.25</v>
      </c>
      <c r="CD116" s="3" t="s">
        <v>154</v>
      </c>
      <c r="CE116" s="3"/>
      <c r="CF116" s="3"/>
      <c r="CG116" s="3"/>
      <c r="CH116" s="3"/>
      <c r="CI116" s="3" t="s">
        <v>103</v>
      </c>
      <c r="CJ116" s="3" t="s">
        <v>136</v>
      </c>
      <c r="CK116" s="3" t="s">
        <v>135</v>
      </c>
      <c r="CL116" s="3"/>
      <c r="CM116" s="3"/>
      <c r="CN116" s="3"/>
      <c r="CO116" s="3" t="s">
        <v>122</v>
      </c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</row>
    <row r="117" ht="15.75" customHeight="1">
      <c r="A117" s="3" t="s">
        <v>162</v>
      </c>
      <c r="B117" s="3" t="s">
        <v>111</v>
      </c>
      <c r="C117" s="3" t="s">
        <v>104</v>
      </c>
      <c r="D117" s="3"/>
      <c r="E117" s="3" t="s">
        <v>103</v>
      </c>
      <c r="F117" s="3"/>
      <c r="G117" s="3"/>
      <c r="H117" s="3" t="s">
        <v>154</v>
      </c>
      <c r="I117" s="3"/>
      <c r="J117" s="3" t="s">
        <v>141</v>
      </c>
      <c r="K117" s="3"/>
      <c r="L117" s="3" t="s">
        <v>244</v>
      </c>
      <c r="M117" s="3" t="s">
        <v>154</v>
      </c>
      <c r="N117" s="3" t="s">
        <v>196</v>
      </c>
      <c r="O117" s="3" t="s">
        <v>144</v>
      </c>
      <c r="P117" s="3"/>
      <c r="Q117" s="3"/>
      <c r="R117" s="3"/>
      <c r="S117" s="3" t="s">
        <v>464</v>
      </c>
      <c r="T117" s="3" t="s">
        <v>121</v>
      </c>
      <c r="U117" s="3" t="s">
        <v>178</v>
      </c>
      <c r="V117" s="3" t="s">
        <v>144</v>
      </c>
      <c r="W117" s="3"/>
      <c r="X117" s="3"/>
      <c r="Y117" s="3" t="s">
        <v>103</v>
      </c>
      <c r="Z117" s="3"/>
      <c r="AA117" s="3"/>
      <c r="AB117" s="3" t="s">
        <v>129</v>
      </c>
      <c r="AC117" s="3" t="s">
        <v>132</v>
      </c>
      <c r="AD117" s="3" t="s">
        <v>132</v>
      </c>
      <c r="AE117" s="3" t="s">
        <v>103</v>
      </c>
      <c r="AF117" s="3"/>
      <c r="AG117" s="3" t="s">
        <v>103</v>
      </c>
      <c r="AH117" s="3"/>
      <c r="AI117" s="3"/>
      <c r="AJ117" s="3" t="s">
        <v>113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 t="s">
        <v>103</v>
      </c>
      <c r="AW117" s="3" t="s">
        <v>122</v>
      </c>
      <c r="AX117" s="3"/>
      <c r="AY117" s="3" t="s">
        <v>131</v>
      </c>
      <c r="AZ117" s="3"/>
      <c r="BA117" s="3"/>
      <c r="BB117" s="3"/>
      <c r="BC117" s="3"/>
      <c r="BD117" s="3"/>
      <c r="BE117" s="3"/>
      <c r="BF117" s="5">
        <f>2 + (1/2)</f>
        <v>2.5</v>
      </c>
      <c r="BG117" s="3" t="s">
        <v>105</v>
      </c>
      <c r="BH117" s="3"/>
      <c r="BI117" s="3"/>
      <c r="BJ117" s="3" t="s">
        <v>103</v>
      </c>
      <c r="BK117" s="3" t="s">
        <v>107</v>
      </c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 t="s">
        <v>127</v>
      </c>
      <c r="BY117" s="3"/>
      <c r="BZ117" s="3"/>
      <c r="CA117" s="3"/>
      <c r="CB117" s="3"/>
      <c r="CC117" s="3">
        <f>1/2</f>
        <v>0.5</v>
      </c>
      <c r="CD117" s="3" t="s">
        <v>154</v>
      </c>
      <c r="CE117" s="3"/>
      <c r="CF117" s="3"/>
      <c r="CG117" s="3"/>
      <c r="CH117" s="3"/>
      <c r="CI117" s="3">
        <f>1/2</f>
        <v>0.5</v>
      </c>
      <c r="CJ117" s="3" t="s">
        <v>149</v>
      </c>
      <c r="CK117" s="3" t="s">
        <v>144</v>
      </c>
      <c r="CL117" s="3"/>
      <c r="CM117" s="3"/>
      <c r="CN117" s="3"/>
      <c r="CO117" s="3" t="s">
        <v>162</v>
      </c>
      <c r="CP117" s="3"/>
      <c r="CQ117" s="3"/>
      <c r="CR117" s="3"/>
      <c r="CS117" s="3"/>
      <c r="CT117" s="3"/>
      <c r="CU117" s="3"/>
      <c r="CV117" s="3"/>
      <c r="CW117" s="3"/>
      <c r="CX117" s="3" t="s">
        <v>137</v>
      </c>
      <c r="CY117" s="3" t="s">
        <v>144</v>
      </c>
      <c r="CZ117" s="3"/>
      <c r="DA117" s="3"/>
      <c r="DB117" s="3"/>
    </row>
    <row r="118" ht="15.75" customHeight="1">
      <c r="A118" s="3" t="s">
        <v>127</v>
      </c>
      <c r="B118" s="3" t="s">
        <v>111</v>
      </c>
      <c r="C118" s="3" t="s">
        <v>104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</row>
    <row r="119" ht="15.75" customHeight="1">
      <c r="A119" s="3" t="s">
        <v>112</v>
      </c>
      <c r="B119" s="3" t="s">
        <v>111</v>
      </c>
      <c r="C119" s="3" t="s">
        <v>104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</row>
    <row r="120" ht="15.75" customHeight="1">
      <c r="A120" s="3" t="s">
        <v>184</v>
      </c>
      <c r="B120" s="3" t="s">
        <v>111</v>
      </c>
      <c r="C120" s="3" t="s">
        <v>104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</row>
    <row r="121" ht="15.75" customHeight="1">
      <c r="A121" s="3" t="s">
        <v>137</v>
      </c>
      <c r="B121" s="3" t="s">
        <v>111</v>
      </c>
      <c r="C121" s="3" t="s">
        <v>104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</row>
    <row r="122" ht="15.75" customHeight="1">
      <c r="A122" s="3" t="s">
        <v>103</v>
      </c>
      <c r="B122" s="3" t="s">
        <v>150</v>
      </c>
      <c r="C122" s="3" t="s">
        <v>104</v>
      </c>
      <c r="D122" s="3"/>
      <c r="E122" s="3" t="s">
        <v>103</v>
      </c>
      <c r="F122" s="3"/>
      <c r="G122" s="3"/>
      <c r="H122" s="3" t="s">
        <v>145</v>
      </c>
      <c r="I122" s="3" t="s">
        <v>106</v>
      </c>
      <c r="J122" s="3" t="s">
        <v>135</v>
      </c>
      <c r="K122" s="3"/>
      <c r="L122" s="3" t="s">
        <v>465</v>
      </c>
      <c r="M122" s="3" t="s">
        <v>348</v>
      </c>
      <c r="N122" s="3" t="s">
        <v>312</v>
      </c>
      <c r="O122" s="3" t="s">
        <v>107</v>
      </c>
      <c r="P122" s="3" t="s">
        <v>235</v>
      </c>
      <c r="Q122" s="3" t="s">
        <v>466</v>
      </c>
      <c r="R122" s="4" t="s">
        <v>140</v>
      </c>
      <c r="S122" s="3" t="s">
        <v>467</v>
      </c>
      <c r="T122" s="3" t="s">
        <v>203</v>
      </c>
      <c r="U122" s="3" t="s">
        <v>203</v>
      </c>
      <c r="V122" s="3" t="s">
        <v>203</v>
      </c>
      <c r="W122" s="3"/>
      <c r="X122" s="3"/>
      <c r="Y122" s="3" t="s">
        <v>127</v>
      </c>
      <c r="Z122" s="3"/>
      <c r="AA122" s="3"/>
      <c r="AB122" s="3" t="s">
        <v>296</v>
      </c>
      <c r="AC122" s="3" t="s">
        <v>177</v>
      </c>
      <c r="AD122" s="3" t="s">
        <v>279</v>
      </c>
      <c r="AE122" s="3"/>
      <c r="AF122" s="3" t="s">
        <v>119</v>
      </c>
      <c r="AG122" s="3" t="s">
        <v>103</v>
      </c>
      <c r="AH122" s="3" t="s">
        <v>103</v>
      </c>
      <c r="AI122" s="3"/>
      <c r="AJ122" s="3" t="s">
        <v>275</v>
      </c>
      <c r="AK122" s="3"/>
      <c r="AL122" s="3" t="s">
        <v>270</v>
      </c>
      <c r="AM122" s="3" t="s">
        <v>121</v>
      </c>
      <c r="AN122" s="3"/>
      <c r="AO122" s="3"/>
      <c r="AP122" s="3" t="s">
        <v>126</v>
      </c>
      <c r="AQ122" s="3"/>
      <c r="AR122" s="3" t="s">
        <v>132</v>
      </c>
      <c r="AS122" s="3"/>
      <c r="AT122" s="3" t="s">
        <v>135</v>
      </c>
      <c r="AU122" s="3" t="s">
        <v>176</v>
      </c>
      <c r="AV122" s="3" t="s">
        <v>137</v>
      </c>
      <c r="AW122" s="3" t="s">
        <v>162</v>
      </c>
      <c r="AX122" s="3" t="s">
        <v>119</v>
      </c>
      <c r="AY122" s="3" t="s">
        <v>137</v>
      </c>
      <c r="AZ122" s="3" t="s">
        <v>126</v>
      </c>
      <c r="BA122" s="3" t="s">
        <v>154</v>
      </c>
      <c r="BB122" s="3" t="s">
        <v>129</v>
      </c>
      <c r="BC122" s="3" t="s">
        <v>225</v>
      </c>
      <c r="BD122" s="3" t="s">
        <v>129</v>
      </c>
      <c r="BE122" s="3" t="s">
        <v>106</v>
      </c>
      <c r="BF122" s="3" t="s">
        <v>167</v>
      </c>
      <c r="BG122" s="3" t="s">
        <v>342</v>
      </c>
      <c r="BH122" s="3" t="s">
        <v>126</v>
      </c>
      <c r="BI122" s="3" t="s">
        <v>154</v>
      </c>
      <c r="BJ122" s="5">
        <f>2 +(1/4)</f>
        <v>2.25</v>
      </c>
      <c r="BK122" s="3" t="s">
        <v>169</v>
      </c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 t="s">
        <v>103</v>
      </c>
      <c r="CD122" s="3" t="s">
        <v>149</v>
      </c>
      <c r="CE122" s="3"/>
      <c r="CF122" s="3"/>
      <c r="CG122" s="3"/>
      <c r="CH122" s="3"/>
      <c r="CI122" s="3" t="s">
        <v>103</v>
      </c>
      <c r="CJ122" s="3" t="s">
        <v>149</v>
      </c>
      <c r="CK122" s="3" t="s">
        <v>109</v>
      </c>
      <c r="CL122" s="3"/>
      <c r="CM122" s="3"/>
      <c r="CN122" s="3"/>
      <c r="CO122" s="3" t="s">
        <v>188</v>
      </c>
      <c r="CP122" s="3"/>
      <c r="CQ122" s="3"/>
      <c r="CR122" s="3"/>
      <c r="CS122" s="3"/>
      <c r="CT122" s="3"/>
      <c r="CU122" s="3"/>
      <c r="CV122" s="3"/>
      <c r="CW122" s="3"/>
      <c r="CX122" s="3" t="s">
        <v>154</v>
      </c>
      <c r="CY122" s="3" t="s">
        <v>106</v>
      </c>
      <c r="CZ122" s="3"/>
      <c r="DA122" s="3"/>
      <c r="DB122" s="3"/>
    </row>
    <row r="123" ht="15.75" customHeight="1">
      <c r="A123" s="3" t="s">
        <v>126</v>
      </c>
      <c r="B123" s="3" t="s">
        <v>150</v>
      </c>
      <c r="C123" s="3" t="s">
        <v>104</v>
      </c>
      <c r="D123" s="3"/>
      <c r="E123" s="3" t="s">
        <v>103</v>
      </c>
      <c r="F123" s="3"/>
      <c r="G123" s="3"/>
      <c r="H123" s="3" t="s">
        <v>138</v>
      </c>
      <c r="I123" s="3"/>
      <c r="J123" s="3" t="s">
        <v>112</v>
      </c>
      <c r="K123" s="3"/>
      <c r="L123" s="3" t="s">
        <v>142</v>
      </c>
      <c r="M123" s="3" t="s">
        <v>109</v>
      </c>
      <c r="N123" s="3" t="s">
        <v>256</v>
      </c>
      <c r="O123" s="3" t="s">
        <v>137</v>
      </c>
      <c r="P123" s="3"/>
      <c r="Q123" s="3" t="s">
        <v>140</v>
      </c>
      <c r="R123" s="3" t="s">
        <v>137</v>
      </c>
      <c r="S123" s="3" t="s">
        <v>468</v>
      </c>
      <c r="T123" s="3" t="s">
        <v>144</v>
      </c>
      <c r="U123" s="3" t="s">
        <v>204</v>
      </c>
      <c r="V123" s="3" t="s">
        <v>149</v>
      </c>
      <c r="W123" s="3"/>
      <c r="X123" s="3"/>
      <c r="Y123" s="3" t="s">
        <v>126</v>
      </c>
      <c r="Z123" s="3"/>
      <c r="AA123" s="3"/>
      <c r="AB123" s="3" t="s">
        <v>184</v>
      </c>
      <c r="AC123" s="3" t="s">
        <v>103</v>
      </c>
      <c r="AD123" s="3" t="s">
        <v>112</v>
      </c>
      <c r="AE123" s="3"/>
      <c r="AF123" s="3"/>
      <c r="AG123" s="3" t="s">
        <v>103</v>
      </c>
      <c r="AH123" s="3"/>
      <c r="AI123" s="3"/>
      <c r="AJ123" s="3" t="s">
        <v>191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 t="s">
        <v>126</v>
      </c>
      <c r="AW123" s="3" t="s">
        <v>137</v>
      </c>
      <c r="AX123" s="3"/>
      <c r="AY123" s="3" t="s">
        <v>136</v>
      </c>
      <c r="AZ123" s="3"/>
      <c r="BA123" s="3"/>
      <c r="BB123" s="3"/>
      <c r="BC123" s="3"/>
      <c r="BD123" s="3" t="s">
        <v>103</v>
      </c>
      <c r="BE123" s="3" t="s">
        <v>136</v>
      </c>
      <c r="BF123" s="3" t="s">
        <v>129</v>
      </c>
      <c r="BG123" s="3" t="s">
        <v>134</v>
      </c>
      <c r="BH123" s="3"/>
      <c r="BI123" s="3"/>
      <c r="BJ123" s="3" t="s">
        <v>103</v>
      </c>
      <c r="BK123" s="3" t="s">
        <v>237</v>
      </c>
      <c r="BL123" s="3" t="s">
        <v>137</v>
      </c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>
        <f>3/4</f>
        <v>0.75</v>
      </c>
      <c r="CD123" s="3" t="s">
        <v>131</v>
      </c>
      <c r="CE123" s="3"/>
      <c r="CF123" s="3"/>
      <c r="CG123" s="3"/>
      <c r="CH123" s="3"/>
      <c r="CI123" s="3" t="s">
        <v>126</v>
      </c>
      <c r="CJ123" s="3" t="s">
        <v>131</v>
      </c>
      <c r="CK123" s="3" t="s">
        <v>135</v>
      </c>
      <c r="CL123" s="3"/>
      <c r="CM123" s="3"/>
      <c r="CN123" s="3"/>
      <c r="CO123" s="3" t="s">
        <v>279</v>
      </c>
      <c r="CP123" s="3"/>
      <c r="CQ123" s="3"/>
      <c r="CR123" s="3"/>
      <c r="CS123" s="3"/>
      <c r="CT123" s="3"/>
      <c r="CU123" s="3"/>
      <c r="CV123" s="3"/>
      <c r="CW123" s="3"/>
      <c r="CX123" s="3" t="s">
        <v>137</v>
      </c>
      <c r="CY123" s="3" t="s">
        <v>136</v>
      </c>
      <c r="CZ123" s="3"/>
      <c r="DA123" s="3"/>
      <c r="DB123" s="3"/>
    </row>
    <row r="124" ht="15.75" customHeight="1">
      <c r="A124" s="3" t="s">
        <v>119</v>
      </c>
      <c r="B124" s="3" t="s">
        <v>150</v>
      </c>
      <c r="C124" s="3" t="s">
        <v>104</v>
      </c>
      <c r="D124" s="3"/>
      <c r="E124" s="3" t="s">
        <v>103</v>
      </c>
      <c r="F124" s="3"/>
      <c r="G124" s="3"/>
      <c r="H124" s="3" t="s">
        <v>107</v>
      </c>
      <c r="I124" s="3"/>
      <c r="J124" s="3"/>
      <c r="K124" s="3"/>
      <c r="L124" s="3" t="s">
        <v>229</v>
      </c>
      <c r="M124" s="3" t="s">
        <v>135</v>
      </c>
      <c r="N124" s="3" t="s">
        <v>386</v>
      </c>
      <c r="O124" s="3"/>
      <c r="P124" s="3"/>
      <c r="Q124" s="3"/>
      <c r="R124" s="3"/>
      <c r="S124" s="3" t="s">
        <v>469</v>
      </c>
      <c r="T124" s="3" t="s">
        <v>152</v>
      </c>
      <c r="U124" s="3" t="s">
        <v>184</v>
      </c>
      <c r="V124" s="3" t="s">
        <v>111</v>
      </c>
      <c r="W124" s="3"/>
      <c r="X124" s="3"/>
      <c r="Y124" s="3" t="s">
        <v>103</v>
      </c>
      <c r="Z124" s="3"/>
      <c r="AA124" s="3"/>
      <c r="AB124" s="3" t="s">
        <v>119</v>
      </c>
      <c r="AC124" s="3"/>
      <c r="AD124" s="3" t="s">
        <v>119</v>
      </c>
      <c r="AE124" s="3" t="s">
        <v>126</v>
      </c>
      <c r="AF124" s="3" t="s">
        <v>103</v>
      </c>
      <c r="AG124" s="3"/>
      <c r="AH124" s="3"/>
      <c r="AI124" s="3"/>
      <c r="AJ124" s="3" t="s">
        <v>239</v>
      </c>
      <c r="AK124" s="3"/>
      <c r="AL124" s="3"/>
      <c r="AM124" s="3" t="s">
        <v>119</v>
      </c>
      <c r="AN124" s="3"/>
      <c r="AO124" s="3" t="s">
        <v>112</v>
      </c>
      <c r="AP124" s="3"/>
      <c r="AQ124" s="3"/>
      <c r="AR124" s="3"/>
      <c r="AS124" s="3"/>
      <c r="AT124" s="3"/>
      <c r="AU124" s="3"/>
      <c r="AV124" s="3" t="s">
        <v>103</v>
      </c>
      <c r="AW124" s="3" t="s">
        <v>166</v>
      </c>
      <c r="AX124" s="3" t="s">
        <v>126</v>
      </c>
      <c r="AY124" s="3" t="s">
        <v>134</v>
      </c>
      <c r="AZ124" s="3"/>
      <c r="BA124" s="3"/>
      <c r="BB124" s="3"/>
      <c r="BC124" s="3"/>
      <c r="BD124" s="3">
        <f>1/2</f>
        <v>0.5</v>
      </c>
      <c r="BE124" s="3" t="s">
        <v>144</v>
      </c>
      <c r="BF124" s="5">
        <f>1 + (1/4)</f>
        <v>1.25</v>
      </c>
      <c r="BG124" s="3" t="s">
        <v>154</v>
      </c>
      <c r="BH124" s="3"/>
      <c r="BI124" s="3"/>
      <c r="BJ124" s="3">
        <f>1/2</f>
        <v>0.5</v>
      </c>
      <c r="BK124" s="3" t="s">
        <v>137</v>
      </c>
      <c r="BL124" s="3" t="s">
        <v>132</v>
      </c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>
        <f>1/3</f>
        <v>0.3333333333</v>
      </c>
      <c r="CD124" s="3" t="s">
        <v>149</v>
      </c>
      <c r="CE124" s="3"/>
      <c r="CF124" s="3"/>
      <c r="CG124" s="3"/>
      <c r="CH124" s="3"/>
      <c r="CI124" s="3">
        <f>1/4</f>
        <v>0.25</v>
      </c>
      <c r="CJ124" s="3" t="s">
        <v>111</v>
      </c>
      <c r="CK124" s="3" t="s">
        <v>111</v>
      </c>
      <c r="CL124" s="3"/>
      <c r="CM124" s="3"/>
      <c r="CN124" s="3"/>
      <c r="CO124" s="3" t="s">
        <v>162</v>
      </c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</row>
    <row r="125" ht="15.75" customHeight="1">
      <c r="A125" s="3" t="s">
        <v>129</v>
      </c>
      <c r="B125" s="3" t="s">
        <v>150</v>
      </c>
      <c r="C125" s="3" t="s">
        <v>104</v>
      </c>
      <c r="D125" s="3"/>
      <c r="E125" s="3" t="s">
        <v>103</v>
      </c>
      <c r="F125" s="3"/>
      <c r="G125" s="3"/>
      <c r="H125" s="3" t="s">
        <v>138</v>
      </c>
      <c r="I125" s="3"/>
      <c r="J125" s="3" t="s">
        <v>112</v>
      </c>
      <c r="K125" s="3"/>
      <c r="L125" s="3" t="s">
        <v>238</v>
      </c>
      <c r="M125" s="3" t="s">
        <v>106</v>
      </c>
      <c r="N125" s="3" t="s">
        <v>191</v>
      </c>
      <c r="O125" s="3"/>
      <c r="P125" s="3"/>
      <c r="Q125" s="3"/>
      <c r="R125" s="3"/>
      <c r="S125" s="3" t="s">
        <v>470</v>
      </c>
      <c r="T125" s="3" t="s">
        <v>144</v>
      </c>
      <c r="U125" s="3" t="s">
        <v>204</v>
      </c>
      <c r="V125" s="3" t="s">
        <v>144</v>
      </c>
      <c r="W125" s="3"/>
      <c r="X125" s="3"/>
      <c r="Y125" s="3" t="s">
        <v>126</v>
      </c>
      <c r="Z125" s="3" t="s">
        <v>126</v>
      </c>
      <c r="AA125" s="3"/>
      <c r="AB125" s="3" t="s">
        <v>129</v>
      </c>
      <c r="AC125" s="3" t="s">
        <v>103</v>
      </c>
      <c r="AD125" s="3" t="s">
        <v>119</v>
      </c>
      <c r="AE125" s="3"/>
      <c r="AF125" s="3"/>
      <c r="AG125" s="3"/>
      <c r="AH125" s="3"/>
      <c r="AI125" s="3"/>
      <c r="AJ125" s="3" t="s">
        <v>135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 t="s">
        <v>103</v>
      </c>
      <c r="AW125" s="3" t="s">
        <v>144</v>
      </c>
      <c r="AX125" s="3" t="s">
        <v>129</v>
      </c>
      <c r="AY125" s="3" t="s">
        <v>131</v>
      </c>
      <c r="AZ125" s="5">
        <f>2 + (1/2)</f>
        <v>2.5</v>
      </c>
      <c r="BA125" s="3" t="s">
        <v>130</v>
      </c>
      <c r="BB125" s="3"/>
      <c r="BC125" s="3"/>
      <c r="BD125" s="3">
        <f>3/4</f>
        <v>0.75</v>
      </c>
      <c r="BE125" s="3" t="s">
        <v>157</v>
      </c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>
        <f>3/4</f>
        <v>0.75</v>
      </c>
      <c r="CD125" s="3" t="s">
        <v>167</v>
      </c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</row>
    <row r="126" ht="15.75" customHeight="1">
      <c r="A126" s="3" t="s">
        <v>132</v>
      </c>
      <c r="B126" s="3" t="s">
        <v>150</v>
      </c>
      <c r="C126" s="3" t="s">
        <v>104</v>
      </c>
      <c r="D126" s="3"/>
      <c r="E126" s="3" t="s">
        <v>103</v>
      </c>
      <c r="F126" s="3"/>
      <c r="G126" s="3"/>
      <c r="H126" s="3" t="s">
        <v>113</v>
      </c>
      <c r="I126" s="3" t="s">
        <v>109</v>
      </c>
      <c r="J126" s="3" t="s">
        <v>113</v>
      </c>
      <c r="K126" s="3"/>
      <c r="L126" s="3" t="s">
        <v>311</v>
      </c>
      <c r="M126" s="3" t="s">
        <v>106</v>
      </c>
      <c r="N126" s="3" t="s">
        <v>471</v>
      </c>
      <c r="O126" s="3" t="s">
        <v>154</v>
      </c>
      <c r="P126" s="3"/>
      <c r="Q126" s="3" t="s">
        <v>145</v>
      </c>
      <c r="R126" s="3" t="s">
        <v>131</v>
      </c>
      <c r="S126" s="3" t="s">
        <v>472</v>
      </c>
      <c r="T126" s="3" t="s">
        <v>134</v>
      </c>
      <c r="U126" s="3" t="s">
        <v>272</v>
      </c>
      <c r="V126" s="3" t="s">
        <v>106</v>
      </c>
      <c r="W126" s="3"/>
      <c r="X126" s="3"/>
      <c r="Y126" s="3" t="s">
        <v>126</v>
      </c>
      <c r="Z126" s="3"/>
      <c r="AA126" s="3" t="s">
        <v>126</v>
      </c>
      <c r="AB126" s="3" t="s">
        <v>126</v>
      </c>
      <c r="AC126" s="3" t="s">
        <v>128</v>
      </c>
      <c r="AD126" s="3" t="s">
        <v>103</v>
      </c>
      <c r="AE126" s="3" t="s">
        <v>128</v>
      </c>
      <c r="AF126" s="3" t="s">
        <v>473</v>
      </c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 t="s">
        <v>126</v>
      </c>
      <c r="AW126" s="3" t="s">
        <v>136</v>
      </c>
      <c r="AX126" s="3" t="s">
        <v>119</v>
      </c>
      <c r="AY126" s="3" t="s">
        <v>131</v>
      </c>
      <c r="AZ126" s="3"/>
      <c r="BA126" s="3"/>
      <c r="BB126" s="3"/>
      <c r="BC126" s="3"/>
      <c r="BD126" s="3" t="s">
        <v>162</v>
      </c>
      <c r="BE126" s="3" t="s">
        <v>223</v>
      </c>
      <c r="BF126" s="3"/>
      <c r="BG126" s="3"/>
      <c r="BH126" s="3"/>
      <c r="BI126" s="3"/>
      <c r="BJ126" s="3" t="s">
        <v>132</v>
      </c>
      <c r="BK126" s="3" t="s">
        <v>135</v>
      </c>
      <c r="BL126" s="3"/>
      <c r="BM126" s="3" t="s">
        <v>149</v>
      </c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</row>
    <row r="127" ht="15.75" customHeight="1">
      <c r="A127" s="3" t="s">
        <v>162</v>
      </c>
      <c r="B127" s="3" t="s">
        <v>150</v>
      </c>
      <c r="C127" s="3" t="s">
        <v>104</v>
      </c>
      <c r="D127" s="3"/>
      <c r="E127" s="3"/>
      <c r="F127" s="3"/>
      <c r="G127" s="3" t="s">
        <v>103</v>
      </c>
      <c r="H127" s="3" t="s">
        <v>474</v>
      </c>
      <c r="I127" s="3"/>
      <c r="J127" s="3" t="s">
        <v>121</v>
      </c>
      <c r="K127" s="3"/>
      <c r="L127" s="3" t="s">
        <v>475</v>
      </c>
      <c r="M127" s="3" t="s">
        <v>135</v>
      </c>
      <c r="N127" s="3" t="s">
        <v>476</v>
      </c>
      <c r="O127" s="3" t="s">
        <v>137</v>
      </c>
      <c r="P127" s="3"/>
      <c r="Q127" s="3" t="s">
        <v>477</v>
      </c>
      <c r="R127" s="3" t="s">
        <v>116</v>
      </c>
      <c r="S127" s="3" t="s">
        <v>323</v>
      </c>
      <c r="T127" s="3" t="s">
        <v>125</v>
      </c>
      <c r="U127" s="3" t="s">
        <v>214</v>
      </c>
      <c r="V127" s="3" t="s">
        <v>214</v>
      </c>
      <c r="W127" s="3"/>
      <c r="X127" s="3"/>
      <c r="Y127" s="3" t="s">
        <v>126</v>
      </c>
      <c r="Z127" s="3"/>
      <c r="AA127" s="3" t="s">
        <v>126</v>
      </c>
      <c r="AB127" s="3" t="s">
        <v>279</v>
      </c>
      <c r="AC127" s="3" t="s">
        <v>253</v>
      </c>
      <c r="AD127" s="3" t="s">
        <v>279</v>
      </c>
      <c r="AE127" s="3"/>
      <c r="AF127" s="3" t="s">
        <v>126</v>
      </c>
      <c r="AG127" s="3" t="s">
        <v>103</v>
      </c>
      <c r="AH127" s="3"/>
      <c r="AI127" s="3"/>
      <c r="AJ127" s="3" t="s">
        <v>124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 t="s">
        <v>129</v>
      </c>
      <c r="AW127" s="3" t="s">
        <v>148</v>
      </c>
      <c r="AX127" s="3" t="s">
        <v>119</v>
      </c>
      <c r="AY127" s="3" t="s">
        <v>131</v>
      </c>
      <c r="AZ127" s="3" t="s">
        <v>126</v>
      </c>
      <c r="BA127" s="3" t="s">
        <v>335</v>
      </c>
      <c r="BB127" s="3"/>
      <c r="BC127" s="3"/>
      <c r="BD127" s="3" t="s">
        <v>103</v>
      </c>
      <c r="BE127" s="3" t="s">
        <v>136</v>
      </c>
      <c r="BF127" s="3" t="s">
        <v>132</v>
      </c>
      <c r="BG127" s="3" t="s">
        <v>478</v>
      </c>
      <c r="BH127" s="3"/>
      <c r="BI127" s="3"/>
      <c r="BJ127" s="3" t="s">
        <v>103</v>
      </c>
      <c r="BK127" s="3" t="s">
        <v>122</v>
      </c>
      <c r="BL127" s="3" t="s">
        <v>236</v>
      </c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5">
        <f>1 + (1/2)</f>
        <v>1.5</v>
      </c>
      <c r="CD127" s="3" t="s">
        <v>479</v>
      </c>
      <c r="CE127" s="3"/>
      <c r="CF127" s="3"/>
      <c r="CG127" s="3"/>
      <c r="CH127" s="3"/>
      <c r="CI127" s="3" t="s">
        <v>103</v>
      </c>
      <c r="CJ127" s="3" t="s">
        <v>149</v>
      </c>
      <c r="CK127" s="3" t="s">
        <v>113</v>
      </c>
      <c r="CL127" s="3"/>
      <c r="CM127" s="3"/>
      <c r="CN127" s="3"/>
      <c r="CO127" s="3" t="s">
        <v>136</v>
      </c>
      <c r="CP127" s="3"/>
      <c r="CQ127" s="3"/>
      <c r="CR127" s="3"/>
      <c r="CS127" s="3"/>
      <c r="CT127" s="3"/>
      <c r="CU127" s="3"/>
      <c r="CV127" s="3"/>
      <c r="CW127" s="3"/>
      <c r="CX127" s="3" t="s">
        <v>137</v>
      </c>
      <c r="CY127" s="3" t="s">
        <v>166</v>
      </c>
      <c r="CZ127" s="3"/>
      <c r="DA127" s="3"/>
      <c r="DB127" s="3"/>
    </row>
    <row r="128" ht="15.75" customHeight="1">
      <c r="A128" s="3" t="s">
        <v>127</v>
      </c>
      <c r="B128" s="3" t="s">
        <v>150</v>
      </c>
      <c r="C128" s="3" t="s">
        <v>104</v>
      </c>
      <c r="D128" s="3"/>
      <c r="E128" s="3" t="s">
        <v>103</v>
      </c>
      <c r="F128" s="3"/>
      <c r="G128" s="3"/>
      <c r="H128" s="3" t="s">
        <v>234</v>
      </c>
      <c r="I128" s="3"/>
      <c r="J128" s="3" t="s">
        <v>137</v>
      </c>
      <c r="K128" s="3"/>
      <c r="L128" s="3" t="s">
        <v>238</v>
      </c>
      <c r="M128" s="3" t="s">
        <v>109</v>
      </c>
      <c r="N128" s="3" t="s">
        <v>480</v>
      </c>
      <c r="O128" s="3" t="s">
        <v>132</v>
      </c>
      <c r="P128" s="3"/>
      <c r="Q128" s="3" t="s">
        <v>135</v>
      </c>
      <c r="R128" s="3" t="s">
        <v>156</v>
      </c>
      <c r="S128" s="3" t="s">
        <v>481</v>
      </c>
      <c r="T128" s="3" t="s">
        <v>136</v>
      </c>
      <c r="U128" s="3" t="s">
        <v>482</v>
      </c>
      <c r="V128" s="3" t="s">
        <v>136</v>
      </c>
      <c r="W128" s="3"/>
      <c r="X128" s="3"/>
      <c r="Y128" s="3" t="s">
        <v>119</v>
      </c>
      <c r="Z128" s="3"/>
      <c r="AA128" s="3"/>
      <c r="AB128" s="3" t="s">
        <v>112</v>
      </c>
      <c r="AC128" s="3"/>
      <c r="AD128" s="3" t="s">
        <v>132</v>
      </c>
      <c r="AE128" s="3"/>
      <c r="AF128" s="3" t="s">
        <v>103</v>
      </c>
      <c r="AG128" s="3"/>
      <c r="AH128" s="3"/>
      <c r="AI128" s="3" t="s">
        <v>282</v>
      </c>
      <c r="AJ128" s="3" t="s">
        <v>191</v>
      </c>
      <c r="AK128" s="3"/>
      <c r="AL128" s="3" t="s">
        <v>166</v>
      </c>
      <c r="AM128" s="3" t="s">
        <v>152</v>
      </c>
      <c r="AN128" s="3"/>
      <c r="AO128" s="3" t="s">
        <v>112</v>
      </c>
      <c r="AP128" s="3"/>
      <c r="AQ128" s="3"/>
      <c r="AR128" s="3"/>
      <c r="AS128" s="3"/>
      <c r="AT128" s="3" t="s">
        <v>166</v>
      </c>
      <c r="AU128" s="3" t="s">
        <v>364</v>
      </c>
      <c r="AV128" s="3" t="s">
        <v>126</v>
      </c>
      <c r="AW128" s="3" t="s">
        <v>107</v>
      </c>
      <c r="AX128" s="3" t="s">
        <v>126</v>
      </c>
      <c r="AY128" s="3" t="s">
        <v>135</v>
      </c>
      <c r="AZ128" s="3" t="s">
        <v>103</v>
      </c>
      <c r="BA128" s="3" t="s">
        <v>144</v>
      </c>
      <c r="BB128" s="3">
        <f>1/2</f>
        <v>0.5</v>
      </c>
      <c r="BC128" s="3" t="s">
        <v>162</v>
      </c>
      <c r="BD128" s="3" t="s">
        <v>103</v>
      </c>
      <c r="BE128" s="3" t="s">
        <v>154</v>
      </c>
      <c r="BF128" s="3" t="s">
        <v>126</v>
      </c>
      <c r="BG128" s="3" t="s">
        <v>105</v>
      </c>
      <c r="BH128" s="3"/>
      <c r="BI128" s="3"/>
      <c r="BJ128" s="3"/>
      <c r="BK128" s="3"/>
      <c r="BL128" s="3"/>
      <c r="BM128" s="3" t="s">
        <v>126</v>
      </c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 t="s">
        <v>103</v>
      </c>
      <c r="CD128" s="3" t="s">
        <v>106</v>
      </c>
      <c r="CE128" s="3"/>
      <c r="CF128" s="3"/>
      <c r="CG128" s="3"/>
      <c r="CH128" s="3"/>
      <c r="CI128" s="3"/>
      <c r="CJ128" s="3" t="s">
        <v>144</v>
      </c>
      <c r="CK128" s="3" t="s">
        <v>107</v>
      </c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 t="s">
        <v>166</v>
      </c>
      <c r="CY128" s="3" t="s">
        <v>169</v>
      </c>
      <c r="CZ128" s="3"/>
      <c r="DA128" s="3"/>
      <c r="DB128" s="3"/>
    </row>
    <row r="129" ht="15.75" customHeight="1">
      <c r="A129" s="3" t="s">
        <v>112</v>
      </c>
      <c r="B129" s="3" t="s">
        <v>150</v>
      </c>
      <c r="C129" s="3" t="s">
        <v>104</v>
      </c>
      <c r="D129" s="3"/>
      <c r="E129" s="3" t="s">
        <v>103</v>
      </c>
      <c r="F129" s="3"/>
      <c r="G129" s="3"/>
      <c r="H129" s="3" t="s">
        <v>135</v>
      </c>
      <c r="I129" s="3" t="s">
        <v>125</v>
      </c>
      <c r="J129" s="3" t="s">
        <v>154</v>
      </c>
      <c r="K129" s="3"/>
      <c r="L129" s="3" t="s">
        <v>283</v>
      </c>
      <c r="M129" s="3" t="s">
        <v>113</v>
      </c>
      <c r="N129" s="3" t="s">
        <v>139</v>
      </c>
      <c r="O129" s="3" t="s">
        <v>137</v>
      </c>
      <c r="P129" s="3" t="s">
        <v>112</v>
      </c>
      <c r="Q129" s="3" t="s">
        <v>113</v>
      </c>
      <c r="R129" s="3" t="s">
        <v>116</v>
      </c>
      <c r="S129" s="3" t="s">
        <v>483</v>
      </c>
      <c r="T129" s="3" t="s">
        <v>105</v>
      </c>
      <c r="U129" s="3" t="s">
        <v>125</v>
      </c>
      <c r="V129" s="3" t="s">
        <v>135</v>
      </c>
      <c r="W129" s="3"/>
      <c r="X129" s="3"/>
      <c r="Y129" s="3" t="s">
        <v>184</v>
      </c>
      <c r="Z129" s="3"/>
      <c r="AA129" s="3"/>
      <c r="AB129" s="3" t="s">
        <v>299</v>
      </c>
      <c r="AC129" s="3" t="s">
        <v>235</v>
      </c>
      <c r="AD129" s="3" t="s">
        <v>107</v>
      </c>
      <c r="AE129" s="3" t="s">
        <v>129</v>
      </c>
      <c r="AF129" s="3" t="s">
        <v>132</v>
      </c>
      <c r="AG129" s="3" t="s">
        <v>103</v>
      </c>
      <c r="AH129" s="3"/>
      <c r="AI129" s="3" t="s">
        <v>484</v>
      </c>
      <c r="AJ129" s="3" t="s">
        <v>176</v>
      </c>
      <c r="AK129" s="3"/>
      <c r="AL129" s="3" t="s">
        <v>169</v>
      </c>
      <c r="AM129" s="3" t="s">
        <v>144</v>
      </c>
      <c r="AN129" s="3"/>
      <c r="AO129" s="3" t="s">
        <v>107</v>
      </c>
      <c r="AP129" s="3" t="s">
        <v>119</v>
      </c>
      <c r="AQ129" s="3"/>
      <c r="AR129" s="3"/>
      <c r="AS129" s="3"/>
      <c r="AT129" s="3" t="s">
        <v>169</v>
      </c>
      <c r="AU129" s="3" t="s">
        <v>485</v>
      </c>
      <c r="AV129" s="3" t="s">
        <v>132</v>
      </c>
      <c r="AW129" s="3" t="s">
        <v>144</v>
      </c>
      <c r="AX129" s="3" t="s">
        <v>119</v>
      </c>
      <c r="AY129" s="3" t="s">
        <v>135</v>
      </c>
      <c r="AZ129" s="3" t="s">
        <v>126</v>
      </c>
      <c r="BA129" s="3" t="s">
        <v>116</v>
      </c>
      <c r="BB129" s="3" t="s">
        <v>103</v>
      </c>
      <c r="BC129" s="3" t="s">
        <v>136</v>
      </c>
      <c r="BD129" s="3" t="s">
        <v>126</v>
      </c>
      <c r="BE129" s="3" t="s">
        <v>135</v>
      </c>
      <c r="BF129" s="3" t="s">
        <v>129</v>
      </c>
      <c r="BG129" s="3" t="s">
        <v>223</v>
      </c>
      <c r="BH129" s="3" t="s">
        <v>126</v>
      </c>
      <c r="BI129" s="3" t="s">
        <v>136</v>
      </c>
      <c r="BJ129" s="3" t="s">
        <v>126</v>
      </c>
      <c r="BK129" s="3" t="s">
        <v>482</v>
      </c>
      <c r="BL129" s="3" t="s">
        <v>149</v>
      </c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5">
        <f>1 + (1/2)</f>
        <v>1.5</v>
      </c>
      <c r="CD129" s="3" t="s">
        <v>113</v>
      </c>
      <c r="CE129" s="3"/>
      <c r="CF129" s="3"/>
      <c r="CG129" s="3"/>
      <c r="CH129" s="3"/>
      <c r="CI129" s="3" t="s">
        <v>126</v>
      </c>
      <c r="CJ129" s="3" t="s">
        <v>154</v>
      </c>
      <c r="CK129" s="3" t="s">
        <v>106</v>
      </c>
      <c r="CL129" s="3"/>
      <c r="CM129" s="3"/>
      <c r="CN129" s="3"/>
      <c r="CO129" s="3" t="s">
        <v>167</v>
      </c>
      <c r="CP129" s="3"/>
      <c r="CQ129" s="3"/>
      <c r="CR129" s="3"/>
      <c r="CS129" s="3"/>
      <c r="CT129" s="3"/>
      <c r="CU129" s="3"/>
      <c r="CV129" s="3"/>
      <c r="CW129" s="3"/>
      <c r="CX129" s="3" t="s">
        <v>136</v>
      </c>
      <c r="CY129" s="3" t="s">
        <v>222</v>
      </c>
      <c r="CZ129" s="3"/>
      <c r="DA129" s="3"/>
      <c r="DB129" s="3"/>
    </row>
    <row r="130" ht="15.75" customHeight="1">
      <c r="A130" s="3" t="s">
        <v>184</v>
      </c>
      <c r="B130" s="3" t="s">
        <v>150</v>
      </c>
      <c r="C130" s="3" t="s">
        <v>104</v>
      </c>
      <c r="D130" s="3"/>
      <c r="E130" s="3"/>
      <c r="F130" s="3"/>
      <c r="G130" s="3" t="s">
        <v>103</v>
      </c>
      <c r="H130" s="3" t="s">
        <v>130</v>
      </c>
      <c r="I130" s="3"/>
      <c r="J130" s="3" t="s">
        <v>137</v>
      </c>
      <c r="K130" s="3"/>
      <c r="L130" s="3" t="s">
        <v>254</v>
      </c>
      <c r="M130" s="3" t="s">
        <v>135</v>
      </c>
      <c r="N130" s="3" t="s">
        <v>486</v>
      </c>
      <c r="O130" s="3" t="s">
        <v>144</v>
      </c>
      <c r="P130" s="3"/>
      <c r="Q130" s="3" t="s">
        <v>372</v>
      </c>
      <c r="R130" s="3" t="s">
        <v>188</v>
      </c>
      <c r="S130" s="3" t="s">
        <v>399</v>
      </c>
      <c r="T130" s="3" t="s">
        <v>149</v>
      </c>
      <c r="U130" s="3" t="s">
        <v>131</v>
      </c>
      <c r="V130" s="3" t="s">
        <v>149</v>
      </c>
      <c r="W130" s="3"/>
      <c r="X130" s="3"/>
      <c r="Y130" s="3" t="s">
        <v>119</v>
      </c>
      <c r="Z130" s="3"/>
      <c r="AA130" s="3"/>
      <c r="AB130" s="3" t="s">
        <v>150</v>
      </c>
      <c r="AC130" s="3" t="s">
        <v>103</v>
      </c>
      <c r="AD130" s="3" t="s">
        <v>166</v>
      </c>
      <c r="AE130" s="3" t="s">
        <v>112</v>
      </c>
      <c r="AF130" s="3"/>
      <c r="AG130" s="3" t="s">
        <v>103</v>
      </c>
      <c r="AH130" s="3" t="s">
        <v>103</v>
      </c>
      <c r="AI130" s="3"/>
      <c r="AJ130" s="3" t="s">
        <v>229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 t="s">
        <v>126</v>
      </c>
      <c r="AW130" s="3" t="s">
        <v>166</v>
      </c>
      <c r="AX130" s="3"/>
      <c r="AY130" s="3" t="s">
        <v>169</v>
      </c>
      <c r="AZ130" s="3"/>
      <c r="BA130" s="3"/>
      <c r="BB130" s="3"/>
      <c r="BC130" s="3"/>
      <c r="BD130" s="3" t="s">
        <v>126</v>
      </c>
      <c r="BE130" s="3" t="s">
        <v>135</v>
      </c>
      <c r="BF130" s="3" t="s">
        <v>132</v>
      </c>
      <c r="BG130" s="3" t="s">
        <v>203</v>
      </c>
      <c r="BH130" s="3"/>
      <c r="BI130" s="3"/>
      <c r="BJ130" s="4">
        <f>2 + (1/2)</f>
        <v>2.5</v>
      </c>
      <c r="BK130" s="3" t="s">
        <v>136</v>
      </c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 t="s">
        <v>103</v>
      </c>
      <c r="CJ130" s="3" t="s">
        <v>136</v>
      </c>
      <c r="CK130" s="3" t="s">
        <v>135</v>
      </c>
      <c r="CL130" s="3"/>
      <c r="CM130" s="3"/>
      <c r="CN130" s="3"/>
      <c r="CO130" s="3" t="s">
        <v>167</v>
      </c>
      <c r="CP130" s="3"/>
      <c r="CQ130" s="3"/>
      <c r="CR130" s="3"/>
      <c r="CS130" s="3"/>
      <c r="CT130" s="3"/>
      <c r="CU130" s="3"/>
      <c r="CV130" s="3"/>
      <c r="CW130" s="3"/>
      <c r="CX130" s="3" t="s">
        <v>137</v>
      </c>
      <c r="CY130" s="3" t="s">
        <v>136</v>
      </c>
      <c r="CZ130" s="3"/>
      <c r="DA130" s="3"/>
      <c r="DB130" s="3"/>
    </row>
    <row r="131" ht="15.75" customHeight="1">
      <c r="A131" s="3" t="s">
        <v>137</v>
      </c>
      <c r="B131" s="3" t="s">
        <v>150</v>
      </c>
      <c r="C131" s="3" t="s">
        <v>104</v>
      </c>
      <c r="D131" s="3"/>
      <c r="E131" s="3"/>
      <c r="F131" s="3" t="s">
        <v>103</v>
      </c>
      <c r="G131" s="3"/>
      <c r="H131" s="3" t="s">
        <v>111</v>
      </c>
      <c r="I131" s="3"/>
      <c r="J131" s="3"/>
      <c r="K131" s="3"/>
      <c r="L131" s="3" t="s">
        <v>229</v>
      </c>
      <c r="M131" s="3"/>
      <c r="N131" s="3" t="s">
        <v>106</v>
      </c>
      <c r="O131" s="3"/>
      <c r="P131" s="3"/>
      <c r="Q131" s="3"/>
      <c r="R131" s="3"/>
      <c r="S131" s="3" t="s">
        <v>263</v>
      </c>
      <c r="T131" s="3" t="s">
        <v>127</v>
      </c>
      <c r="U131" s="3" t="s">
        <v>132</v>
      </c>
      <c r="V131" s="3" t="s">
        <v>132</v>
      </c>
      <c r="W131" s="3"/>
      <c r="X131" s="3"/>
      <c r="Y131" s="3" t="s">
        <v>103</v>
      </c>
      <c r="Z131" s="3"/>
      <c r="AA131" s="3"/>
      <c r="AB131" s="3" t="s">
        <v>126</v>
      </c>
      <c r="AC131" s="3"/>
      <c r="AD131" s="3" t="s">
        <v>126</v>
      </c>
      <c r="AE131" s="3"/>
      <c r="AF131" s="3"/>
      <c r="AG131" s="3"/>
      <c r="AH131" s="3"/>
      <c r="AI131" s="3"/>
      <c r="AJ131" s="3" t="s">
        <v>113</v>
      </c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 t="s">
        <v>126</v>
      </c>
      <c r="AW131" s="3" t="s">
        <v>111</v>
      </c>
      <c r="AX131" s="3"/>
      <c r="AY131" s="3" t="s">
        <v>154</v>
      </c>
      <c r="AZ131" s="3"/>
      <c r="BA131" s="3"/>
      <c r="BB131" s="3"/>
      <c r="BC131" s="3"/>
      <c r="BD131" s="3" t="s">
        <v>103</v>
      </c>
      <c r="BE131" s="3" t="s">
        <v>154</v>
      </c>
      <c r="BF131" s="3"/>
      <c r="BG131" s="3"/>
      <c r="BH131" s="3"/>
      <c r="BI131" s="3"/>
      <c r="BJ131" s="3" t="s">
        <v>103</v>
      </c>
      <c r="BK131" s="3" t="s">
        <v>150</v>
      </c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>
        <f t="shared" ref="CC131:CC132" si="18">1/2</f>
        <v>0.5</v>
      </c>
      <c r="CD131" s="3" t="s">
        <v>154</v>
      </c>
      <c r="CE131" s="3"/>
      <c r="CF131" s="3"/>
      <c r="CG131" s="3"/>
      <c r="CH131" s="3"/>
      <c r="CI131" s="3">
        <f t="shared" ref="CI131:CI134" si="19">1/2</f>
        <v>0.5</v>
      </c>
      <c r="CJ131" s="3" t="s">
        <v>166</v>
      </c>
      <c r="CK131" s="3" t="s">
        <v>154</v>
      </c>
      <c r="CL131" s="3"/>
      <c r="CM131" s="3"/>
      <c r="CN131" s="3"/>
      <c r="CO131" s="3" t="s">
        <v>144</v>
      </c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</row>
    <row r="132" ht="15.75" customHeight="1">
      <c r="A132" s="3" t="s">
        <v>103</v>
      </c>
      <c r="B132" s="3" t="s">
        <v>122</v>
      </c>
      <c r="C132" s="3" t="s">
        <v>104</v>
      </c>
      <c r="D132" s="3"/>
      <c r="E132" s="3" t="s">
        <v>103</v>
      </c>
      <c r="F132" s="3"/>
      <c r="G132" s="3"/>
      <c r="H132" s="3" t="s">
        <v>136</v>
      </c>
      <c r="I132" s="3" t="s">
        <v>122</v>
      </c>
      <c r="J132" s="3" t="s">
        <v>137</v>
      </c>
      <c r="K132" s="3"/>
      <c r="L132" s="3" t="s">
        <v>244</v>
      </c>
      <c r="M132" s="3" t="s">
        <v>131</v>
      </c>
      <c r="N132" s="3" t="s">
        <v>109</v>
      </c>
      <c r="O132" s="3"/>
      <c r="P132" s="3"/>
      <c r="Q132" s="3" t="s">
        <v>154</v>
      </c>
      <c r="R132" s="3" t="s">
        <v>132</v>
      </c>
      <c r="S132" s="3" t="s">
        <v>464</v>
      </c>
      <c r="T132" s="3" t="s">
        <v>136</v>
      </c>
      <c r="U132" s="3" t="s">
        <v>122</v>
      </c>
      <c r="V132" s="3" t="s">
        <v>144</v>
      </c>
      <c r="W132" s="3"/>
      <c r="X132" s="3"/>
      <c r="Y132" s="3" t="s">
        <v>103</v>
      </c>
      <c r="Z132" s="3"/>
      <c r="AA132" s="3"/>
      <c r="AB132" s="3" t="s">
        <v>119</v>
      </c>
      <c r="AC132" s="3" t="s">
        <v>126</v>
      </c>
      <c r="AD132" s="3" t="s">
        <v>119</v>
      </c>
      <c r="AE132" s="3"/>
      <c r="AF132" s="3" t="s">
        <v>103</v>
      </c>
      <c r="AG132" s="3"/>
      <c r="AH132" s="3"/>
      <c r="AI132" s="3"/>
      <c r="AJ132" s="3" t="s">
        <v>256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 t="s">
        <v>126</v>
      </c>
      <c r="AW132" s="3" t="s">
        <v>184</v>
      </c>
      <c r="AX132" s="3"/>
      <c r="AY132" s="3" t="s">
        <v>177</v>
      </c>
      <c r="AZ132" s="3"/>
      <c r="BA132" s="3"/>
      <c r="BB132" s="3"/>
      <c r="BC132" s="3"/>
      <c r="BD132" s="3">
        <f>3/4</f>
        <v>0.75</v>
      </c>
      <c r="BE132" s="3" t="s">
        <v>144</v>
      </c>
      <c r="BF132" s="3" t="s">
        <v>129</v>
      </c>
      <c r="BG132" s="3" t="s">
        <v>118</v>
      </c>
      <c r="BH132" s="3"/>
      <c r="BI132" s="3"/>
      <c r="BJ132" s="3">
        <f>1/2</f>
        <v>0.5</v>
      </c>
      <c r="BK132" s="3" t="s">
        <v>127</v>
      </c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>
        <f t="shared" si="18"/>
        <v>0.5</v>
      </c>
      <c r="CD132" s="3" t="s">
        <v>131</v>
      </c>
      <c r="CE132" s="3"/>
      <c r="CF132" s="3"/>
      <c r="CG132" s="3"/>
      <c r="CH132" s="3"/>
      <c r="CI132" s="3">
        <f t="shared" si="19"/>
        <v>0.5</v>
      </c>
      <c r="CJ132" s="3" t="s">
        <v>137</v>
      </c>
      <c r="CK132" s="3" t="s">
        <v>154</v>
      </c>
      <c r="CL132" s="3"/>
      <c r="CM132" s="3"/>
      <c r="CN132" s="3"/>
      <c r="CO132" s="3" t="s">
        <v>144</v>
      </c>
      <c r="CP132" s="3"/>
      <c r="CQ132" s="3"/>
      <c r="CR132" s="3"/>
      <c r="CS132" s="3"/>
      <c r="CT132" s="3"/>
      <c r="CU132" s="3"/>
      <c r="CV132" s="3"/>
      <c r="CW132" s="3"/>
      <c r="CX132" s="3" t="s">
        <v>137</v>
      </c>
      <c r="CY132" s="3" t="s">
        <v>136</v>
      </c>
      <c r="CZ132" s="3"/>
      <c r="DA132" s="3"/>
      <c r="DB132" s="3"/>
    </row>
    <row r="133" ht="15.75" customHeight="1">
      <c r="A133" s="3" t="s">
        <v>126</v>
      </c>
      <c r="B133" s="3" t="s">
        <v>122</v>
      </c>
      <c r="C133" s="3" t="s">
        <v>104</v>
      </c>
      <c r="D133" s="3"/>
      <c r="E133" s="3" t="s">
        <v>103</v>
      </c>
      <c r="F133" s="3"/>
      <c r="G133" s="3"/>
      <c r="H133" s="3" t="s">
        <v>125</v>
      </c>
      <c r="I133" s="3"/>
      <c r="J133" s="3" t="s">
        <v>107</v>
      </c>
      <c r="K133" s="3"/>
      <c r="L133" s="3" t="s">
        <v>158</v>
      </c>
      <c r="M133" s="3" t="s">
        <v>109</v>
      </c>
      <c r="N133" s="3" t="s">
        <v>487</v>
      </c>
      <c r="O133" s="3" t="s">
        <v>144</v>
      </c>
      <c r="P133" s="3" t="s">
        <v>112</v>
      </c>
      <c r="Q133" s="3" t="s">
        <v>113</v>
      </c>
      <c r="R133" s="3" t="s">
        <v>174</v>
      </c>
      <c r="S133" s="3" t="s">
        <v>488</v>
      </c>
      <c r="T133" s="3" t="s">
        <v>131</v>
      </c>
      <c r="U133" s="3" t="s">
        <v>211</v>
      </c>
      <c r="V133" s="3" t="s">
        <v>131</v>
      </c>
      <c r="W133" s="3"/>
      <c r="X133" s="3"/>
      <c r="Y133" s="3" t="s">
        <v>129</v>
      </c>
      <c r="Z133" s="3"/>
      <c r="AA133" s="3"/>
      <c r="AB133" s="3" t="s">
        <v>156</v>
      </c>
      <c r="AC133" s="3"/>
      <c r="AD133" s="3" t="s">
        <v>107</v>
      </c>
      <c r="AE133" s="3"/>
      <c r="AF133" s="3" t="s">
        <v>129</v>
      </c>
      <c r="AG133" s="3" t="s">
        <v>103</v>
      </c>
      <c r="AH133" s="3"/>
      <c r="AI133" s="3"/>
      <c r="AJ133" s="3" t="s">
        <v>229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 t="s">
        <v>129</v>
      </c>
      <c r="AW133" s="3" t="s">
        <v>137</v>
      </c>
      <c r="AX133" s="3"/>
      <c r="AY133" s="3" t="s">
        <v>154</v>
      </c>
      <c r="AZ133" s="3" t="s">
        <v>126</v>
      </c>
      <c r="BA133" s="3" t="s">
        <v>335</v>
      </c>
      <c r="BB133" s="3"/>
      <c r="BC133" s="3"/>
      <c r="BD133" s="3" t="s">
        <v>126</v>
      </c>
      <c r="BE133" s="3" t="s">
        <v>131</v>
      </c>
      <c r="BF133" s="6">
        <f>5 + (1/2)</f>
        <v>5.5</v>
      </c>
      <c r="BG133" s="3" t="s">
        <v>386</v>
      </c>
      <c r="BH133" s="3"/>
      <c r="BI133" s="3"/>
      <c r="BJ133" s="6">
        <f>1 + (3/4)</f>
        <v>1.75</v>
      </c>
      <c r="BK133" s="3" t="s">
        <v>156</v>
      </c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 t="s">
        <v>103</v>
      </c>
      <c r="CD133" s="3" t="s">
        <v>270</v>
      </c>
      <c r="CE133" s="3"/>
      <c r="CF133" s="3"/>
      <c r="CG133" s="3"/>
      <c r="CH133" s="3"/>
      <c r="CI133" s="3">
        <f t="shared" si="19"/>
        <v>0.5</v>
      </c>
      <c r="CJ133" s="3" t="s">
        <v>136</v>
      </c>
      <c r="CK133" s="3" t="s">
        <v>128</v>
      </c>
      <c r="CL133" s="3"/>
      <c r="CM133" s="3"/>
      <c r="CN133" s="3"/>
      <c r="CO133" s="3" t="s">
        <v>166</v>
      </c>
      <c r="CP133" s="3"/>
      <c r="CQ133" s="3"/>
      <c r="CR133" s="3"/>
      <c r="CS133" s="3"/>
      <c r="CT133" s="3"/>
      <c r="CU133" s="3"/>
      <c r="CV133" s="3"/>
      <c r="CW133" s="3"/>
      <c r="CX133" s="3" t="s">
        <v>137</v>
      </c>
      <c r="CY133" s="3" t="s">
        <v>136</v>
      </c>
      <c r="CZ133" s="3"/>
      <c r="DA133" s="3"/>
      <c r="DB133" s="3"/>
    </row>
    <row r="134" ht="15.75" customHeight="1">
      <c r="A134" s="3" t="s">
        <v>119</v>
      </c>
      <c r="B134" s="3" t="s">
        <v>122</v>
      </c>
      <c r="C134" s="3" t="s">
        <v>104</v>
      </c>
      <c r="D134" s="3"/>
      <c r="E134" s="3" t="s">
        <v>103</v>
      </c>
      <c r="F134" s="3"/>
      <c r="G134" s="3"/>
      <c r="H134" s="3" t="s">
        <v>114</v>
      </c>
      <c r="I134" s="3"/>
      <c r="J134" s="3" t="s">
        <v>129</v>
      </c>
      <c r="K134" s="3"/>
      <c r="L134" s="3" t="s">
        <v>238</v>
      </c>
      <c r="M134" s="3" t="s">
        <v>135</v>
      </c>
      <c r="N134" s="3" t="s">
        <v>109</v>
      </c>
      <c r="O134" s="3" t="s">
        <v>137</v>
      </c>
      <c r="P134" s="3"/>
      <c r="Q134" s="3" t="s">
        <v>199</v>
      </c>
      <c r="R134" s="3" t="s">
        <v>119</v>
      </c>
      <c r="S134" s="3" t="s">
        <v>440</v>
      </c>
      <c r="T134" s="3" t="s">
        <v>107</v>
      </c>
      <c r="U134" s="3" t="s">
        <v>200</v>
      </c>
      <c r="V134" s="3" t="s">
        <v>107</v>
      </c>
      <c r="W134" s="3"/>
      <c r="X134" s="3"/>
      <c r="Y134" s="3" t="s">
        <v>103</v>
      </c>
      <c r="Z134" s="3"/>
      <c r="AA134" s="3"/>
      <c r="AB134" s="3" t="s">
        <v>129</v>
      </c>
      <c r="AC134" s="3"/>
      <c r="AD134" s="3" t="s">
        <v>119</v>
      </c>
      <c r="AE134" s="3"/>
      <c r="AF134" s="3"/>
      <c r="AG134" s="3"/>
      <c r="AH134" s="3"/>
      <c r="AI134" s="3"/>
      <c r="AJ134" s="3" t="s">
        <v>176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 t="s">
        <v>126</v>
      </c>
      <c r="AW134" s="3" t="s">
        <v>112</v>
      </c>
      <c r="AX134" s="3"/>
      <c r="AY134" s="3" t="s">
        <v>154</v>
      </c>
      <c r="AZ134" s="3">
        <f>1/2</f>
        <v>0.5</v>
      </c>
      <c r="BA134" s="3" t="s">
        <v>111</v>
      </c>
      <c r="BB134" s="3"/>
      <c r="BC134" s="3"/>
      <c r="BD134" s="3" t="s">
        <v>103</v>
      </c>
      <c r="BE134" s="3" t="s">
        <v>136</v>
      </c>
      <c r="BF134" s="3" t="s">
        <v>103</v>
      </c>
      <c r="BG134" s="3" t="s">
        <v>144</v>
      </c>
      <c r="BH134" s="3"/>
      <c r="BI134" s="3"/>
      <c r="BJ134" s="3" t="s">
        <v>103</v>
      </c>
      <c r="BK134" s="3" t="s">
        <v>150</v>
      </c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 t="s">
        <v>103</v>
      </c>
      <c r="BW134" s="3" t="s">
        <v>135</v>
      </c>
      <c r="BX134" s="3" t="s">
        <v>103</v>
      </c>
      <c r="BY134" s="3"/>
      <c r="BZ134" s="3"/>
      <c r="CA134" s="3"/>
      <c r="CB134" s="3"/>
      <c r="CC134" s="3">
        <f>1/2</f>
        <v>0.5</v>
      </c>
      <c r="CD134" s="3" t="s">
        <v>136</v>
      </c>
      <c r="CE134" s="3"/>
      <c r="CF134" s="3"/>
      <c r="CG134" s="3"/>
      <c r="CH134" s="3"/>
      <c r="CI134" s="3">
        <f t="shared" si="19"/>
        <v>0.5</v>
      </c>
      <c r="CJ134" s="3" t="s">
        <v>144</v>
      </c>
      <c r="CK134" s="3" t="s">
        <v>106</v>
      </c>
      <c r="CL134" s="3"/>
      <c r="CM134" s="3"/>
      <c r="CN134" s="3"/>
      <c r="CO134" s="3" t="s">
        <v>167</v>
      </c>
      <c r="CP134" s="3"/>
      <c r="CQ134" s="3"/>
      <c r="CR134" s="3"/>
      <c r="CS134" s="3"/>
      <c r="CT134" s="3"/>
      <c r="CU134" s="3"/>
      <c r="CV134" s="3"/>
      <c r="CW134" s="3"/>
      <c r="CX134" s="3" t="s">
        <v>137</v>
      </c>
      <c r="CY134" s="3" t="s">
        <v>136</v>
      </c>
      <c r="CZ134" s="3"/>
      <c r="DA134" s="3"/>
      <c r="DB134" s="3"/>
    </row>
    <row r="135" ht="15.75" customHeight="1">
      <c r="A135" s="3" t="s">
        <v>129</v>
      </c>
      <c r="B135" s="3" t="s">
        <v>122</v>
      </c>
      <c r="C135" s="3" t="s">
        <v>104</v>
      </c>
      <c r="D135" s="3"/>
      <c r="E135" s="3" t="s">
        <v>103</v>
      </c>
      <c r="F135" s="3"/>
      <c r="G135" s="3"/>
      <c r="H135" s="3" t="s">
        <v>376</v>
      </c>
      <c r="I135" s="3" t="s">
        <v>111</v>
      </c>
      <c r="J135" s="3" t="s">
        <v>144</v>
      </c>
      <c r="K135" s="3"/>
      <c r="L135" s="3" t="s">
        <v>158</v>
      </c>
      <c r="M135" s="3" t="s">
        <v>109</v>
      </c>
      <c r="N135" s="3" t="s">
        <v>489</v>
      </c>
      <c r="O135" s="3" t="s">
        <v>144</v>
      </c>
      <c r="P135" s="3" t="s">
        <v>235</v>
      </c>
      <c r="Q135" s="3" t="s">
        <v>307</v>
      </c>
      <c r="R135" s="3" t="s">
        <v>188</v>
      </c>
      <c r="S135" s="3" t="s">
        <v>490</v>
      </c>
      <c r="T135" s="3" t="s">
        <v>131</v>
      </c>
      <c r="U135" s="3" t="s">
        <v>225</v>
      </c>
      <c r="V135" s="3" t="s">
        <v>128</v>
      </c>
      <c r="W135" s="3"/>
      <c r="X135" s="3"/>
      <c r="Y135" s="3" t="s">
        <v>132</v>
      </c>
      <c r="Z135" s="3"/>
      <c r="AA135" s="3"/>
      <c r="AB135" s="3" t="s">
        <v>122</v>
      </c>
      <c r="AC135" s="3" t="s">
        <v>237</v>
      </c>
      <c r="AD135" s="3" t="s">
        <v>107</v>
      </c>
      <c r="AE135" s="3" t="s">
        <v>137</v>
      </c>
      <c r="AF135" s="3" t="s">
        <v>166</v>
      </c>
      <c r="AG135" s="3" t="s">
        <v>103</v>
      </c>
      <c r="AH135" s="3"/>
      <c r="AI135" s="3" t="s">
        <v>491</v>
      </c>
      <c r="AJ135" s="3" t="s">
        <v>286</v>
      </c>
      <c r="AK135" s="3"/>
      <c r="AL135" s="3" t="s">
        <v>116</v>
      </c>
      <c r="AM135" s="3"/>
      <c r="AN135" s="3" t="s">
        <v>492</v>
      </c>
      <c r="AO135" s="3" t="s">
        <v>127</v>
      </c>
      <c r="AP135" s="3" t="s">
        <v>162</v>
      </c>
      <c r="AQ135" s="3"/>
      <c r="AR135" s="3"/>
      <c r="AS135" s="3"/>
      <c r="AT135" s="3" t="s">
        <v>116</v>
      </c>
      <c r="AU135" s="3" t="s">
        <v>480</v>
      </c>
      <c r="AV135" s="3" t="s">
        <v>112</v>
      </c>
      <c r="AW135" s="3" t="s">
        <v>144</v>
      </c>
      <c r="AX135" s="3"/>
      <c r="AY135" s="3" t="s">
        <v>135</v>
      </c>
      <c r="AZ135" s="3" t="s">
        <v>103</v>
      </c>
      <c r="BA135" s="3" t="s">
        <v>120</v>
      </c>
      <c r="BB135" s="3" t="s">
        <v>126</v>
      </c>
      <c r="BC135" s="3" t="s">
        <v>212</v>
      </c>
      <c r="BD135" s="3" t="s">
        <v>119</v>
      </c>
      <c r="BE135" s="3" t="s">
        <v>135</v>
      </c>
      <c r="BF135" s="3" t="s">
        <v>137</v>
      </c>
      <c r="BG135" s="3" t="s">
        <v>493</v>
      </c>
      <c r="BH135" s="3"/>
      <c r="BI135" s="3"/>
      <c r="BJ135" s="3" t="s">
        <v>119</v>
      </c>
      <c r="BK135" s="3" t="s">
        <v>237</v>
      </c>
      <c r="BL135" s="3"/>
      <c r="BM135" s="3" t="s">
        <v>137</v>
      </c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>
        <f>3/4</f>
        <v>0.75</v>
      </c>
      <c r="CD135" s="3" t="s">
        <v>494</v>
      </c>
      <c r="CE135" s="3"/>
      <c r="CF135" s="3"/>
      <c r="CG135" s="3"/>
      <c r="CH135" s="3"/>
      <c r="CI135" s="3" t="s">
        <v>103</v>
      </c>
      <c r="CJ135" s="3" t="s">
        <v>144</v>
      </c>
      <c r="CK135" s="3" t="s">
        <v>109</v>
      </c>
      <c r="CL135" s="3"/>
      <c r="CM135" s="3"/>
      <c r="CN135" s="3"/>
      <c r="CO135" s="3" t="s">
        <v>218</v>
      </c>
      <c r="CP135" s="3"/>
      <c r="CQ135" s="3"/>
      <c r="CR135" s="3"/>
      <c r="CS135" s="3"/>
      <c r="CT135" s="3"/>
      <c r="CU135" s="3"/>
      <c r="CV135" s="3"/>
      <c r="CW135" s="3"/>
      <c r="CX135" s="3" t="s">
        <v>144</v>
      </c>
      <c r="CY135" s="3" t="s">
        <v>391</v>
      </c>
      <c r="CZ135" s="3"/>
      <c r="DA135" s="3"/>
      <c r="DB135" s="3"/>
    </row>
    <row r="136" ht="15.75" customHeight="1">
      <c r="A136" s="3" t="s">
        <v>132</v>
      </c>
      <c r="B136" s="3" t="s">
        <v>122</v>
      </c>
      <c r="C136" s="3" t="s">
        <v>104</v>
      </c>
      <c r="D136" s="3"/>
      <c r="E136" s="3" t="s">
        <v>103</v>
      </c>
      <c r="F136" s="3"/>
      <c r="G136" s="3"/>
      <c r="H136" s="3" t="s">
        <v>225</v>
      </c>
      <c r="I136" s="3" t="s">
        <v>107</v>
      </c>
      <c r="J136" s="3" t="s">
        <v>107</v>
      </c>
      <c r="K136" s="3"/>
      <c r="L136" s="3" t="s">
        <v>254</v>
      </c>
      <c r="M136" s="3" t="s">
        <v>224</v>
      </c>
      <c r="N136" s="3" t="s">
        <v>495</v>
      </c>
      <c r="O136" s="3"/>
      <c r="P136" s="3"/>
      <c r="Q136" s="3" t="s">
        <v>113</v>
      </c>
      <c r="R136" s="3" t="s">
        <v>456</v>
      </c>
      <c r="S136" s="3" t="s">
        <v>496</v>
      </c>
      <c r="T136" s="3" t="s">
        <v>131</v>
      </c>
      <c r="U136" s="3" t="s">
        <v>218</v>
      </c>
      <c r="V136" s="3" t="s">
        <v>128</v>
      </c>
      <c r="W136" s="3"/>
      <c r="X136" s="3"/>
      <c r="Y136" s="3" t="s">
        <v>119</v>
      </c>
      <c r="Z136" s="3"/>
      <c r="AA136" s="3"/>
      <c r="AB136" s="3" t="s">
        <v>150</v>
      </c>
      <c r="AC136" s="3" t="s">
        <v>103</v>
      </c>
      <c r="AD136" s="3" t="s">
        <v>137</v>
      </c>
      <c r="AE136" s="3"/>
      <c r="AF136" s="3" t="s">
        <v>126</v>
      </c>
      <c r="AG136" s="3" t="s">
        <v>126</v>
      </c>
      <c r="AH136" s="3"/>
      <c r="AI136" s="3" t="s">
        <v>497</v>
      </c>
      <c r="AJ136" s="3" t="s">
        <v>147</v>
      </c>
      <c r="AK136" s="3"/>
      <c r="AL136" s="3" t="s">
        <v>211</v>
      </c>
      <c r="AM136" s="3" t="s">
        <v>482</v>
      </c>
      <c r="AN136" s="3" t="s">
        <v>236</v>
      </c>
      <c r="AO136" s="3" t="s">
        <v>132</v>
      </c>
      <c r="AP136" s="3"/>
      <c r="AQ136" s="3"/>
      <c r="AR136" s="3"/>
      <c r="AS136" s="3"/>
      <c r="AT136" s="3" t="s">
        <v>211</v>
      </c>
      <c r="AU136" s="3" t="s">
        <v>498</v>
      </c>
      <c r="AV136" s="3" t="s">
        <v>129</v>
      </c>
      <c r="AW136" s="3" t="s">
        <v>107</v>
      </c>
      <c r="AX136" s="3" t="s">
        <v>119</v>
      </c>
      <c r="AY136" s="3" t="s">
        <v>131</v>
      </c>
      <c r="AZ136" s="3"/>
      <c r="BA136" s="3"/>
      <c r="BB136" s="3"/>
      <c r="BC136" s="3"/>
      <c r="BD136" s="3" t="s">
        <v>129</v>
      </c>
      <c r="BE136" s="3" t="s">
        <v>333</v>
      </c>
      <c r="BF136" s="3" t="s">
        <v>132</v>
      </c>
      <c r="BG136" s="3" t="s">
        <v>203</v>
      </c>
      <c r="BH136" s="3"/>
      <c r="BI136" s="3"/>
      <c r="BJ136" s="5">
        <f>1 + (1/2)</f>
        <v>1.5</v>
      </c>
      <c r="BK136" s="3" t="s">
        <v>136</v>
      </c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>
        <f>1/2</f>
        <v>0.5</v>
      </c>
      <c r="CD136" s="3" t="s">
        <v>106</v>
      </c>
      <c r="CE136" s="3"/>
      <c r="CF136" s="3"/>
      <c r="CG136" s="3"/>
      <c r="CH136" s="3"/>
      <c r="CI136" s="3" t="s">
        <v>162</v>
      </c>
      <c r="CJ136" s="3" t="s">
        <v>113</v>
      </c>
      <c r="CK136" s="3" t="s">
        <v>191</v>
      </c>
      <c r="CL136" s="3"/>
      <c r="CM136" s="3"/>
      <c r="CN136" s="3"/>
      <c r="CO136" s="3" t="s">
        <v>499</v>
      </c>
      <c r="CP136" s="3"/>
      <c r="CQ136" s="3"/>
      <c r="CR136" s="3"/>
      <c r="CS136" s="3"/>
      <c r="CT136" s="3"/>
      <c r="CU136" s="3"/>
      <c r="CV136" s="3"/>
      <c r="CW136" s="3"/>
      <c r="CX136" s="3" t="s">
        <v>137</v>
      </c>
      <c r="CY136" s="3" t="s">
        <v>144</v>
      </c>
      <c r="CZ136" s="3"/>
      <c r="DA136" s="3"/>
      <c r="DB136" s="3"/>
    </row>
    <row r="137" ht="15.75" customHeight="1">
      <c r="A137" s="3" t="s">
        <v>162</v>
      </c>
      <c r="B137" s="3" t="s">
        <v>122</v>
      </c>
      <c r="C137" s="3" t="s">
        <v>104</v>
      </c>
      <c r="D137" s="3"/>
      <c r="E137" s="3" t="s">
        <v>103</v>
      </c>
      <c r="F137" s="3"/>
      <c r="G137" s="3"/>
      <c r="H137" s="3" t="s">
        <v>198</v>
      </c>
      <c r="I137" s="3"/>
      <c r="J137" s="3" t="s">
        <v>136</v>
      </c>
      <c r="K137" s="3"/>
      <c r="L137" s="3" t="s">
        <v>500</v>
      </c>
      <c r="M137" s="3" t="s">
        <v>106</v>
      </c>
      <c r="N137" s="3" t="s">
        <v>501</v>
      </c>
      <c r="O137" s="3" t="s">
        <v>137</v>
      </c>
      <c r="P137" s="3"/>
      <c r="Q137" s="3" t="s">
        <v>502</v>
      </c>
      <c r="R137" s="3" t="s">
        <v>482</v>
      </c>
      <c r="S137" s="3" t="s">
        <v>503</v>
      </c>
      <c r="T137" s="3" t="s">
        <v>154</v>
      </c>
      <c r="U137" s="3" t="s">
        <v>222</v>
      </c>
      <c r="V137" s="3" t="s">
        <v>154</v>
      </c>
      <c r="W137" s="3"/>
      <c r="X137" s="3"/>
      <c r="Y137" s="3" t="s">
        <v>129</v>
      </c>
      <c r="Z137" s="3"/>
      <c r="AA137" s="3"/>
      <c r="AB137" s="3" t="s">
        <v>137</v>
      </c>
      <c r="AC137" s="3" t="s">
        <v>126</v>
      </c>
      <c r="AD137" s="3" t="s">
        <v>137</v>
      </c>
      <c r="AE137" s="3"/>
      <c r="AF137" s="3" t="s">
        <v>103</v>
      </c>
      <c r="AG137" s="3" t="s">
        <v>126</v>
      </c>
      <c r="AH137" s="3"/>
      <c r="AI137" s="3"/>
      <c r="AJ137" s="3" t="s">
        <v>161</v>
      </c>
      <c r="AK137" s="3"/>
      <c r="AL137" s="3" t="s">
        <v>116</v>
      </c>
      <c r="AM137" s="3" t="s">
        <v>136</v>
      </c>
      <c r="AN137" s="3"/>
      <c r="AO137" s="3" t="s">
        <v>144</v>
      </c>
      <c r="AP137" s="3" t="s">
        <v>126</v>
      </c>
      <c r="AQ137" s="3" t="s">
        <v>103</v>
      </c>
      <c r="AR137" s="3" t="s">
        <v>119</v>
      </c>
      <c r="AS137" s="3"/>
      <c r="AT137" s="3" t="s">
        <v>116</v>
      </c>
      <c r="AU137" s="3" t="s">
        <v>230</v>
      </c>
      <c r="AV137" s="3" t="s">
        <v>129</v>
      </c>
      <c r="AW137" s="3" t="s">
        <v>166</v>
      </c>
      <c r="AX137" s="3" t="s">
        <v>129</v>
      </c>
      <c r="AY137" s="3" t="s">
        <v>116</v>
      </c>
      <c r="AZ137" s="3"/>
      <c r="BA137" s="3"/>
      <c r="BB137" s="3"/>
      <c r="BC137" s="3"/>
      <c r="BD137" s="3" t="s">
        <v>126</v>
      </c>
      <c r="BE137" s="3" t="s">
        <v>105</v>
      </c>
      <c r="BF137" s="3" t="s">
        <v>122</v>
      </c>
      <c r="BG137" s="3" t="s">
        <v>191</v>
      </c>
      <c r="BH137" s="3"/>
      <c r="BI137" s="3"/>
      <c r="BJ137" s="3" t="s">
        <v>103</v>
      </c>
      <c r="BK137" s="3" t="s">
        <v>144</v>
      </c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 t="s">
        <v>126</v>
      </c>
      <c r="CJ137" s="3" t="s">
        <v>107</v>
      </c>
      <c r="CK137" s="3" t="s">
        <v>135</v>
      </c>
      <c r="CL137" s="3"/>
      <c r="CM137" s="3"/>
      <c r="CN137" s="3"/>
      <c r="CO137" s="3" t="s">
        <v>121</v>
      </c>
      <c r="CP137" s="3"/>
      <c r="CQ137" s="3"/>
      <c r="CR137" s="3"/>
      <c r="CS137" s="3"/>
      <c r="CT137" s="3"/>
      <c r="CU137" s="3"/>
      <c r="CV137" s="3"/>
      <c r="CW137" s="3"/>
      <c r="CX137" s="3" t="s">
        <v>107</v>
      </c>
      <c r="CY137" s="3" t="s">
        <v>136</v>
      </c>
      <c r="CZ137" s="3"/>
      <c r="DA137" s="3"/>
      <c r="DB137" s="3"/>
    </row>
    <row r="138" ht="15.75" customHeight="1">
      <c r="A138" s="3" t="s">
        <v>127</v>
      </c>
      <c r="B138" s="3" t="s">
        <v>122</v>
      </c>
      <c r="C138" s="3" t="s">
        <v>104</v>
      </c>
      <c r="D138" s="3"/>
      <c r="E138" s="3" t="s">
        <v>103</v>
      </c>
      <c r="F138" s="3"/>
      <c r="G138" s="3"/>
      <c r="H138" s="3" t="s">
        <v>131</v>
      </c>
      <c r="I138" s="3"/>
      <c r="J138" s="3" t="s">
        <v>137</v>
      </c>
      <c r="K138" s="3"/>
      <c r="L138" s="3" t="s">
        <v>124</v>
      </c>
      <c r="M138" s="3" t="s">
        <v>135</v>
      </c>
      <c r="N138" s="3" t="s">
        <v>421</v>
      </c>
      <c r="O138" s="3" t="s">
        <v>119</v>
      </c>
      <c r="P138" s="3" t="s">
        <v>112</v>
      </c>
      <c r="Q138" s="3" t="s">
        <v>446</v>
      </c>
      <c r="R138" s="3" t="s">
        <v>178</v>
      </c>
      <c r="S138" s="3" t="s">
        <v>504</v>
      </c>
      <c r="T138" s="3" t="s">
        <v>136</v>
      </c>
      <c r="U138" s="3" t="s">
        <v>169</v>
      </c>
      <c r="V138" s="3" t="s">
        <v>120</v>
      </c>
      <c r="W138" s="3"/>
      <c r="X138" s="3"/>
      <c r="Y138" s="3" t="s">
        <v>103</v>
      </c>
      <c r="Z138" s="3"/>
      <c r="AA138" s="3"/>
      <c r="AB138" s="3" t="s">
        <v>126</v>
      </c>
      <c r="AC138" s="3"/>
      <c r="AD138" s="3" t="s">
        <v>126</v>
      </c>
      <c r="AE138" s="3"/>
      <c r="AF138" s="3" t="s">
        <v>103</v>
      </c>
      <c r="AG138" s="3"/>
      <c r="AH138" s="3"/>
      <c r="AI138" s="3"/>
      <c r="AJ138" s="3" t="s">
        <v>203</v>
      </c>
      <c r="AK138" s="3"/>
      <c r="AL138" s="3" t="s">
        <v>505</v>
      </c>
      <c r="AM138" s="3" t="s">
        <v>157</v>
      </c>
      <c r="AN138" s="3"/>
      <c r="AO138" s="3" t="s">
        <v>127</v>
      </c>
      <c r="AP138" s="3"/>
      <c r="AQ138" s="3"/>
      <c r="AR138" s="3" t="s">
        <v>129</v>
      </c>
      <c r="AS138" s="3"/>
      <c r="AT138" s="3" t="s">
        <v>505</v>
      </c>
      <c r="AU138" s="3" t="s">
        <v>506</v>
      </c>
      <c r="AV138" s="3" t="s">
        <v>126</v>
      </c>
      <c r="AW138" s="3" t="s">
        <v>129</v>
      </c>
      <c r="AX138" s="3"/>
      <c r="AY138" s="3" t="s">
        <v>107</v>
      </c>
      <c r="AZ138" s="3"/>
      <c r="BA138" s="3"/>
      <c r="BB138" s="3"/>
      <c r="BC138" s="3"/>
      <c r="BD138" s="3" t="s">
        <v>103</v>
      </c>
      <c r="BE138" s="3" t="s">
        <v>149</v>
      </c>
      <c r="BF138" s="3" t="s">
        <v>129</v>
      </c>
      <c r="BG138" s="3" t="s">
        <v>223</v>
      </c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 t="s">
        <v>103</v>
      </c>
      <c r="CD138" s="3" t="s">
        <v>109</v>
      </c>
      <c r="CE138" s="3"/>
      <c r="CF138" s="3"/>
      <c r="CG138" s="3"/>
      <c r="CH138" s="3"/>
      <c r="CI138" s="3">
        <f>1/2</f>
        <v>0.5</v>
      </c>
      <c r="CJ138" s="3" t="s">
        <v>136</v>
      </c>
      <c r="CK138" s="3" t="s">
        <v>116</v>
      </c>
      <c r="CL138" s="3"/>
      <c r="CM138" s="3"/>
      <c r="CN138" s="3"/>
      <c r="CO138" s="3" t="s">
        <v>136</v>
      </c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</row>
    <row r="139" ht="15.75" customHeight="1">
      <c r="A139" s="3" t="s">
        <v>112</v>
      </c>
      <c r="B139" s="3" t="s">
        <v>122</v>
      </c>
      <c r="C139" s="3" t="s">
        <v>104</v>
      </c>
      <c r="D139" s="3"/>
      <c r="E139" s="3" t="s">
        <v>103</v>
      </c>
      <c r="F139" s="3"/>
      <c r="G139" s="3"/>
      <c r="H139" s="3" t="s">
        <v>200</v>
      </c>
      <c r="I139" s="3"/>
      <c r="J139" s="3"/>
      <c r="K139" s="3"/>
      <c r="L139" s="3" t="s">
        <v>229</v>
      </c>
      <c r="M139" s="3" t="s">
        <v>144</v>
      </c>
      <c r="N139" s="3" t="s">
        <v>198</v>
      </c>
      <c r="O139" s="3" t="s">
        <v>119</v>
      </c>
      <c r="P139" s="3"/>
      <c r="Q139" s="3"/>
      <c r="R139" s="3"/>
      <c r="S139" s="3" t="s">
        <v>338</v>
      </c>
      <c r="T139" s="3" t="s">
        <v>137</v>
      </c>
      <c r="U139" s="3" t="s">
        <v>152</v>
      </c>
      <c r="V139" s="3" t="s">
        <v>166</v>
      </c>
      <c r="W139" s="3"/>
      <c r="X139" s="3"/>
      <c r="Y139" s="3" t="s">
        <v>103</v>
      </c>
      <c r="Z139" s="3"/>
      <c r="AA139" s="3"/>
      <c r="AB139" s="3" t="s">
        <v>126</v>
      </c>
      <c r="AC139" s="3" t="s">
        <v>126</v>
      </c>
      <c r="AD139" s="3" t="s">
        <v>126</v>
      </c>
      <c r="AE139" s="3"/>
      <c r="AF139" s="3" t="s">
        <v>126</v>
      </c>
      <c r="AG139" s="3"/>
      <c r="AH139" s="3"/>
      <c r="AI139" s="3"/>
      <c r="AJ139" s="3" t="s">
        <v>239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 t="s">
        <v>103</v>
      </c>
      <c r="AW139" s="3" t="s">
        <v>111</v>
      </c>
      <c r="AX139" s="3"/>
      <c r="AY139" s="3" t="s">
        <v>154</v>
      </c>
      <c r="AZ139" s="3"/>
      <c r="BA139" s="3"/>
      <c r="BB139" s="3"/>
      <c r="BC139" s="3"/>
      <c r="BD139" s="3"/>
      <c r="BE139" s="3"/>
      <c r="BF139" s="3" t="s">
        <v>126</v>
      </c>
      <c r="BG139" s="3" t="s">
        <v>116</v>
      </c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>
        <f>1/2</f>
        <v>0.5</v>
      </c>
      <c r="CD139" s="3" t="s">
        <v>149</v>
      </c>
      <c r="CE139" s="3"/>
      <c r="CF139" s="3"/>
      <c r="CG139" s="3"/>
      <c r="CH139" s="3"/>
      <c r="CI139" s="3" t="s">
        <v>126</v>
      </c>
      <c r="CJ139" s="3" t="s">
        <v>136</v>
      </c>
      <c r="CK139" s="3" t="s">
        <v>106</v>
      </c>
      <c r="CL139" s="3"/>
      <c r="CM139" s="3"/>
      <c r="CN139" s="3"/>
      <c r="CO139" s="3" t="s">
        <v>144</v>
      </c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</row>
    <row r="140" ht="15.75" customHeight="1">
      <c r="A140" s="3" t="s">
        <v>184</v>
      </c>
      <c r="B140" s="3" t="s">
        <v>122</v>
      </c>
      <c r="C140" s="3" t="s">
        <v>104</v>
      </c>
      <c r="D140" s="3"/>
      <c r="E140" s="3" t="s">
        <v>103</v>
      </c>
      <c r="F140" s="3"/>
      <c r="G140" s="3"/>
      <c r="H140" s="3" t="s">
        <v>207</v>
      </c>
      <c r="I140" s="3" t="s">
        <v>482</v>
      </c>
      <c r="J140" s="3" t="s">
        <v>199</v>
      </c>
      <c r="K140" s="3"/>
      <c r="L140" s="3" t="s">
        <v>180</v>
      </c>
      <c r="M140" s="3" t="s">
        <v>109</v>
      </c>
      <c r="N140" s="3" t="s">
        <v>507</v>
      </c>
      <c r="O140" s="3" t="s">
        <v>132</v>
      </c>
      <c r="P140" s="3"/>
      <c r="Q140" s="3" t="s">
        <v>203</v>
      </c>
      <c r="R140" s="3" t="s">
        <v>188</v>
      </c>
      <c r="S140" s="3" t="s">
        <v>508</v>
      </c>
      <c r="T140" s="3" t="s">
        <v>116</v>
      </c>
      <c r="U140" s="3" t="s">
        <v>193</v>
      </c>
      <c r="V140" s="3" t="s">
        <v>140</v>
      </c>
      <c r="W140" s="3"/>
      <c r="X140" s="3"/>
      <c r="Y140" s="3" t="s">
        <v>129</v>
      </c>
      <c r="Z140" s="3"/>
      <c r="AA140" s="3"/>
      <c r="AB140" s="3" t="s">
        <v>111</v>
      </c>
      <c r="AC140" s="3" t="s">
        <v>152</v>
      </c>
      <c r="AD140" s="3" t="s">
        <v>166</v>
      </c>
      <c r="AE140" s="3"/>
      <c r="AF140" s="3" t="s">
        <v>119</v>
      </c>
      <c r="AG140" s="3" t="s">
        <v>103</v>
      </c>
      <c r="AH140" s="3"/>
      <c r="AI140" s="3"/>
      <c r="AJ140" s="3" t="s">
        <v>249</v>
      </c>
      <c r="AK140" s="3"/>
      <c r="AL140" s="3" t="s">
        <v>132</v>
      </c>
      <c r="AM140" s="3" t="s">
        <v>119</v>
      </c>
      <c r="AN140" s="3"/>
      <c r="AO140" s="3"/>
      <c r="AP140" s="3"/>
      <c r="AQ140" s="3"/>
      <c r="AR140" s="3"/>
      <c r="AS140" s="3"/>
      <c r="AT140" s="3" t="s">
        <v>132</v>
      </c>
      <c r="AU140" s="3" t="s">
        <v>154</v>
      </c>
      <c r="AV140" s="3" t="s">
        <v>162</v>
      </c>
      <c r="AW140" s="3" t="s">
        <v>144</v>
      </c>
      <c r="AX140" s="3"/>
      <c r="AY140" s="3" t="s">
        <v>106</v>
      </c>
      <c r="AZ140" s="3"/>
      <c r="BA140" s="3"/>
      <c r="BB140" s="3"/>
      <c r="BC140" s="3"/>
      <c r="BD140" s="3" t="s">
        <v>119</v>
      </c>
      <c r="BE140" s="3" t="s">
        <v>106</v>
      </c>
      <c r="BF140" s="3" t="s">
        <v>152</v>
      </c>
      <c r="BG140" s="3" t="s">
        <v>191</v>
      </c>
      <c r="BH140" s="3"/>
      <c r="BI140" s="3"/>
      <c r="BJ140" s="5">
        <f>1 + (1/2)</f>
        <v>1.5</v>
      </c>
      <c r="BK140" s="3" t="s">
        <v>144</v>
      </c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 t="s">
        <v>162</v>
      </c>
      <c r="BY140" s="3"/>
      <c r="BZ140" s="3"/>
      <c r="CA140" s="3"/>
      <c r="CB140" s="3"/>
      <c r="CC140" s="3">
        <f>3/4</f>
        <v>0.75</v>
      </c>
      <c r="CD140" s="3" t="s">
        <v>131</v>
      </c>
      <c r="CE140" s="3"/>
      <c r="CF140" s="3"/>
      <c r="CG140" s="3"/>
      <c r="CH140" s="3"/>
      <c r="CI140" s="3" t="s">
        <v>119</v>
      </c>
      <c r="CJ140" s="3" t="s">
        <v>154</v>
      </c>
      <c r="CK140" s="3" t="s">
        <v>250</v>
      </c>
      <c r="CL140" s="3"/>
      <c r="CM140" s="3"/>
      <c r="CN140" s="3"/>
      <c r="CO140" s="3" t="s">
        <v>509</v>
      </c>
      <c r="CP140" s="3"/>
      <c r="CQ140" s="3"/>
      <c r="CR140" s="3"/>
      <c r="CS140" s="3"/>
      <c r="CT140" s="3"/>
      <c r="CU140" s="3"/>
      <c r="CV140" s="3"/>
      <c r="CW140" s="3"/>
      <c r="CX140" s="3" t="s">
        <v>166</v>
      </c>
      <c r="CY140" s="3" t="s">
        <v>179</v>
      </c>
      <c r="CZ140" s="3"/>
      <c r="DA140" s="3"/>
      <c r="DB140" s="3"/>
    </row>
    <row r="141" ht="15.75" customHeight="1">
      <c r="A141" s="3" t="s">
        <v>137</v>
      </c>
      <c r="B141" s="3" t="s">
        <v>122</v>
      </c>
      <c r="C141" s="3" t="s">
        <v>104</v>
      </c>
      <c r="D141" s="3"/>
      <c r="E141" s="3" t="s">
        <v>103</v>
      </c>
      <c r="F141" s="3"/>
      <c r="G141" s="3"/>
      <c r="H141" s="3" t="s">
        <v>105</v>
      </c>
      <c r="I141" s="3" t="s">
        <v>106</v>
      </c>
      <c r="J141" s="3" t="s">
        <v>107</v>
      </c>
      <c r="K141" s="3"/>
      <c r="L141" s="3" t="s">
        <v>283</v>
      </c>
      <c r="M141" s="3" t="s">
        <v>113</v>
      </c>
      <c r="N141" s="3" t="s">
        <v>187</v>
      </c>
      <c r="O141" s="3"/>
      <c r="P141" s="3"/>
      <c r="Q141" s="3" t="s">
        <v>135</v>
      </c>
      <c r="R141" s="3" t="s">
        <v>107</v>
      </c>
      <c r="S141" s="3" t="s">
        <v>510</v>
      </c>
      <c r="T141" s="3" t="s">
        <v>211</v>
      </c>
      <c r="U141" s="3" t="s">
        <v>372</v>
      </c>
      <c r="V141" s="3" t="s">
        <v>135</v>
      </c>
      <c r="W141" s="3"/>
      <c r="X141" s="3"/>
      <c r="Y141" s="3" t="s">
        <v>119</v>
      </c>
      <c r="Z141" s="3"/>
      <c r="AA141" s="3" t="s">
        <v>126</v>
      </c>
      <c r="AB141" s="3" t="s">
        <v>112</v>
      </c>
      <c r="AC141" s="3"/>
      <c r="AD141" s="3" t="s">
        <v>132</v>
      </c>
      <c r="AE141" s="3"/>
      <c r="AF141" s="3" t="s">
        <v>107</v>
      </c>
      <c r="AG141" s="3"/>
      <c r="AH141" s="3"/>
      <c r="AI141" s="3"/>
      <c r="AJ141" s="3" t="s">
        <v>288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 t="s">
        <v>129</v>
      </c>
      <c r="AW141" s="3" t="s">
        <v>166</v>
      </c>
      <c r="AX141" s="3"/>
      <c r="AY141" s="3" t="s">
        <v>116</v>
      </c>
      <c r="AZ141" s="3" t="s">
        <v>126</v>
      </c>
      <c r="BA141" s="3" t="s">
        <v>135</v>
      </c>
      <c r="BB141" s="3"/>
      <c r="BC141" s="3"/>
      <c r="BD141" s="3" t="s">
        <v>119</v>
      </c>
      <c r="BE141" s="3" t="s">
        <v>300</v>
      </c>
      <c r="BF141" s="3" t="s">
        <v>127</v>
      </c>
      <c r="BG141" s="3" t="s">
        <v>145</v>
      </c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 t="s">
        <v>126</v>
      </c>
      <c r="CD141" s="3" t="s">
        <v>511</v>
      </c>
      <c r="CE141" s="3"/>
      <c r="CF141" s="3"/>
      <c r="CG141" s="3"/>
      <c r="CH141" s="3"/>
      <c r="CI141" s="3">
        <f>1/2</f>
        <v>0.5</v>
      </c>
      <c r="CJ141" s="3" t="s">
        <v>166</v>
      </c>
      <c r="CK141" s="3" t="s">
        <v>154</v>
      </c>
      <c r="CL141" s="3"/>
      <c r="CM141" s="3"/>
      <c r="CN141" s="3"/>
      <c r="CO141" s="3" t="s">
        <v>144</v>
      </c>
      <c r="CP141" s="3"/>
      <c r="CQ141" s="3"/>
      <c r="CR141" s="3"/>
      <c r="CS141" s="3"/>
      <c r="CT141" s="3"/>
      <c r="CU141" s="3"/>
      <c r="CV141" s="3"/>
      <c r="CW141" s="3"/>
      <c r="CX141" s="3" t="s">
        <v>200</v>
      </c>
      <c r="CY141" s="3" t="s">
        <v>368</v>
      </c>
      <c r="CZ141" s="3"/>
      <c r="DA141" s="3"/>
      <c r="DB141" s="3"/>
    </row>
    <row r="142" ht="15.75" customHeight="1">
      <c r="A142" s="3" t="s">
        <v>103</v>
      </c>
      <c r="B142" s="3" t="s">
        <v>166</v>
      </c>
      <c r="C142" s="3" t="s">
        <v>104</v>
      </c>
      <c r="D142" s="3"/>
      <c r="E142" s="3" t="s">
        <v>103</v>
      </c>
      <c r="F142" s="3"/>
      <c r="G142" s="3"/>
      <c r="H142" s="3" t="s">
        <v>140</v>
      </c>
      <c r="I142" s="3"/>
      <c r="J142" s="3" t="s">
        <v>107</v>
      </c>
      <c r="K142" s="3"/>
      <c r="L142" s="3" t="s">
        <v>238</v>
      </c>
      <c r="M142" s="3" t="s">
        <v>135</v>
      </c>
      <c r="N142" s="3" t="s">
        <v>318</v>
      </c>
      <c r="O142" s="3"/>
      <c r="P142" s="3"/>
      <c r="Q142" s="3"/>
      <c r="R142" s="3"/>
      <c r="S142" s="3" t="s">
        <v>398</v>
      </c>
      <c r="T142" s="3" t="s">
        <v>136</v>
      </c>
      <c r="U142" s="3" t="s">
        <v>149</v>
      </c>
      <c r="V142" s="3" t="s">
        <v>144</v>
      </c>
      <c r="W142" s="3"/>
      <c r="X142" s="3"/>
      <c r="Y142" s="3" t="s">
        <v>126</v>
      </c>
      <c r="Z142" s="3"/>
      <c r="AA142" s="3"/>
      <c r="AB142" s="3" t="s">
        <v>127</v>
      </c>
      <c r="AC142" s="3" t="s">
        <v>132</v>
      </c>
      <c r="AD142" s="3" t="s">
        <v>162</v>
      </c>
      <c r="AE142" s="3"/>
      <c r="AF142" s="3"/>
      <c r="AG142" s="3" t="s">
        <v>103</v>
      </c>
      <c r="AH142" s="3"/>
      <c r="AI142" s="3"/>
      <c r="AJ142" s="3" t="s">
        <v>147</v>
      </c>
      <c r="AK142" s="3"/>
      <c r="AL142" s="3" t="s">
        <v>127</v>
      </c>
      <c r="AM142" s="3"/>
      <c r="AN142" s="3"/>
      <c r="AO142" s="3"/>
      <c r="AP142" s="3"/>
      <c r="AQ142" s="3"/>
      <c r="AR142" s="3"/>
      <c r="AS142" s="3"/>
      <c r="AT142" s="3" t="s">
        <v>127</v>
      </c>
      <c r="AU142" s="3" t="s">
        <v>236</v>
      </c>
      <c r="AV142" s="3"/>
      <c r="AW142" s="3" t="s">
        <v>107</v>
      </c>
      <c r="AX142" s="3"/>
      <c r="AY142" s="3" t="s">
        <v>154</v>
      </c>
      <c r="AZ142" s="3">
        <f>1/2</f>
        <v>0.5</v>
      </c>
      <c r="BA142" s="3" t="s">
        <v>107</v>
      </c>
      <c r="BB142" s="3"/>
      <c r="BC142" s="3"/>
      <c r="BD142" s="3" t="s">
        <v>126</v>
      </c>
      <c r="BE142" s="3" t="s">
        <v>116</v>
      </c>
      <c r="BF142" s="3" t="s">
        <v>126</v>
      </c>
      <c r="BG142" s="3" t="s">
        <v>118</v>
      </c>
      <c r="BH142" s="3"/>
      <c r="BI142" s="3"/>
      <c r="BJ142" s="3">
        <f>1/2</f>
        <v>0.5</v>
      </c>
      <c r="BK142" s="3" t="s">
        <v>235</v>
      </c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 t="s">
        <v>103</v>
      </c>
      <c r="CD142" s="3" t="s">
        <v>106</v>
      </c>
      <c r="CE142" s="3"/>
      <c r="CF142" s="3"/>
      <c r="CG142" s="3"/>
      <c r="CH142" s="3"/>
      <c r="CI142" s="3" t="s">
        <v>103</v>
      </c>
      <c r="CJ142" s="3" t="s">
        <v>154</v>
      </c>
      <c r="CK142" s="3" t="s">
        <v>135</v>
      </c>
      <c r="CL142" s="3"/>
      <c r="CM142" s="3"/>
      <c r="CN142" s="3"/>
      <c r="CO142" s="3" t="s">
        <v>167</v>
      </c>
      <c r="CP142" s="3"/>
      <c r="CQ142" s="3"/>
      <c r="CR142" s="3"/>
      <c r="CS142" s="3"/>
      <c r="CT142" s="3"/>
      <c r="CU142" s="3"/>
      <c r="CV142" s="3"/>
      <c r="CW142" s="3"/>
      <c r="CX142" s="3" t="s">
        <v>137</v>
      </c>
      <c r="CY142" s="3" t="s">
        <v>136</v>
      </c>
      <c r="CZ142" s="3"/>
      <c r="DA142" s="3"/>
      <c r="DB142" s="3"/>
    </row>
    <row r="143" ht="15.75" customHeight="1">
      <c r="A143" s="3" t="s">
        <v>126</v>
      </c>
      <c r="B143" s="3" t="s">
        <v>166</v>
      </c>
      <c r="C143" s="3" t="s">
        <v>104</v>
      </c>
      <c r="D143" s="3"/>
      <c r="E143" s="3"/>
      <c r="F143" s="3"/>
      <c r="G143" s="3" t="s">
        <v>103</v>
      </c>
      <c r="H143" s="3" t="s">
        <v>134</v>
      </c>
      <c r="I143" s="3" t="s">
        <v>211</v>
      </c>
      <c r="J143" s="3" t="s">
        <v>166</v>
      </c>
      <c r="K143" s="3"/>
      <c r="L143" s="3" t="s">
        <v>316</v>
      </c>
      <c r="M143" s="3" t="s">
        <v>106</v>
      </c>
      <c r="N143" s="3" t="s">
        <v>512</v>
      </c>
      <c r="O143" s="3" t="s">
        <v>136</v>
      </c>
      <c r="P143" s="3"/>
      <c r="Q143" s="3" t="s">
        <v>513</v>
      </c>
      <c r="R143" s="3" t="s">
        <v>218</v>
      </c>
      <c r="S143" s="3" t="s">
        <v>514</v>
      </c>
      <c r="T143" s="3" t="s">
        <v>131</v>
      </c>
      <c r="U143" s="3" t="s">
        <v>225</v>
      </c>
      <c r="V143" s="3" t="s">
        <v>135</v>
      </c>
      <c r="W143" s="3"/>
      <c r="X143" s="3"/>
      <c r="Y143" s="3" t="s">
        <v>119</v>
      </c>
      <c r="Z143" s="3"/>
      <c r="AA143" s="3"/>
      <c r="AB143" s="3" t="s">
        <v>235</v>
      </c>
      <c r="AC143" s="3" t="s">
        <v>184</v>
      </c>
      <c r="AD143" s="4" t="s">
        <v>192</v>
      </c>
      <c r="AE143" s="3"/>
      <c r="AF143" s="3" t="s">
        <v>184</v>
      </c>
      <c r="AG143" s="3" t="s">
        <v>119</v>
      </c>
      <c r="AH143" s="3" t="s">
        <v>119</v>
      </c>
      <c r="AI143" s="3"/>
      <c r="AJ143" s="3" t="s">
        <v>170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 t="s">
        <v>126</v>
      </c>
      <c r="AW143" s="3" t="s">
        <v>166</v>
      </c>
      <c r="AX143" s="3"/>
      <c r="AY143" s="3" t="s">
        <v>131</v>
      </c>
      <c r="AZ143" s="3" t="s">
        <v>126</v>
      </c>
      <c r="BA143" s="3" t="s">
        <v>154</v>
      </c>
      <c r="BB143" s="3" t="s">
        <v>103</v>
      </c>
      <c r="BC143" s="3" t="s">
        <v>107</v>
      </c>
      <c r="BD143" s="3"/>
      <c r="BE143" s="3"/>
      <c r="BF143" s="3" t="s">
        <v>137</v>
      </c>
      <c r="BG143" s="3" t="s">
        <v>239</v>
      </c>
      <c r="BH143" s="3"/>
      <c r="BI143" s="3"/>
      <c r="BJ143" s="3" t="s">
        <v>103</v>
      </c>
      <c r="BK143" s="3" t="s">
        <v>107</v>
      </c>
      <c r="BL143" s="3" t="s">
        <v>136</v>
      </c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>
        <f>1/2</f>
        <v>0.5</v>
      </c>
      <c r="CD143" s="3" t="s">
        <v>154</v>
      </c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 t="s">
        <v>237</v>
      </c>
      <c r="CY143" s="3" t="s">
        <v>347</v>
      </c>
      <c r="CZ143" s="3"/>
      <c r="DA143" s="3"/>
      <c r="DB143" s="3"/>
    </row>
    <row r="144" ht="15.75" customHeight="1">
      <c r="A144" s="3" t="s">
        <v>119</v>
      </c>
      <c r="B144" s="3" t="s">
        <v>166</v>
      </c>
      <c r="C144" s="3" t="s">
        <v>104</v>
      </c>
      <c r="D144" s="3"/>
      <c r="E144" s="3" t="s">
        <v>103</v>
      </c>
      <c r="F144" s="3"/>
      <c r="G144" s="3"/>
      <c r="H144" s="3" t="s">
        <v>416</v>
      </c>
      <c r="I144" s="3" t="s">
        <v>135</v>
      </c>
      <c r="J144" s="3" t="s">
        <v>137</v>
      </c>
      <c r="K144" s="3"/>
      <c r="L144" s="3" t="s">
        <v>283</v>
      </c>
      <c r="M144" s="3" t="s">
        <v>113</v>
      </c>
      <c r="N144" s="3" t="s">
        <v>406</v>
      </c>
      <c r="O144" s="3" t="s">
        <v>154</v>
      </c>
      <c r="P144" s="3"/>
      <c r="Q144" s="3" t="s">
        <v>288</v>
      </c>
      <c r="R144" s="3" t="s">
        <v>135</v>
      </c>
      <c r="S144" s="3" t="s">
        <v>515</v>
      </c>
      <c r="T144" s="3" t="s">
        <v>134</v>
      </c>
      <c r="U144" s="3" t="s">
        <v>516</v>
      </c>
      <c r="V144" s="3" t="s">
        <v>134</v>
      </c>
      <c r="W144" s="3"/>
      <c r="X144" s="3"/>
      <c r="Y144" s="3" t="s">
        <v>112</v>
      </c>
      <c r="Z144" s="3"/>
      <c r="AA144" s="3"/>
      <c r="AB144" s="3" t="s">
        <v>296</v>
      </c>
      <c r="AC144" s="3" t="s">
        <v>112</v>
      </c>
      <c r="AD144" s="3" t="s">
        <v>310</v>
      </c>
      <c r="AE144" s="3"/>
      <c r="AF144" s="3" t="s">
        <v>129</v>
      </c>
      <c r="AG144" s="3" t="s">
        <v>162</v>
      </c>
      <c r="AH144" s="3" t="s">
        <v>103</v>
      </c>
      <c r="AI144" s="3" t="s">
        <v>517</v>
      </c>
      <c r="AJ144" s="3" t="s">
        <v>288</v>
      </c>
      <c r="AK144" s="3"/>
      <c r="AL144" s="3" t="s">
        <v>184</v>
      </c>
      <c r="AM144" s="3" t="s">
        <v>162</v>
      </c>
      <c r="AN144" s="3"/>
      <c r="AO144" s="3" t="s">
        <v>119</v>
      </c>
      <c r="AP144" s="3"/>
      <c r="AQ144" s="3"/>
      <c r="AR144" s="3"/>
      <c r="AS144" s="3"/>
      <c r="AT144" s="3" t="s">
        <v>184</v>
      </c>
      <c r="AU144" s="3" t="s">
        <v>347</v>
      </c>
      <c r="AV144" s="3" t="s">
        <v>126</v>
      </c>
      <c r="AW144" s="3" t="s">
        <v>107</v>
      </c>
      <c r="AX144" s="3"/>
      <c r="AY144" s="3" t="s">
        <v>135</v>
      </c>
      <c r="AZ144" s="3" t="s">
        <v>129</v>
      </c>
      <c r="BA144" s="3" t="s">
        <v>128</v>
      </c>
      <c r="BB144" s="3"/>
      <c r="BC144" s="3"/>
      <c r="BD144" s="3" t="s">
        <v>126</v>
      </c>
      <c r="BE144" s="3" t="s">
        <v>154</v>
      </c>
      <c r="BF144" s="3" t="s">
        <v>111</v>
      </c>
      <c r="BG144" s="3" t="s">
        <v>257</v>
      </c>
      <c r="BH144" s="3"/>
      <c r="BI144" s="3"/>
      <c r="BJ144" s="3"/>
      <c r="BK144" s="3"/>
      <c r="BL144" s="3" t="s">
        <v>132</v>
      </c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 t="s">
        <v>103</v>
      </c>
      <c r="CD144" s="3" t="s">
        <v>134</v>
      </c>
      <c r="CE144" s="3"/>
      <c r="CF144" s="3"/>
      <c r="CG144" s="3"/>
      <c r="CH144" s="3"/>
      <c r="CI144" s="3" t="s">
        <v>126</v>
      </c>
      <c r="CJ144" s="3" t="s">
        <v>149</v>
      </c>
      <c r="CK144" s="3" t="s">
        <v>113</v>
      </c>
      <c r="CL144" s="3"/>
      <c r="CM144" s="3"/>
      <c r="CN144" s="3"/>
      <c r="CO144" s="3" t="s">
        <v>135</v>
      </c>
      <c r="CP144" s="3"/>
      <c r="CQ144" s="3"/>
      <c r="CR144" s="3"/>
      <c r="CS144" s="3"/>
      <c r="CT144" s="3"/>
      <c r="CU144" s="3"/>
      <c r="CV144" s="3"/>
      <c r="CW144" s="3"/>
      <c r="CX144" s="3" t="s">
        <v>111</v>
      </c>
      <c r="CY144" s="3" t="s">
        <v>177</v>
      </c>
      <c r="CZ144" s="3"/>
      <c r="DA144" s="3"/>
      <c r="DB144" s="3"/>
    </row>
    <row r="145" ht="15.75" customHeight="1">
      <c r="A145" s="3" t="s">
        <v>129</v>
      </c>
      <c r="B145" s="3" t="s">
        <v>166</v>
      </c>
      <c r="C145" s="3" t="s">
        <v>104</v>
      </c>
      <c r="D145" s="3"/>
      <c r="E145" s="3" t="s">
        <v>103</v>
      </c>
      <c r="F145" s="3"/>
      <c r="G145" s="3"/>
      <c r="H145" s="3" t="s">
        <v>341</v>
      </c>
      <c r="I145" s="3"/>
      <c r="J145" s="3" t="s">
        <v>132</v>
      </c>
      <c r="K145" s="3"/>
      <c r="L145" s="3" t="s">
        <v>238</v>
      </c>
      <c r="M145" s="3" t="s">
        <v>135</v>
      </c>
      <c r="N145" s="3" t="s">
        <v>109</v>
      </c>
      <c r="O145" s="3" t="s">
        <v>132</v>
      </c>
      <c r="P145" s="3"/>
      <c r="Q145" s="3" t="s">
        <v>135</v>
      </c>
      <c r="R145" s="3" t="s">
        <v>144</v>
      </c>
      <c r="S145" s="3" t="s">
        <v>334</v>
      </c>
      <c r="T145" s="3" t="s">
        <v>169</v>
      </c>
      <c r="U145" s="3" t="s">
        <v>141</v>
      </c>
      <c r="V145" s="3" t="s">
        <v>154</v>
      </c>
      <c r="W145" s="3"/>
      <c r="X145" s="3"/>
      <c r="Y145" s="3" t="s">
        <v>126</v>
      </c>
      <c r="Z145" s="3"/>
      <c r="AA145" s="3"/>
      <c r="AB145" s="3" t="s">
        <v>103</v>
      </c>
      <c r="AC145" s="3" t="s">
        <v>103</v>
      </c>
      <c r="AD145" s="3" t="s">
        <v>137</v>
      </c>
      <c r="AE145" s="3"/>
      <c r="AF145" s="3" t="s">
        <v>112</v>
      </c>
      <c r="AG145" s="3"/>
      <c r="AH145" s="3"/>
      <c r="AI145" s="3"/>
      <c r="AJ145" s="3" t="s">
        <v>139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 t="s">
        <v>103</v>
      </c>
      <c r="AW145" s="3" t="s">
        <v>137</v>
      </c>
      <c r="AX145" s="3"/>
      <c r="AY145" s="3" t="s">
        <v>149</v>
      </c>
      <c r="AZ145" s="3"/>
      <c r="BA145" s="3"/>
      <c r="BB145" s="3"/>
      <c r="BC145" s="3"/>
      <c r="BD145" s="3" t="s">
        <v>126</v>
      </c>
      <c r="BE145" s="3" t="s">
        <v>135</v>
      </c>
      <c r="BF145" s="3" t="s">
        <v>129</v>
      </c>
      <c r="BG145" s="3" t="s">
        <v>333</v>
      </c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 t="s">
        <v>103</v>
      </c>
      <c r="CD145" s="3" t="s">
        <v>135</v>
      </c>
      <c r="CE145" s="3"/>
      <c r="CF145" s="3"/>
      <c r="CG145" s="3"/>
      <c r="CH145" s="3"/>
      <c r="CI145" s="3">
        <f>1/2</f>
        <v>0.5</v>
      </c>
      <c r="CJ145" s="3" t="s">
        <v>296</v>
      </c>
      <c r="CK145" s="3" t="s">
        <v>132</v>
      </c>
      <c r="CL145" s="3"/>
      <c r="CM145" s="3"/>
      <c r="CN145" s="3"/>
      <c r="CO145" s="3" t="s">
        <v>119</v>
      </c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</row>
    <row r="146" ht="15.75" customHeight="1">
      <c r="A146" s="3" t="s">
        <v>132</v>
      </c>
      <c r="B146" s="3" t="s">
        <v>166</v>
      </c>
      <c r="C146" s="3" t="s">
        <v>104</v>
      </c>
      <c r="D146" s="3"/>
      <c r="E146" s="3" t="s">
        <v>103</v>
      </c>
      <c r="F146" s="3"/>
      <c r="G146" s="3"/>
      <c r="H146" s="3" t="s">
        <v>518</v>
      </c>
      <c r="I146" s="3" t="s">
        <v>154</v>
      </c>
      <c r="J146" s="3" t="s">
        <v>199</v>
      </c>
      <c r="K146" s="3"/>
      <c r="L146" s="3" t="s">
        <v>284</v>
      </c>
      <c r="M146" s="3" t="s">
        <v>109</v>
      </c>
      <c r="N146" s="3" t="s">
        <v>519</v>
      </c>
      <c r="O146" s="3"/>
      <c r="P146" s="3" t="s">
        <v>112</v>
      </c>
      <c r="Q146" s="3" t="s">
        <v>520</v>
      </c>
      <c r="R146" s="3" t="s">
        <v>402</v>
      </c>
      <c r="S146" s="3" t="s">
        <v>521</v>
      </c>
      <c r="T146" s="3" t="s">
        <v>140</v>
      </c>
      <c r="U146" s="3" t="s">
        <v>182</v>
      </c>
      <c r="V146" s="3" t="s">
        <v>135</v>
      </c>
      <c r="W146" s="3"/>
      <c r="X146" s="3"/>
      <c r="Y146" s="3" t="s">
        <v>119</v>
      </c>
      <c r="Z146" s="3"/>
      <c r="AA146" s="3"/>
      <c r="AB146" s="3" t="s">
        <v>237</v>
      </c>
      <c r="AC146" s="3" t="s">
        <v>162</v>
      </c>
      <c r="AD146" s="3" t="s">
        <v>121</v>
      </c>
      <c r="AE146" s="3" t="s">
        <v>132</v>
      </c>
      <c r="AF146" s="3" t="s">
        <v>132</v>
      </c>
      <c r="AG146" s="3" t="s">
        <v>119</v>
      </c>
      <c r="AH146" s="3"/>
      <c r="AI146" s="3"/>
      <c r="AJ146" s="3" t="s">
        <v>229</v>
      </c>
      <c r="AK146" s="3" t="s">
        <v>109</v>
      </c>
      <c r="AL146" s="3" t="s">
        <v>237</v>
      </c>
      <c r="AM146" s="3" t="s">
        <v>166</v>
      </c>
      <c r="AN146" s="3" t="s">
        <v>103</v>
      </c>
      <c r="AO146" s="3" t="s">
        <v>111</v>
      </c>
      <c r="AP146" s="3"/>
      <c r="AQ146" s="3"/>
      <c r="AR146" s="3"/>
      <c r="AS146" s="3"/>
      <c r="AT146" s="3" t="s">
        <v>237</v>
      </c>
      <c r="AU146" s="3" t="s">
        <v>303</v>
      </c>
      <c r="AV146" s="3" t="s">
        <v>127</v>
      </c>
      <c r="AW146" s="3" t="s">
        <v>107</v>
      </c>
      <c r="AX146" s="3"/>
      <c r="AY146" s="3" t="s">
        <v>116</v>
      </c>
      <c r="AZ146" s="3" t="s">
        <v>132</v>
      </c>
      <c r="BA146" s="3" t="s">
        <v>135</v>
      </c>
      <c r="BB146" s="3" t="s">
        <v>103</v>
      </c>
      <c r="BC146" s="3" t="s">
        <v>121</v>
      </c>
      <c r="BD146" s="3" t="s">
        <v>129</v>
      </c>
      <c r="BE146" s="3" t="s">
        <v>109</v>
      </c>
      <c r="BF146" s="3" t="s">
        <v>235</v>
      </c>
      <c r="BG146" s="3" t="s">
        <v>256</v>
      </c>
      <c r="BH146" s="3"/>
      <c r="BI146" s="3"/>
      <c r="BJ146" s="3"/>
      <c r="BK146" s="3"/>
      <c r="BL146" s="3" t="s">
        <v>144</v>
      </c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>
        <f>1/2</f>
        <v>0.5</v>
      </c>
      <c r="CD146" s="3" t="s">
        <v>135</v>
      </c>
      <c r="CE146" s="3"/>
      <c r="CF146" s="3"/>
      <c r="CG146" s="3"/>
      <c r="CH146" s="3"/>
      <c r="CI146" s="3" t="s">
        <v>126</v>
      </c>
      <c r="CJ146" s="3" t="s">
        <v>116</v>
      </c>
      <c r="CK146" s="3" t="s">
        <v>223</v>
      </c>
      <c r="CL146" s="3"/>
      <c r="CM146" s="3"/>
      <c r="CN146" s="3"/>
      <c r="CO146" s="3" t="s">
        <v>270</v>
      </c>
      <c r="CP146" s="3"/>
      <c r="CQ146" s="3"/>
      <c r="CR146" s="3"/>
      <c r="CS146" s="3"/>
      <c r="CT146" s="3"/>
      <c r="CU146" s="3"/>
      <c r="CV146" s="3"/>
      <c r="CW146" s="3"/>
      <c r="CX146" s="3" t="s">
        <v>137</v>
      </c>
      <c r="CY146" s="3" t="s">
        <v>107</v>
      </c>
      <c r="CZ146" s="3"/>
      <c r="DA146" s="3"/>
      <c r="DB146" s="3"/>
    </row>
    <row r="147" ht="15.75" customHeight="1">
      <c r="A147" s="3" t="s">
        <v>162</v>
      </c>
      <c r="B147" s="3" t="s">
        <v>166</v>
      </c>
      <c r="C147" s="3" t="s">
        <v>104</v>
      </c>
      <c r="D147" s="3"/>
      <c r="E147" s="3"/>
      <c r="F147" s="3"/>
      <c r="G147" s="3" t="s">
        <v>103</v>
      </c>
      <c r="H147" s="3" t="s">
        <v>364</v>
      </c>
      <c r="I147" s="3"/>
      <c r="J147" s="3"/>
      <c r="K147" s="3"/>
      <c r="L147" s="3" t="s">
        <v>316</v>
      </c>
      <c r="M147" s="3" t="s">
        <v>109</v>
      </c>
      <c r="N147" s="3" t="s">
        <v>522</v>
      </c>
      <c r="O147" s="3"/>
      <c r="P147" s="3"/>
      <c r="Q147" s="3" t="s">
        <v>196</v>
      </c>
      <c r="R147" s="3" t="s">
        <v>188</v>
      </c>
      <c r="S147" s="3" t="s">
        <v>523</v>
      </c>
      <c r="T147" s="3" t="s">
        <v>149</v>
      </c>
      <c r="U147" s="3" t="s">
        <v>402</v>
      </c>
      <c r="V147" s="3" t="s">
        <v>149</v>
      </c>
      <c r="W147" s="3"/>
      <c r="X147" s="3"/>
      <c r="Y147" s="3" t="s">
        <v>132</v>
      </c>
      <c r="Z147" s="3"/>
      <c r="AA147" s="3"/>
      <c r="AB147" s="3" t="s">
        <v>107</v>
      </c>
      <c r="AC147" s="3" t="s">
        <v>137</v>
      </c>
      <c r="AD147" s="3" t="s">
        <v>107</v>
      </c>
      <c r="AE147" s="3"/>
      <c r="AF147" s="3" t="s">
        <v>119</v>
      </c>
      <c r="AG147" s="3" t="s">
        <v>126</v>
      </c>
      <c r="AH147" s="3"/>
      <c r="AI147" s="3" t="s">
        <v>113</v>
      </c>
      <c r="AJ147" s="3" t="s">
        <v>427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 t="s">
        <v>132</v>
      </c>
      <c r="AW147" s="3" t="s">
        <v>137</v>
      </c>
      <c r="AX147" s="3"/>
      <c r="AY147" s="3" t="s">
        <v>270</v>
      </c>
      <c r="AZ147" s="3" t="s">
        <v>132</v>
      </c>
      <c r="BA147" s="3" t="s">
        <v>113</v>
      </c>
      <c r="BB147" s="3" t="s">
        <v>126</v>
      </c>
      <c r="BC147" s="3" t="s">
        <v>156</v>
      </c>
      <c r="BD147" s="3" t="s">
        <v>132</v>
      </c>
      <c r="BE147" s="3" t="s">
        <v>109</v>
      </c>
      <c r="BF147" s="3" t="s">
        <v>132</v>
      </c>
      <c r="BG147" s="3" t="s">
        <v>374</v>
      </c>
      <c r="BH147" s="3"/>
      <c r="BI147" s="3"/>
      <c r="BJ147" s="3" t="s">
        <v>129</v>
      </c>
      <c r="BK147" s="3" t="s">
        <v>154</v>
      </c>
      <c r="BL147" s="3" t="s">
        <v>394</v>
      </c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 t="s">
        <v>103</v>
      </c>
      <c r="CD147" s="3" t="s">
        <v>118</v>
      </c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</row>
    <row r="148" ht="15.75" customHeight="1">
      <c r="A148" s="3" t="s">
        <v>127</v>
      </c>
      <c r="B148" s="3" t="s">
        <v>166</v>
      </c>
      <c r="C148" s="3" t="s">
        <v>104</v>
      </c>
      <c r="D148" s="3"/>
      <c r="E148" s="3" t="s">
        <v>103</v>
      </c>
      <c r="F148" s="3"/>
      <c r="G148" s="3"/>
      <c r="H148" s="3" t="s">
        <v>492</v>
      </c>
      <c r="I148" s="3"/>
      <c r="J148" s="3" t="s">
        <v>132</v>
      </c>
      <c r="K148" s="3"/>
      <c r="L148" s="3" t="s">
        <v>244</v>
      </c>
      <c r="M148" s="3" t="s">
        <v>135</v>
      </c>
      <c r="N148" s="3" t="s">
        <v>374</v>
      </c>
      <c r="O148" s="3" t="s">
        <v>137</v>
      </c>
      <c r="P148" s="3"/>
      <c r="Q148" s="3" t="s">
        <v>131</v>
      </c>
      <c r="R148" s="3" t="s">
        <v>137</v>
      </c>
      <c r="S148" s="3" t="s">
        <v>524</v>
      </c>
      <c r="T148" s="3" t="s">
        <v>136</v>
      </c>
      <c r="U148" s="3" t="s">
        <v>335</v>
      </c>
      <c r="V148" s="3" t="s">
        <v>136</v>
      </c>
      <c r="W148" s="3"/>
      <c r="X148" s="3"/>
      <c r="Y148" s="3" t="s">
        <v>103</v>
      </c>
      <c r="Z148" s="3"/>
      <c r="AA148" s="3"/>
      <c r="AB148" s="3" t="s">
        <v>132</v>
      </c>
      <c r="AC148" s="3" t="s">
        <v>103</v>
      </c>
      <c r="AD148" s="3" t="s">
        <v>132</v>
      </c>
      <c r="AE148" s="3"/>
      <c r="AF148" s="3" t="s">
        <v>129</v>
      </c>
      <c r="AG148" s="3"/>
      <c r="AH148" s="3"/>
      <c r="AI148" s="3" t="s">
        <v>256</v>
      </c>
      <c r="AJ148" s="3" t="s">
        <v>113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 t="s">
        <v>111</v>
      </c>
      <c r="AX148" s="3"/>
      <c r="AY148" s="3" t="s">
        <v>116</v>
      </c>
      <c r="AZ148" s="3" t="s">
        <v>103</v>
      </c>
      <c r="BA148" s="3" t="s">
        <v>107</v>
      </c>
      <c r="BB148" s="3"/>
      <c r="BC148" s="3"/>
      <c r="BD148" s="3"/>
      <c r="BE148" s="3"/>
      <c r="BF148" s="3" t="s">
        <v>162</v>
      </c>
      <c r="BG148" s="3" t="s">
        <v>224</v>
      </c>
      <c r="BH148" s="3"/>
      <c r="BI148" s="3"/>
      <c r="BJ148" s="3"/>
      <c r="BK148" s="3"/>
      <c r="BL148" s="3" t="s">
        <v>154</v>
      </c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>
        <f>3/4</f>
        <v>0.75</v>
      </c>
      <c r="CD148" s="3" t="s">
        <v>154</v>
      </c>
      <c r="CE148" s="3"/>
      <c r="CF148" s="3"/>
      <c r="CG148" s="3"/>
      <c r="CH148" s="3"/>
      <c r="CI148" s="3" t="s">
        <v>126</v>
      </c>
      <c r="CJ148" s="3" t="s">
        <v>236</v>
      </c>
      <c r="CK148" s="3" t="s">
        <v>203</v>
      </c>
      <c r="CL148" s="3"/>
      <c r="CM148" s="3"/>
      <c r="CN148" s="3"/>
      <c r="CO148" s="3" t="s">
        <v>149</v>
      </c>
      <c r="CP148" s="3"/>
      <c r="CQ148" s="3"/>
      <c r="CR148" s="3"/>
      <c r="CS148" s="3"/>
      <c r="CT148" s="3"/>
      <c r="CU148" s="3"/>
      <c r="CV148" s="3"/>
      <c r="CW148" s="3"/>
      <c r="CX148" s="3" t="s">
        <v>112</v>
      </c>
      <c r="CY148" s="3" t="s">
        <v>237</v>
      </c>
      <c r="CZ148" s="3"/>
      <c r="DA148" s="3"/>
      <c r="DB148" s="3"/>
    </row>
    <row r="149" ht="15.75" customHeight="1">
      <c r="A149" s="3" t="s">
        <v>112</v>
      </c>
      <c r="B149" s="3" t="s">
        <v>166</v>
      </c>
      <c r="C149" s="3" t="s">
        <v>104</v>
      </c>
      <c r="D149" s="3"/>
      <c r="E149" s="3" t="s">
        <v>103</v>
      </c>
      <c r="F149" s="3"/>
      <c r="G149" s="3"/>
      <c r="H149" s="3" t="s">
        <v>372</v>
      </c>
      <c r="I149" s="3"/>
      <c r="J149" s="3" t="s">
        <v>107</v>
      </c>
      <c r="K149" s="3"/>
      <c r="L149" s="3" t="s">
        <v>254</v>
      </c>
      <c r="M149" s="3" t="s">
        <v>113</v>
      </c>
      <c r="N149" s="3" t="s">
        <v>187</v>
      </c>
      <c r="O149" s="3" t="s">
        <v>154</v>
      </c>
      <c r="P149" s="3"/>
      <c r="Q149" s="3" t="s">
        <v>113</v>
      </c>
      <c r="R149" s="3" t="s">
        <v>116</v>
      </c>
      <c r="S149" s="3" t="s">
        <v>525</v>
      </c>
      <c r="T149" s="3" t="s">
        <v>116</v>
      </c>
      <c r="U149" s="3" t="s">
        <v>250</v>
      </c>
      <c r="V149" s="3" t="s">
        <v>270</v>
      </c>
      <c r="W149" s="3"/>
      <c r="X149" s="3"/>
      <c r="Y149" s="3" t="s">
        <v>129</v>
      </c>
      <c r="Z149" s="3"/>
      <c r="AA149" s="3"/>
      <c r="AB149" s="3" t="s">
        <v>298</v>
      </c>
      <c r="AC149" s="3" t="s">
        <v>137</v>
      </c>
      <c r="AD149" s="3" t="s">
        <v>156</v>
      </c>
      <c r="AE149" s="3"/>
      <c r="AF149" s="3" t="s">
        <v>129</v>
      </c>
      <c r="AG149" s="3" t="s">
        <v>103</v>
      </c>
      <c r="AH149" s="3"/>
      <c r="AI149" s="3"/>
      <c r="AJ149" s="3" t="s">
        <v>453</v>
      </c>
      <c r="AK149" s="3"/>
      <c r="AL149" s="3" t="s">
        <v>129</v>
      </c>
      <c r="AM149" s="3" t="s">
        <v>126</v>
      </c>
      <c r="AN149" s="3" t="s">
        <v>126</v>
      </c>
      <c r="AO149" s="3"/>
      <c r="AP149" s="3"/>
      <c r="AQ149" s="3"/>
      <c r="AR149" s="3"/>
      <c r="AS149" s="3"/>
      <c r="AT149" s="3" t="s">
        <v>129</v>
      </c>
      <c r="AU149" s="3" t="s">
        <v>136</v>
      </c>
      <c r="AV149" s="3" t="s">
        <v>129</v>
      </c>
      <c r="AW149" s="3" t="s">
        <v>137</v>
      </c>
      <c r="AX149" s="3"/>
      <c r="AY149" s="3" t="s">
        <v>136</v>
      </c>
      <c r="AZ149" s="3" t="s">
        <v>129</v>
      </c>
      <c r="BA149" s="3" t="s">
        <v>214</v>
      </c>
      <c r="BB149" s="3" t="s">
        <v>126</v>
      </c>
      <c r="BC149" s="3" t="s">
        <v>107</v>
      </c>
      <c r="BD149" s="3" t="s">
        <v>126</v>
      </c>
      <c r="BE149" s="3" t="s">
        <v>154</v>
      </c>
      <c r="BF149" s="3" t="s">
        <v>122</v>
      </c>
      <c r="BG149" s="3" t="s">
        <v>288</v>
      </c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 t="s">
        <v>103</v>
      </c>
      <c r="CD149" s="3" t="s">
        <v>154</v>
      </c>
      <c r="CE149" s="3"/>
      <c r="CF149" s="3"/>
      <c r="CG149" s="3"/>
      <c r="CH149" s="3"/>
      <c r="CI149" s="3" t="s">
        <v>126</v>
      </c>
      <c r="CJ149" s="3" t="s">
        <v>107</v>
      </c>
      <c r="CK149" s="3" t="s">
        <v>106</v>
      </c>
      <c r="CL149" s="3"/>
      <c r="CM149" s="3"/>
      <c r="CN149" s="3"/>
      <c r="CO149" s="3" t="s">
        <v>144</v>
      </c>
      <c r="CP149" s="3"/>
      <c r="CQ149" s="3"/>
      <c r="CR149" s="3"/>
      <c r="CS149" s="3"/>
      <c r="CT149" s="3"/>
      <c r="CU149" s="3"/>
      <c r="CV149" s="3"/>
      <c r="CW149" s="3"/>
      <c r="CX149" s="3" t="s">
        <v>166</v>
      </c>
      <c r="CY149" s="3" t="s">
        <v>169</v>
      </c>
      <c r="CZ149" s="3"/>
      <c r="DA149" s="3"/>
      <c r="DB149" s="3"/>
    </row>
    <row r="150" ht="15.75" customHeight="1">
      <c r="A150" s="3" t="s">
        <v>184</v>
      </c>
      <c r="B150" s="3" t="s">
        <v>166</v>
      </c>
      <c r="C150" s="3" t="s">
        <v>104</v>
      </c>
      <c r="D150" s="3"/>
      <c r="E150" s="3" t="s">
        <v>103</v>
      </c>
      <c r="F150" s="3"/>
      <c r="G150" s="3"/>
      <c r="H150" s="3" t="s">
        <v>211</v>
      </c>
      <c r="I150" s="3" t="s">
        <v>140</v>
      </c>
      <c r="J150" s="3" t="s">
        <v>166</v>
      </c>
      <c r="K150" s="3"/>
      <c r="L150" s="3" t="s">
        <v>316</v>
      </c>
      <c r="M150" s="3" t="s">
        <v>333</v>
      </c>
      <c r="N150" s="3" t="s">
        <v>526</v>
      </c>
      <c r="O150" s="3" t="s">
        <v>166</v>
      </c>
      <c r="P150" s="3"/>
      <c r="Q150" s="3" t="s">
        <v>527</v>
      </c>
      <c r="R150" s="3" t="s">
        <v>199</v>
      </c>
      <c r="S150" s="3" t="s">
        <v>528</v>
      </c>
      <c r="T150" s="3" t="s">
        <v>169</v>
      </c>
      <c r="U150" s="3" t="s">
        <v>270</v>
      </c>
      <c r="V150" s="3" t="s">
        <v>169</v>
      </c>
      <c r="W150" s="3"/>
      <c r="X150" s="3"/>
      <c r="Y150" s="3" t="s">
        <v>126</v>
      </c>
      <c r="Z150" s="3"/>
      <c r="AA150" s="3"/>
      <c r="AB150" s="3" t="s">
        <v>152</v>
      </c>
      <c r="AC150" s="3" t="s">
        <v>119</v>
      </c>
      <c r="AD150" s="3" t="s">
        <v>184</v>
      </c>
      <c r="AE150" s="3" t="s">
        <v>126</v>
      </c>
      <c r="AF150" s="3" t="s">
        <v>126</v>
      </c>
      <c r="AG150" s="3" t="s">
        <v>103</v>
      </c>
      <c r="AH150" s="3"/>
      <c r="AI150" s="3"/>
      <c r="AJ150" s="3" t="s">
        <v>358</v>
      </c>
      <c r="AK150" s="3"/>
      <c r="AL150" s="3" t="s">
        <v>177</v>
      </c>
      <c r="AM150" s="3" t="s">
        <v>121</v>
      </c>
      <c r="AN150" s="3"/>
      <c r="AO150" s="3" t="s">
        <v>111</v>
      </c>
      <c r="AP150" s="3" t="s">
        <v>103</v>
      </c>
      <c r="AQ150" s="3"/>
      <c r="AR150" s="3"/>
      <c r="AS150" s="3"/>
      <c r="AT150" s="3" t="s">
        <v>120</v>
      </c>
      <c r="AU150" s="3" t="s">
        <v>133</v>
      </c>
      <c r="AV150" s="3" t="s">
        <v>132</v>
      </c>
      <c r="AW150" s="3" t="s">
        <v>137</v>
      </c>
      <c r="AX150" s="3"/>
      <c r="AY150" s="3" t="s">
        <v>149</v>
      </c>
      <c r="AZ150" s="3"/>
      <c r="BA150" s="3"/>
      <c r="BB150" s="3"/>
      <c r="BC150" s="3"/>
      <c r="BD150" s="3">
        <f>3/4</f>
        <v>0.75</v>
      </c>
      <c r="BE150" s="3" t="s">
        <v>166</v>
      </c>
      <c r="BF150" s="3" t="s">
        <v>129</v>
      </c>
      <c r="BG150" s="3" t="s">
        <v>179</v>
      </c>
      <c r="BH150" s="3"/>
      <c r="BI150" s="3"/>
      <c r="BJ150" s="3">
        <f>1/2</f>
        <v>0.5</v>
      </c>
      <c r="BK150" s="3" t="s">
        <v>162</v>
      </c>
      <c r="BL150" s="3" t="s">
        <v>111</v>
      </c>
      <c r="BM150" s="3" t="s">
        <v>126</v>
      </c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>
        <f>1/2</f>
        <v>0.5</v>
      </c>
      <c r="CD150" s="3" t="s">
        <v>131</v>
      </c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 t="s">
        <v>137</v>
      </c>
      <c r="CY150" s="3" t="s">
        <v>136</v>
      </c>
      <c r="CZ150" s="3"/>
      <c r="DA150" s="3"/>
      <c r="DB150" s="3"/>
    </row>
    <row r="151" ht="15.75" customHeight="1">
      <c r="A151" s="3" t="s">
        <v>137</v>
      </c>
      <c r="B151" s="3" t="s">
        <v>166</v>
      </c>
      <c r="C151" s="3" t="s">
        <v>104</v>
      </c>
      <c r="D151" s="3"/>
      <c r="E151" s="3" t="s">
        <v>103</v>
      </c>
      <c r="F151" s="3"/>
      <c r="G151" s="3"/>
      <c r="H151" s="3" t="s">
        <v>237</v>
      </c>
      <c r="I151" s="3"/>
      <c r="J151" s="3" t="s">
        <v>162</v>
      </c>
      <c r="K151" s="3"/>
      <c r="L151" s="3" t="s">
        <v>187</v>
      </c>
      <c r="M151" s="3"/>
      <c r="N151" s="3" t="s">
        <v>144</v>
      </c>
      <c r="O151" s="3" t="s">
        <v>144</v>
      </c>
      <c r="P151" s="3"/>
      <c r="Q151" s="3" t="s">
        <v>218</v>
      </c>
      <c r="R151" s="3" t="s">
        <v>137</v>
      </c>
      <c r="S151" s="3" t="s">
        <v>224</v>
      </c>
      <c r="T151" s="3" t="s">
        <v>122</v>
      </c>
      <c r="U151" s="3" t="s">
        <v>137</v>
      </c>
      <c r="V151" s="3" t="s">
        <v>122</v>
      </c>
      <c r="W151" s="3"/>
      <c r="X151" s="3"/>
      <c r="Y151" s="3"/>
      <c r="Z151" s="3"/>
      <c r="AA151" s="3"/>
      <c r="AB151" s="3" t="s">
        <v>103</v>
      </c>
      <c r="AC151" s="3"/>
      <c r="AD151" s="3" t="s">
        <v>126</v>
      </c>
      <c r="AE151" s="3"/>
      <c r="AF151" s="3" t="s">
        <v>103</v>
      </c>
      <c r="AG151" s="3"/>
      <c r="AH151" s="3"/>
      <c r="AI151" s="3"/>
      <c r="AJ151" s="3" t="s">
        <v>203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 t="s">
        <v>126</v>
      </c>
      <c r="AW151" s="3" t="s">
        <v>132</v>
      </c>
      <c r="AX151" s="3"/>
      <c r="AY151" s="3" t="s">
        <v>107</v>
      </c>
      <c r="AZ151" s="3"/>
      <c r="BA151" s="3"/>
      <c r="BB151" s="3"/>
      <c r="BC151" s="3"/>
      <c r="BD151" s="3"/>
      <c r="BE151" s="3"/>
      <c r="BF151" s="5">
        <f>1 + (1/2)</f>
        <v>1.5</v>
      </c>
      <c r="BG151" s="3" t="s">
        <v>149</v>
      </c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>
        <f>1/3</f>
        <v>0.3333333333</v>
      </c>
      <c r="CD151" s="3" t="s">
        <v>149</v>
      </c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 t="s">
        <v>132</v>
      </c>
      <c r="CY151" s="3" t="s">
        <v>166</v>
      </c>
      <c r="CZ151" s="3"/>
      <c r="DA151" s="3"/>
      <c r="DB151" s="3"/>
    </row>
    <row r="152" ht="15.75" customHeight="1">
      <c r="A152" s="3" t="s">
        <v>103</v>
      </c>
      <c r="B152" s="3" t="s">
        <v>235</v>
      </c>
      <c r="C152" s="3" t="s">
        <v>104</v>
      </c>
      <c r="D152" s="3"/>
      <c r="E152" s="3" t="s">
        <v>103</v>
      </c>
      <c r="F152" s="3"/>
      <c r="G152" s="3"/>
      <c r="H152" s="3" t="s">
        <v>135</v>
      </c>
      <c r="I152" s="3" t="s">
        <v>166</v>
      </c>
      <c r="J152" s="3" t="s">
        <v>162</v>
      </c>
      <c r="K152" s="3"/>
      <c r="L152" s="3" t="s">
        <v>316</v>
      </c>
      <c r="M152" s="3" t="s">
        <v>106</v>
      </c>
      <c r="N152" s="3" t="s">
        <v>529</v>
      </c>
      <c r="O152" s="3" t="s">
        <v>144</v>
      </c>
      <c r="P152" s="3"/>
      <c r="Q152" s="3" t="s">
        <v>530</v>
      </c>
      <c r="R152" s="3" t="s">
        <v>178</v>
      </c>
      <c r="S152" s="3" t="s">
        <v>531</v>
      </c>
      <c r="T152" s="3" t="s">
        <v>154</v>
      </c>
      <c r="U152" s="3" t="s">
        <v>211</v>
      </c>
      <c r="V152" s="3" t="s">
        <v>131</v>
      </c>
      <c r="W152" s="3"/>
      <c r="X152" s="3"/>
      <c r="Y152" s="3" t="s">
        <v>162</v>
      </c>
      <c r="Z152" s="3"/>
      <c r="AA152" s="3"/>
      <c r="AB152" s="3" t="s">
        <v>111</v>
      </c>
      <c r="AC152" s="3" t="s">
        <v>129</v>
      </c>
      <c r="AD152" s="3" t="s">
        <v>111</v>
      </c>
      <c r="AE152" s="3" t="s">
        <v>119</v>
      </c>
      <c r="AF152" s="3" t="s">
        <v>129</v>
      </c>
      <c r="AG152" s="3" t="s">
        <v>103</v>
      </c>
      <c r="AH152" s="3"/>
      <c r="AI152" s="3" t="s">
        <v>532</v>
      </c>
      <c r="AJ152" s="3" t="s">
        <v>239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 t="s">
        <v>129</v>
      </c>
      <c r="AW152" s="3" t="s">
        <v>107</v>
      </c>
      <c r="AX152" s="3"/>
      <c r="AY152" s="3" t="s">
        <v>105</v>
      </c>
      <c r="AZ152" s="5">
        <f>1 + (1/2)</f>
        <v>1.5</v>
      </c>
      <c r="BA152" s="3" t="s">
        <v>116</v>
      </c>
      <c r="BB152" s="3"/>
      <c r="BC152" s="3"/>
      <c r="BD152" s="5">
        <f>1 + (1/2)</f>
        <v>1.5</v>
      </c>
      <c r="BE152" s="3" t="s">
        <v>218</v>
      </c>
      <c r="BF152" s="3" t="s">
        <v>162</v>
      </c>
      <c r="BG152" s="3" t="s">
        <v>106</v>
      </c>
      <c r="BH152" s="3"/>
      <c r="BI152" s="3"/>
      <c r="BJ152" s="3"/>
      <c r="BK152" s="3"/>
      <c r="BL152" s="3" t="s">
        <v>137</v>
      </c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>
        <f t="shared" ref="CC152:CC153" si="20">1/2</f>
        <v>0.5</v>
      </c>
      <c r="CD152" s="3" t="s">
        <v>131</v>
      </c>
      <c r="CE152" s="3"/>
      <c r="CF152" s="3"/>
      <c r="CG152" s="3"/>
      <c r="CH152" s="3"/>
      <c r="CI152" s="3">
        <f>1/4</f>
        <v>0.25</v>
      </c>
      <c r="CJ152" s="3" t="s">
        <v>144</v>
      </c>
      <c r="CK152" s="3" t="s">
        <v>135</v>
      </c>
      <c r="CL152" s="3"/>
      <c r="CM152" s="3"/>
      <c r="CN152" s="3"/>
      <c r="CO152" s="3" t="s">
        <v>144</v>
      </c>
      <c r="CP152" s="3"/>
      <c r="CQ152" s="3"/>
      <c r="CR152" s="3"/>
      <c r="CS152" s="3"/>
      <c r="CT152" s="3"/>
      <c r="CU152" s="3"/>
      <c r="CV152" s="3"/>
      <c r="CW152" s="3"/>
      <c r="CX152" s="3" t="s">
        <v>162</v>
      </c>
      <c r="CY152" s="3" t="s">
        <v>111</v>
      </c>
      <c r="CZ152" s="3"/>
      <c r="DA152" s="3"/>
      <c r="DB152" s="3"/>
    </row>
    <row r="153" ht="15.75" customHeight="1">
      <c r="A153" s="3" t="s">
        <v>126</v>
      </c>
      <c r="B153" s="3" t="s">
        <v>235</v>
      </c>
      <c r="C153" s="3" t="s">
        <v>104</v>
      </c>
      <c r="D153" s="3"/>
      <c r="E153" s="3" t="s">
        <v>103</v>
      </c>
      <c r="F153" s="3"/>
      <c r="G153" s="3"/>
      <c r="H153" s="3" t="s">
        <v>492</v>
      </c>
      <c r="I153" s="3"/>
      <c r="J153" s="3" t="s">
        <v>127</v>
      </c>
      <c r="K153" s="3"/>
      <c r="L153" s="3" t="s">
        <v>244</v>
      </c>
      <c r="M153" s="3" t="s">
        <v>128</v>
      </c>
      <c r="N153" s="3" t="s">
        <v>318</v>
      </c>
      <c r="O153" s="3" t="s">
        <v>126</v>
      </c>
      <c r="P153" s="3"/>
      <c r="Q153" s="3" t="s">
        <v>116</v>
      </c>
      <c r="R153" s="3" t="s">
        <v>111</v>
      </c>
      <c r="S153" s="3" t="s">
        <v>325</v>
      </c>
      <c r="T153" s="3" t="s">
        <v>136</v>
      </c>
      <c r="U153" s="3" t="s">
        <v>335</v>
      </c>
      <c r="V153" s="3" t="s">
        <v>136</v>
      </c>
      <c r="W153" s="3"/>
      <c r="X153" s="3"/>
      <c r="Y153" s="3" t="s">
        <v>103</v>
      </c>
      <c r="Z153" s="3"/>
      <c r="AA153" s="3"/>
      <c r="AB153" s="3" t="s">
        <v>162</v>
      </c>
      <c r="AC153" s="3" t="s">
        <v>129</v>
      </c>
      <c r="AD153" s="3" t="s">
        <v>119</v>
      </c>
      <c r="AE153" s="3"/>
      <c r="AF153" s="3"/>
      <c r="AG153" s="3" t="s">
        <v>103</v>
      </c>
      <c r="AH153" s="3"/>
      <c r="AI153" s="3"/>
      <c r="AJ153" s="3" t="s">
        <v>187</v>
      </c>
      <c r="AK153" s="3" t="s">
        <v>116</v>
      </c>
      <c r="AL153" s="3" t="s">
        <v>111</v>
      </c>
      <c r="AM153" s="3" t="s">
        <v>162</v>
      </c>
      <c r="AN153" s="3"/>
      <c r="AO153" s="3"/>
      <c r="AP153" s="3"/>
      <c r="AQ153" s="3"/>
      <c r="AR153" s="3" t="s">
        <v>103</v>
      </c>
      <c r="AS153" s="3"/>
      <c r="AT153" s="3" t="s">
        <v>111</v>
      </c>
      <c r="AU153" s="3" t="s">
        <v>210</v>
      </c>
      <c r="AV153" s="3" t="s">
        <v>103</v>
      </c>
      <c r="AW153" s="3" t="s">
        <v>166</v>
      </c>
      <c r="AX153" s="3" t="s">
        <v>119</v>
      </c>
      <c r="AY153" s="3" t="s">
        <v>116</v>
      </c>
      <c r="AZ153" s="3"/>
      <c r="BA153" s="3"/>
      <c r="BB153" s="3" t="s">
        <v>126</v>
      </c>
      <c r="BC153" s="3" t="s">
        <v>199</v>
      </c>
      <c r="BD153" s="3"/>
      <c r="BE153" s="3"/>
      <c r="BF153" s="3" t="s">
        <v>119</v>
      </c>
      <c r="BG153" s="3" t="s">
        <v>135</v>
      </c>
      <c r="BH153" s="3"/>
      <c r="BI153" s="3"/>
      <c r="BJ153" s="3"/>
      <c r="BK153" s="3"/>
      <c r="BL153" s="3" t="s">
        <v>137</v>
      </c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>
        <f t="shared" si="20"/>
        <v>0.5</v>
      </c>
      <c r="CD153" s="3" t="s">
        <v>136</v>
      </c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 t="s">
        <v>137</v>
      </c>
      <c r="CY153" s="3" t="s">
        <v>144</v>
      </c>
      <c r="CZ153" s="3"/>
      <c r="DA153" s="3"/>
      <c r="DB153" s="3"/>
    </row>
    <row r="154" ht="15.75" customHeight="1">
      <c r="A154" s="3" t="s">
        <v>119</v>
      </c>
      <c r="B154" s="3" t="s">
        <v>235</v>
      </c>
      <c r="C154" s="3" t="s">
        <v>104</v>
      </c>
      <c r="D154" s="3"/>
      <c r="E154" s="3" t="s">
        <v>103</v>
      </c>
      <c r="F154" s="3"/>
      <c r="G154" s="3"/>
      <c r="H154" s="3" t="s">
        <v>135</v>
      </c>
      <c r="I154" s="3"/>
      <c r="J154" s="3" t="s">
        <v>129</v>
      </c>
      <c r="K154" s="3"/>
      <c r="L154" s="3" t="s">
        <v>238</v>
      </c>
      <c r="M154" s="3" t="s">
        <v>135</v>
      </c>
      <c r="N154" s="3" t="s">
        <v>533</v>
      </c>
      <c r="O154" s="3" t="s">
        <v>119</v>
      </c>
      <c r="P154" s="3"/>
      <c r="Q154" s="3" t="s">
        <v>154</v>
      </c>
      <c r="R154" s="3" t="s">
        <v>137</v>
      </c>
      <c r="S154" s="3" t="s">
        <v>165</v>
      </c>
      <c r="T154" s="3" t="s">
        <v>136</v>
      </c>
      <c r="U154" s="3" t="s">
        <v>140</v>
      </c>
      <c r="V154" s="3" t="s">
        <v>136</v>
      </c>
      <c r="W154" s="3"/>
      <c r="X154" s="3"/>
      <c r="Y154" s="3" t="s">
        <v>126</v>
      </c>
      <c r="Z154" s="3"/>
      <c r="AA154" s="3"/>
      <c r="AB154" s="3" t="s">
        <v>132</v>
      </c>
      <c r="AC154" s="3" t="s">
        <v>119</v>
      </c>
      <c r="AD154" s="3" t="s">
        <v>162</v>
      </c>
      <c r="AE154" s="3" t="s">
        <v>126</v>
      </c>
      <c r="AF154" s="3" t="s">
        <v>126</v>
      </c>
      <c r="AG154" s="3"/>
      <c r="AH154" s="3"/>
      <c r="AI154" s="3"/>
      <c r="AJ154" s="3" t="s">
        <v>187</v>
      </c>
      <c r="AK154" s="3" t="s">
        <v>116</v>
      </c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 t="s">
        <v>126</v>
      </c>
      <c r="AW154" s="3" t="s">
        <v>166</v>
      </c>
      <c r="AX154" s="3" t="s">
        <v>103</v>
      </c>
      <c r="AY154" s="3" t="s">
        <v>116</v>
      </c>
      <c r="AZ154" s="3"/>
      <c r="BA154" s="3"/>
      <c r="BB154" s="3" t="s">
        <v>126</v>
      </c>
      <c r="BC154" s="3" t="s">
        <v>144</v>
      </c>
      <c r="BD154" s="3"/>
      <c r="BE154" s="3"/>
      <c r="BF154" s="3"/>
      <c r="BG154" s="3"/>
      <c r="BH154" s="3"/>
      <c r="BI154" s="3"/>
      <c r="BJ154" s="3" t="s">
        <v>103</v>
      </c>
      <c r="BK154" s="3" t="s">
        <v>150</v>
      </c>
      <c r="BL154" s="3" t="s">
        <v>137</v>
      </c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>
        <f>1/4</f>
        <v>0.25</v>
      </c>
      <c r="CD154" s="3" t="s">
        <v>144</v>
      </c>
      <c r="CE154" s="3"/>
      <c r="CF154" s="3"/>
      <c r="CG154" s="3"/>
      <c r="CH154" s="3"/>
      <c r="CI154" s="3" t="s">
        <v>103</v>
      </c>
      <c r="CJ154" s="3" t="s">
        <v>136</v>
      </c>
      <c r="CK154" s="3" t="s">
        <v>154</v>
      </c>
      <c r="CL154" s="3"/>
      <c r="CM154" s="3"/>
      <c r="CN154" s="3"/>
      <c r="CO154" s="3" t="s">
        <v>144</v>
      </c>
      <c r="CP154" s="3"/>
      <c r="CQ154" s="3"/>
      <c r="CR154" s="3"/>
      <c r="CS154" s="3"/>
      <c r="CT154" s="3"/>
      <c r="CU154" s="3"/>
      <c r="CV154" s="3"/>
      <c r="CW154" s="3"/>
      <c r="CX154" s="3" t="s">
        <v>137</v>
      </c>
      <c r="CY154" s="3" t="s">
        <v>136</v>
      </c>
      <c r="CZ154" s="3"/>
      <c r="DA154" s="3"/>
      <c r="DB154" s="3"/>
    </row>
    <row r="155" ht="15.75" customHeight="1">
      <c r="A155" s="3" t="s">
        <v>129</v>
      </c>
      <c r="B155" s="3" t="s">
        <v>235</v>
      </c>
      <c r="C155" s="3" t="s">
        <v>104</v>
      </c>
      <c r="D155" s="3"/>
      <c r="E155" s="3" t="s">
        <v>103</v>
      </c>
      <c r="F155" s="3"/>
      <c r="G155" s="3"/>
      <c r="H155" s="3" t="s">
        <v>272</v>
      </c>
      <c r="I155" s="3" t="s">
        <v>134</v>
      </c>
      <c r="J155" s="3" t="s">
        <v>135</v>
      </c>
      <c r="K155" s="3"/>
      <c r="L155" s="3" t="s">
        <v>534</v>
      </c>
      <c r="M155" s="3" t="s">
        <v>256</v>
      </c>
      <c r="N155" s="3" t="s">
        <v>535</v>
      </c>
      <c r="O155" s="3" t="s">
        <v>149</v>
      </c>
      <c r="P155" s="3" t="s">
        <v>149</v>
      </c>
      <c r="Q155" s="3" t="s">
        <v>536</v>
      </c>
      <c r="R155" s="3" t="s">
        <v>391</v>
      </c>
      <c r="S155" s="3" t="s">
        <v>537</v>
      </c>
      <c r="T155" s="3" t="s">
        <v>106</v>
      </c>
      <c r="U155" s="3" t="s">
        <v>145</v>
      </c>
      <c r="V155" s="3" t="s">
        <v>133</v>
      </c>
      <c r="W155" s="3"/>
      <c r="X155" s="3"/>
      <c r="Y155" s="3" t="s">
        <v>162</v>
      </c>
      <c r="Z155" s="3"/>
      <c r="AA155" s="3"/>
      <c r="AB155" s="3" t="s">
        <v>116</v>
      </c>
      <c r="AC155" s="3" t="s">
        <v>211</v>
      </c>
      <c r="AD155" s="3" t="s">
        <v>394</v>
      </c>
      <c r="AE155" s="3" t="s">
        <v>235</v>
      </c>
      <c r="AF155" s="3" t="s">
        <v>204</v>
      </c>
      <c r="AG155" s="3" t="s">
        <v>126</v>
      </c>
      <c r="AH155" s="3" t="s">
        <v>132</v>
      </c>
      <c r="AI155" s="3"/>
      <c r="AJ155" s="3" t="s">
        <v>538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 t="s">
        <v>184</v>
      </c>
      <c r="AW155" s="3" t="s">
        <v>149</v>
      </c>
      <c r="AX155" s="3"/>
      <c r="AY155" s="3" t="s">
        <v>106</v>
      </c>
      <c r="AZ155" s="3"/>
      <c r="BA155" s="3"/>
      <c r="BB155" s="3"/>
      <c r="BC155" s="3"/>
      <c r="BD155" s="3" t="s">
        <v>162</v>
      </c>
      <c r="BE155" s="3" t="s">
        <v>223</v>
      </c>
      <c r="BF155" s="3" t="s">
        <v>166</v>
      </c>
      <c r="BG155" s="3" t="s">
        <v>163</v>
      </c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 t="s">
        <v>126</v>
      </c>
      <c r="CD155" s="3" t="s">
        <v>113</v>
      </c>
      <c r="CE155" s="3"/>
      <c r="CF155" s="3"/>
      <c r="CG155" s="3"/>
      <c r="CH155" s="3"/>
      <c r="CI155" s="3" t="s">
        <v>132</v>
      </c>
      <c r="CJ155" s="3" t="s">
        <v>203</v>
      </c>
      <c r="CK155" s="3" t="s">
        <v>256</v>
      </c>
      <c r="CL155" s="3"/>
      <c r="CM155" s="3"/>
      <c r="CN155" s="3"/>
      <c r="CO155" s="3" t="s">
        <v>203</v>
      </c>
      <c r="CP155" s="3"/>
      <c r="CQ155" s="3"/>
      <c r="CR155" s="3"/>
      <c r="CS155" s="3"/>
      <c r="CT155" s="3"/>
      <c r="CU155" s="3"/>
      <c r="CV155" s="3"/>
      <c r="CW155" s="3"/>
      <c r="CX155" s="3" t="s">
        <v>144</v>
      </c>
      <c r="CY155" s="3" t="s">
        <v>131</v>
      </c>
      <c r="CZ155" s="3"/>
      <c r="DA155" s="3"/>
      <c r="DB155" s="3"/>
    </row>
    <row r="156" ht="15.75" customHeight="1">
      <c r="A156" s="3" t="s">
        <v>132</v>
      </c>
      <c r="B156" s="3" t="s">
        <v>235</v>
      </c>
      <c r="C156" s="3" t="s">
        <v>104</v>
      </c>
      <c r="D156" s="3"/>
      <c r="E156" s="3" t="s">
        <v>103</v>
      </c>
      <c r="F156" s="3"/>
      <c r="G156" s="3"/>
      <c r="H156" s="3" t="s">
        <v>364</v>
      </c>
      <c r="I156" s="3" t="s">
        <v>144</v>
      </c>
      <c r="J156" s="3" t="s">
        <v>127</v>
      </c>
      <c r="K156" s="3"/>
      <c r="L156" s="3" t="s">
        <v>194</v>
      </c>
      <c r="M156" s="3" t="s">
        <v>113</v>
      </c>
      <c r="N156" s="3" t="s">
        <v>539</v>
      </c>
      <c r="O156" s="3" t="s">
        <v>154</v>
      </c>
      <c r="P156" s="3" t="s">
        <v>112</v>
      </c>
      <c r="Q156" s="3" t="s">
        <v>239</v>
      </c>
      <c r="R156" s="3" t="s">
        <v>188</v>
      </c>
      <c r="S156" s="3" t="s">
        <v>540</v>
      </c>
      <c r="T156" s="3" t="s">
        <v>402</v>
      </c>
      <c r="U156" s="3" t="s">
        <v>211</v>
      </c>
      <c r="V156" s="3" t="s">
        <v>135</v>
      </c>
      <c r="W156" s="3"/>
      <c r="X156" s="3"/>
      <c r="Y156" s="3" t="s">
        <v>132</v>
      </c>
      <c r="Z156" s="3"/>
      <c r="AA156" s="3"/>
      <c r="AB156" s="3" t="s">
        <v>150</v>
      </c>
      <c r="AC156" s="3" t="s">
        <v>137</v>
      </c>
      <c r="AD156" s="3" t="s">
        <v>122</v>
      </c>
      <c r="AE156" s="3" t="s">
        <v>122</v>
      </c>
      <c r="AF156" s="3" t="s">
        <v>162</v>
      </c>
      <c r="AG156" s="3" t="s">
        <v>126</v>
      </c>
      <c r="AH156" s="3"/>
      <c r="AI156" s="3"/>
      <c r="AJ156" s="3" t="s">
        <v>161</v>
      </c>
      <c r="AK156" s="3"/>
      <c r="AL156" s="3" t="s">
        <v>109</v>
      </c>
      <c r="AM156" s="3" t="s">
        <v>178</v>
      </c>
      <c r="AN156" s="3" t="s">
        <v>147</v>
      </c>
      <c r="AO156" s="3" t="s">
        <v>176</v>
      </c>
      <c r="AP156" s="3"/>
      <c r="AQ156" s="3"/>
      <c r="AR156" s="3" t="s">
        <v>137</v>
      </c>
      <c r="AS156" s="3"/>
      <c r="AT156" s="3" t="s">
        <v>339</v>
      </c>
      <c r="AU156" s="3" t="s">
        <v>541</v>
      </c>
      <c r="AV156" s="3" t="s">
        <v>132</v>
      </c>
      <c r="AW156" s="3" t="s">
        <v>148</v>
      </c>
      <c r="AX156" s="3"/>
      <c r="AY156" s="3" t="s">
        <v>542</v>
      </c>
      <c r="AZ156" s="3" t="s">
        <v>129</v>
      </c>
      <c r="BA156" s="3" t="s">
        <v>105</v>
      </c>
      <c r="BB156" s="3" t="s">
        <v>126</v>
      </c>
      <c r="BC156" s="3" t="s">
        <v>136</v>
      </c>
      <c r="BD156" s="3" t="s">
        <v>129</v>
      </c>
      <c r="BE156" s="3" t="s">
        <v>106</v>
      </c>
      <c r="BF156" s="3" t="s">
        <v>137</v>
      </c>
      <c r="BG156" s="3" t="s">
        <v>191</v>
      </c>
      <c r="BH156" s="3"/>
      <c r="BI156" s="3"/>
      <c r="BJ156" s="3" t="s">
        <v>119</v>
      </c>
      <c r="BK156" s="3" t="s">
        <v>136</v>
      </c>
      <c r="BL156" s="3" t="s">
        <v>144</v>
      </c>
      <c r="BM156" s="3" t="s">
        <v>156</v>
      </c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5">
        <f>1 + (1/2)</f>
        <v>1.5</v>
      </c>
      <c r="CD156" s="3" t="s">
        <v>109</v>
      </c>
      <c r="CE156" s="3"/>
      <c r="CF156" s="3"/>
      <c r="CG156" s="3"/>
      <c r="CH156" s="3"/>
      <c r="CI156" s="3" t="s">
        <v>119</v>
      </c>
      <c r="CJ156" s="3" t="s">
        <v>154</v>
      </c>
      <c r="CK156" s="3" t="s">
        <v>154</v>
      </c>
      <c r="CL156" s="3"/>
      <c r="CM156" s="3"/>
      <c r="CN156" s="3"/>
      <c r="CO156" s="3" t="s">
        <v>144</v>
      </c>
      <c r="CP156" s="3"/>
      <c r="CQ156" s="3"/>
      <c r="CR156" s="3"/>
      <c r="CS156" s="3"/>
      <c r="CT156" s="3"/>
      <c r="CU156" s="3"/>
      <c r="CV156" s="3"/>
      <c r="CW156" s="3"/>
      <c r="CX156" s="3" t="s">
        <v>107</v>
      </c>
      <c r="CY156" s="3" t="s">
        <v>136</v>
      </c>
      <c r="CZ156" s="3"/>
      <c r="DA156" s="3"/>
      <c r="DB156" s="3"/>
    </row>
    <row r="157" ht="15.75" customHeight="1">
      <c r="A157" s="3" t="s">
        <v>162</v>
      </c>
      <c r="B157" s="3" t="s">
        <v>235</v>
      </c>
      <c r="C157" s="3" t="s">
        <v>104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</row>
    <row r="158" ht="15.75" customHeight="1">
      <c r="A158" s="3" t="s">
        <v>127</v>
      </c>
      <c r="B158" s="3" t="s">
        <v>235</v>
      </c>
      <c r="C158" s="3" t="s">
        <v>104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</row>
    <row r="159" ht="15.75" customHeight="1">
      <c r="A159" s="3" t="s">
        <v>112</v>
      </c>
      <c r="B159" s="3" t="s">
        <v>235</v>
      </c>
      <c r="C159" s="3" t="s">
        <v>104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</row>
    <row r="160" ht="15.75" customHeight="1">
      <c r="A160" s="3" t="s">
        <v>184</v>
      </c>
      <c r="B160" s="3" t="s">
        <v>235</v>
      </c>
      <c r="C160" s="3" t="s">
        <v>104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</row>
    <row r="161" ht="15.75" customHeight="1">
      <c r="A161" s="3" t="s">
        <v>137</v>
      </c>
      <c r="B161" s="3" t="s">
        <v>235</v>
      </c>
      <c r="C161" s="3" t="s">
        <v>104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</row>
    <row r="162" ht="15.75" customHeight="1">
      <c r="A162" s="3" t="s">
        <v>103</v>
      </c>
      <c r="B162" s="3" t="s">
        <v>148</v>
      </c>
      <c r="C162" s="3" t="s">
        <v>104</v>
      </c>
      <c r="D162" s="3"/>
      <c r="E162" s="3"/>
      <c r="F162" s="3" t="s">
        <v>103</v>
      </c>
      <c r="G162" s="3"/>
      <c r="H162" s="3" t="s">
        <v>116</v>
      </c>
      <c r="I162" s="3" t="s">
        <v>270</v>
      </c>
      <c r="J162" s="3"/>
      <c r="K162" s="3"/>
      <c r="L162" s="3" t="s">
        <v>254</v>
      </c>
      <c r="M162" s="3" t="s">
        <v>109</v>
      </c>
      <c r="N162" s="3" t="s">
        <v>543</v>
      </c>
      <c r="O162" s="3" t="s">
        <v>137</v>
      </c>
      <c r="P162" s="3"/>
      <c r="Q162" s="3" t="s">
        <v>134</v>
      </c>
      <c r="R162" s="3" t="s">
        <v>169</v>
      </c>
      <c r="S162" s="3" t="s">
        <v>544</v>
      </c>
      <c r="T162" s="3" t="s">
        <v>149</v>
      </c>
      <c r="U162" s="3" t="s">
        <v>225</v>
      </c>
      <c r="V162" s="3" t="s">
        <v>169</v>
      </c>
      <c r="W162" s="3"/>
      <c r="X162" s="3"/>
      <c r="Y162" s="3" t="s">
        <v>119</v>
      </c>
      <c r="Z162" s="3"/>
      <c r="AA162" s="3"/>
      <c r="AB162" s="3" t="s">
        <v>111</v>
      </c>
      <c r="AC162" s="3" t="s">
        <v>103</v>
      </c>
      <c r="AD162" s="3" t="s">
        <v>184</v>
      </c>
      <c r="AE162" s="3"/>
      <c r="AF162" s="3" t="s">
        <v>111</v>
      </c>
      <c r="AG162" s="3"/>
      <c r="AH162" s="3"/>
      <c r="AI162" s="3" t="s">
        <v>545</v>
      </c>
      <c r="AJ162" s="3" t="s">
        <v>256</v>
      </c>
      <c r="AK162" s="3"/>
      <c r="AL162" s="3" t="s">
        <v>156</v>
      </c>
      <c r="AM162" s="3" t="s">
        <v>121</v>
      </c>
      <c r="AN162" s="3"/>
      <c r="AO162" s="3" t="s">
        <v>129</v>
      </c>
      <c r="AP162" s="3" t="s">
        <v>126</v>
      </c>
      <c r="AQ162" s="3"/>
      <c r="AR162" s="3"/>
      <c r="AS162" s="3"/>
      <c r="AT162" s="3" t="s">
        <v>156</v>
      </c>
      <c r="AU162" s="3" t="s">
        <v>155</v>
      </c>
      <c r="AV162" s="3" t="s">
        <v>184</v>
      </c>
      <c r="AW162" s="3" t="s">
        <v>166</v>
      </c>
      <c r="AX162" s="3"/>
      <c r="AY162" s="3" t="s">
        <v>116</v>
      </c>
      <c r="AZ162" s="3"/>
      <c r="BA162" s="3"/>
      <c r="BB162" s="3"/>
      <c r="BC162" s="3"/>
      <c r="BD162" s="3" t="s">
        <v>126</v>
      </c>
      <c r="BE162" s="3" t="s">
        <v>131</v>
      </c>
      <c r="BF162" s="3" t="s">
        <v>112</v>
      </c>
      <c r="BG162" s="3" t="s">
        <v>109</v>
      </c>
      <c r="BH162" s="3"/>
      <c r="BI162" s="3"/>
      <c r="BJ162" s="3"/>
      <c r="BK162" s="3"/>
      <c r="BL162" s="3"/>
      <c r="BM162" s="3" t="s">
        <v>112</v>
      </c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 t="s">
        <v>103</v>
      </c>
      <c r="CD162" s="3" t="s">
        <v>134</v>
      </c>
      <c r="CE162" s="3"/>
      <c r="CF162" s="3"/>
      <c r="CG162" s="3"/>
      <c r="CH162" s="3"/>
      <c r="CI162" s="3" t="s">
        <v>126</v>
      </c>
      <c r="CJ162" s="3" t="s">
        <v>149</v>
      </c>
      <c r="CK162" s="3" t="s">
        <v>106</v>
      </c>
      <c r="CL162" s="3"/>
      <c r="CM162" s="3"/>
      <c r="CN162" s="3"/>
      <c r="CO162" s="3" t="s">
        <v>149</v>
      </c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</row>
    <row r="163" ht="15.75" customHeight="1">
      <c r="A163" s="3" t="s">
        <v>126</v>
      </c>
      <c r="B163" s="3" t="s">
        <v>148</v>
      </c>
      <c r="C163" s="3" t="s">
        <v>104</v>
      </c>
      <c r="D163" s="3"/>
      <c r="E163" s="3" t="s">
        <v>103</v>
      </c>
      <c r="F163" s="3"/>
      <c r="G163" s="3"/>
      <c r="H163" s="3" t="s">
        <v>134</v>
      </c>
      <c r="I163" s="3"/>
      <c r="J163" s="3" t="s">
        <v>144</v>
      </c>
      <c r="K163" s="3"/>
      <c r="L163" s="3" t="s">
        <v>254</v>
      </c>
      <c r="M163" s="3" t="s">
        <v>224</v>
      </c>
      <c r="N163" s="3" t="s">
        <v>546</v>
      </c>
      <c r="O163" s="3" t="s">
        <v>166</v>
      </c>
      <c r="P163" s="3"/>
      <c r="Q163" s="3" t="s">
        <v>203</v>
      </c>
      <c r="R163" s="3" t="s">
        <v>188</v>
      </c>
      <c r="S163" s="3" t="s">
        <v>547</v>
      </c>
      <c r="T163" s="3" t="s">
        <v>140</v>
      </c>
      <c r="U163" s="3" t="s">
        <v>218</v>
      </c>
      <c r="V163" s="3" t="s">
        <v>131</v>
      </c>
      <c r="W163" s="3"/>
      <c r="X163" s="3"/>
      <c r="Y163" s="3" t="s">
        <v>129</v>
      </c>
      <c r="Z163" s="3"/>
      <c r="AA163" s="3"/>
      <c r="AB163" s="3" t="s">
        <v>112</v>
      </c>
      <c r="AC163" s="3" t="s">
        <v>129</v>
      </c>
      <c r="AD163" s="3" t="s">
        <v>112</v>
      </c>
      <c r="AE163" s="3"/>
      <c r="AF163" s="3" t="s">
        <v>119</v>
      </c>
      <c r="AG163" s="3" t="s">
        <v>103</v>
      </c>
      <c r="AH163" s="3"/>
      <c r="AI163" s="3"/>
      <c r="AJ163" s="3" t="s">
        <v>202</v>
      </c>
      <c r="AK163" s="3"/>
      <c r="AL163" s="3" t="s">
        <v>184</v>
      </c>
      <c r="AM163" s="3" t="s">
        <v>136</v>
      </c>
      <c r="AN163" s="3"/>
      <c r="AO163" s="3" t="s">
        <v>167</v>
      </c>
      <c r="AP163" s="3"/>
      <c r="AQ163" s="3"/>
      <c r="AR163" s="3"/>
      <c r="AS163" s="3"/>
      <c r="AT163" s="3" t="s">
        <v>140</v>
      </c>
      <c r="AU163" s="3" t="s">
        <v>548</v>
      </c>
      <c r="AV163" s="3" t="s">
        <v>126</v>
      </c>
      <c r="AW163" s="3" t="s">
        <v>235</v>
      </c>
      <c r="AX163" s="3" t="s">
        <v>119</v>
      </c>
      <c r="AY163" s="3" t="s">
        <v>154</v>
      </c>
      <c r="AZ163" s="3"/>
      <c r="BA163" s="3"/>
      <c r="BB163" s="3"/>
      <c r="BC163" s="3"/>
      <c r="BD163" s="3"/>
      <c r="BE163" s="3"/>
      <c r="BF163" s="3" t="s">
        <v>162</v>
      </c>
      <c r="BG163" s="3" t="s">
        <v>549</v>
      </c>
      <c r="BH163" s="3"/>
      <c r="BI163" s="3"/>
      <c r="BJ163" s="3"/>
      <c r="BK163" s="3"/>
      <c r="BL163" s="3" t="s">
        <v>112</v>
      </c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 t="s">
        <v>103</v>
      </c>
      <c r="CD163" s="3" t="s">
        <v>116</v>
      </c>
      <c r="CE163" s="3"/>
      <c r="CF163" s="3"/>
      <c r="CG163" s="3"/>
      <c r="CH163" s="3"/>
      <c r="CI163" s="3" t="s">
        <v>126</v>
      </c>
      <c r="CJ163" s="3" t="s">
        <v>149</v>
      </c>
      <c r="CK163" s="3" t="s">
        <v>203</v>
      </c>
      <c r="CL163" s="3"/>
      <c r="CM163" s="3"/>
      <c r="CN163" s="3"/>
      <c r="CO163" s="3" t="s">
        <v>144</v>
      </c>
      <c r="CP163" s="3"/>
      <c r="CQ163" s="3"/>
      <c r="CR163" s="3"/>
      <c r="CS163" s="3"/>
      <c r="CT163" s="3"/>
      <c r="CU163" s="3"/>
      <c r="CV163" s="3"/>
      <c r="CW163" s="3"/>
      <c r="CX163" s="3" t="s">
        <v>107</v>
      </c>
      <c r="CY163" s="3" t="s">
        <v>116</v>
      </c>
      <c r="CZ163" s="3"/>
      <c r="DA163" s="3"/>
      <c r="DB163" s="3"/>
    </row>
    <row r="164" ht="15.75" customHeight="1">
      <c r="A164" s="3" t="s">
        <v>119</v>
      </c>
      <c r="B164" s="3" t="s">
        <v>148</v>
      </c>
      <c r="C164" s="3" t="s">
        <v>104</v>
      </c>
      <c r="D164" s="3"/>
      <c r="E164" s="3" t="s">
        <v>103</v>
      </c>
      <c r="F164" s="3"/>
      <c r="G164" s="3"/>
      <c r="H164" s="3" t="s">
        <v>116</v>
      </c>
      <c r="I164" s="3" t="s">
        <v>169</v>
      </c>
      <c r="J164" s="3" t="s">
        <v>154</v>
      </c>
      <c r="K164" s="3"/>
      <c r="L164" s="3" t="s">
        <v>254</v>
      </c>
      <c r="M164" s="3" t="s">
        <v>135</v>
      </c>
      <c r="N164" s="3" t="s">
        <v>176</v>
      </c>
      <c r="O164" s="3" t="s">
        <v>119</v>
      </c>
      <c r="P164" s="3"/>
      <c r="Q164" s="3" t="s">
        <v>248</v>
      </c>
      <c r="R164" s="3" t="s">
        <v>174</v>
      </c>
      <c r="S164" s="3" t="s">
        <v>550</v>
      </c>
      <c r="T164" s="3" t="s">
        <v>219</v>
      </c>
      <c r="U164" s="3" t="s">
        <v>236</v>
      </c>
      <c r="V164" s="3" t="s">
        <v>219</v>
      </c>
      <c r="W164" s="3"/>
      <c r="X164" s="3"/>
      <c r="Y164" s="3" t="s">
        <v>119</v>
      </c>
      <c r="Z164" s="3"/>
      <c r="AA164" s="3"/>
      <c r="AB164" s="3" t="s">
        <v>152</v>
      </c>
      <c r="AC164" s="3" t="s">
        <v>132</v>
      </c>
      <c r="AD164" s="3" t="s">
        <v>184</v>
      </c>
      <c r="AE164" s="3"/>
      <c r="AF164" s="3" t="s">
        <v>103</v>
      </c>
      <c r="AG164" s="3"/>
      <c r="AH164" s="3"/>
      <c r="AI164" s="3" t="s">
        <v>551</v>
      </c>
      <c r="AJ164" s="3" t="s">
        <v>552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 t="s">
        <v>103</v>
      </c>
      <c r="AW164" s="3" t="s">
        <v>111</v>
      </c>
      <c r="AX164" s="3"/>
      <c r="AY164" s="3" t="s">
        <v>154</v>
      </c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 t="s">
        <v>119</v>
      </c>
      <c r="BK164" s="3" t="s">
        <v>149</v>
      </c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>
        <f>1/4</f>
        <v>0.25</v>
      </c>
      <c r="CD164" s="3" t="s">
        <v>144</v>
      </c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</row>
    <row r="165" ht="15.75" customHeight="1">
      <c r="A165" s="3" t="s">
        <v>129</v>
      </c>
      <c r="B165" s="3" t="s">
        <v>148</v>
      </c>
      <c r="C165" s="3" t="s">
        <v>104</v>
      </c>
      <c r="D165" s="3"/>
      <c r="E165" s="3" t="s">
        <v>103</v>
      </c>
      <c r="F165" s="3"/>
      <c r="G165" s="3"/>
      <c r="H165" s="3" t="s">
        <v>553</v>
      </c>
      <c r="I165" s="3" t="s">
        <v>154</v>
      </c>
      <c r="J165" s="3" t="s">
        <v>116</v>
      </c>
      <c r="K165" s="3"/>
      <c r="L165" s="3" t="s">
        <v>283</v>
      </c>
      <c r="M165" s="3" t="s">
        <v>113</v>
      </c>
      <c r="N165" s="3" t="s">
        <v>554</v>
      </c>
      <c r="O165" s="3" t="s">
        <v>144</v>
      </c>
      <c r="P165" s="3"/>
      <c r="Q165" s="3" t="s">
        <v>555</v>
      </c>
      <c r="R165" s="3" t="s">
        <v>153</v>
      </c>
      <c r="S165" s="3" t="s">
        <v>389</v>
      </c>
      <c r="T165" s="3" t="s">
        <v>131</v>
      </c>
      <c r="U165" s="3" t="s">
        <v>234</v>
      </c>
      <c r="V165" s="3" t="s">
        <v>131</v>
      </c>
      <c r="W165" s="3"/>
      <c r="X165" s="3"/>
      <c r="Y165" s="3" t="s">
        <v>111</v>
      </c>
      <c r="Z165" s="3"/>
      <c r="AA165" s="3" t="s">
        <v>126</v>
      </c>
      <c r="AB165" s="3" t="s">
        <v>112</v>
      </c>
      <c r="AC165" s="3" t="s">
        <v>152</v>
      </c>
      <c r="AD165" s="3" t="s">
        <v>127</v>
      </c>
      <c r="AE165" s="3" t="s">
        <v>184</v>
      </c>
      <c r="AF165" s="3" t="s">
        <v>162</v>
      </c>
      <c r="AG165" s="3"/>
      <c r="AH165" s="3"/>
      <c r="AI165" s="3"/>
      <c r="AJ165" s="3" t="s">
        <v>161</v>
      </c>
      <c r="AK165" s="3"/>
      <c r="AL165" s="3" t="s">
        <v>157</v>
      </c>
      <c r="AM165" s="3" t="s">
        <v>184</v>
      </c>
      <c r="AN165" s="3" t="s">
        <v>107</v>
      </c>
      <c r="AO165" s="3"/>
      <c r="AP165" s="3" t="s">
        <v>119</v>
      </c>
      <c r="AQ165" s="3"/>
      <c r="AR165" s="3" t="s">
        <v>126</v>
      </c>
      <c r="AS165" s="3"/>
      <c r="AT165" s="3" t="s">
        <v>157</v>
      </c>
      <c r="AU165" s="3" t="s">
        <v>263</v>
      </c>
      <c r="AV165" s="3" t="s">
        <v>126</v>
      </c>
      <c r="AW165" s="3" t="s">
        <v>166</v>
      </c>
      <c r="AX165" s="3" t="s">
        <v>103</v>
      </c>
      <c r="AY165" s="3" t="s">
        <v>154</v>
      </c>
      <c r="AZ165" s="3"/>
      <c r="BA165" s="3"/>
      <c r="BB165" s="3"/>
      <c r="BC165" s="3"/>
      <c r="BD165" s="3" t="s">
        <v>132</v>
      </c>
      <c r="BE165" s="3" t="s">
        <v>106</v>
      </c>
      <c r="BF165" s="3" t="s">
        <v>111</v>
      </c>
      <c r="BG165" s="3" t="s">
        <v>556</v>
      </c>
      <c r="BH165" s="3"/>
      <c r="BI165" s="3"/>
      <c r="BJ165" s="3" t="s">
        <v>132</v>
      </c>
      <c r="BK165" s="4" t="s">
        <v>509</v>
      </c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 t="s">
        <v>126</v>
      </c>
      <c r="CD165" s="3" t="s">
        <v>106</v>
      </c>
      <c r="CE165" s="3"/>
      <c r="CF165" s="3"/>
      <c r="CG165" s="3"/>
      <c r="CH165" s="3"/>
      <c r="CI165" s="3" t="s">
        <v>119</v>
      </c>
      <c r="CJ165" s="3" t="s">
        <v>154</v>
      </c>
      <c r="CK165" s="3" t="s">
        <v>135</v>
      </c>
      <c r="CL165" s="3"/>
      <c r="CM165" s="3"/>
      <c r="CN165" s="3"/>
      <c r="CO165" s="3" t="s">
        <v>154</v>
      </c>
      <c r="CP165" s="3"/>
      <c r="CQ165" s="3"/>
      <c r="CR165" s="3"/>
      <c r="CS165" s="3"/>
      <c r="CT165" s="3"/>
      <c r="CU165" s="3"/>
      <c r="CV165" s="3"/>
      <c r="CW165" s="3"/>
      <c r="CX165" s="3" t="s">
        <v>144</v>
      </c>
      <c r="CY165" s="3" t="s">
        <v>135</v>
      </c>
      <c r="CZ165" s="3"/>
      <c r="DA165" s="3"/>
      <c r="DB165" s="3"/>
    </row>
    <row r="166" ht="15.75" customHeight="1">
      <c r="A166" s="3" t="s">
        <v>132</v>
      </c>
      <c r="B166" s="3" t="s">
        <v>148</v>
      </c>
      <c r="C166" s="3" t="s">
        <v>104</v>
      </c>
      <c r="D166" s="3"/>
      <c r="E166" s="3" t="s">
        <v>103</v>
      </c>
      <c r="F166" s="3"/>
      <c r="G166" s="3"/>
      <c r="H166" s="3" t="s">
        <v>118</v>
      </c>
      <c r="I166" s="3" t="s">
        <v>250</v>
      </c>
      <c r="J166" s="3" t="s">
        <v>144</v>
      </c>
      <c r="K166" s="3" t="s">
        <v>111</v>
      </c>
      <c r="L166" s="3" t="s">
        <v>283</v>
      </c>
      <c r="M166" s="3" t="s">
        <v>106</v>
      </c>
      <c r="N166" s="3" t="s">
        <v>557</v>
      </c>
      <c r="O166" s="3" t="s">
        <v>144</v>
      </c>
      <c r="P166" s="3"/>
      <c r="Q166" s="3" t="s">
        <v>558</v>
      </c>
      <c r="R166" s="3" t="s">
        <v>149</v>
      </c>
      <c r="S166" s="3" t="s">
        <v>559</v>
      </c>
      <c r="T166" s="3" t="s">
        <v>135</v>
      </c>
      <c r="U166" s="3" t="s">
        <v>134</v>
      </c>
      <c r="V166" s="3" t="s">
        <v>135</v>
      </c>
      <c r="W166" s="3"/>
      <c r="X166" s="3"/>
      <c r="Y166" s="3" t="s">
        <v>162</v>
      </c>
      <c r="Z166" s="3"/>
      <c r="AA166" s="3"/>
      <c r="AB166" s="3" t="s">
        <v>184</v>
      </c>
      <c r="AC166" s="3" t="s">
        <v>192</v>
      </c>
      <c r="AD166" s="3" t="s">
        <v>184</v>
      </c>
      <c r="AE166" s="3"/>
      <c r="AF166" s="3" t="s">
        <v>132</v>
      </c>
      <c r="AG166" s="3" t="s">
        <v>103</v>
      </c>
      <c r="AH166" s="3"/>
      <c r="AI166" s="3"/>
      <c r="AJ166" s="3" t="s">
        <v>139</v>
      </c>
      <c r="AK166" s="3"/>
      <c r="AL166" s="3"/>
      <c r="AM166" s="3"/>
      <c r="AN166" s="3"/>
      <c r="AO166" s="3" t="s">
        <v>107</v>
      </c>
      <c r="AP166" s="3"/>
      <c r="AQ166" s="3"/>
      <c r="AR166" s="3"/>
      <c r="AS166" s="3"/>
      <c r="AT166" s="3"/>
      <c r="AU166" s="3"/>
      <c r="AV166" s="3" t="s">
        <v>103</v>
      </c>
      <c r="AW166" s="3" t="s">
        <v>112</v>
      </c>
      <c r="AX166" s="3"/>
      <c r="AY166" s="3" t="s">
        <v>154</v>
      </c>
      <c r="AZ166" s="3"/>
      <c r="BA166" s="3"/>
      <c r="BB166" s="3"/>
      <c r="BC166" s="3"/>
      <c r="BD166" s="3"/>
      <c r="BE166" s="3"/>
      <c r="BF166" s="3" t="s">
        <v>137</v>
      </c>
      <c r="BG166" s="3" t="s">
        <v>320</v>
      </c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>
        <f>3/4</f>
        <v>0.75</v>
      </c>
      <c r="CD166" s="3" t="s">
        <v>135</v>
      </c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 t="s">
        <v>166</v>
      </c>
      <c r="CY166" s="3" t="s">
        <v>169</v>
      </c>
      <c r="CZ166" s="3"/>
      <c r="DA166" s="3"/>
      <c r="DB166" s="3"/>
    </row>
    <row r="167" ht="15.75" customHeight="1">
      <c r="A167" s="3" t="s">
        <v>162</v>
      </c>
      <c r="B167" s="3" t="s">
        <v>148</v>
      </c>
      <c r="C167" s="3" t="s">
        <v>104</v>
      </c>
      <c r="D167" s="3"/>
      <c r="E167" s="3" t="s">
        <v>103</v>
      </c>
      <c r="F167" s="3"/>
      <c r="G167" s="3"/>
      <c r="H167" s="3" t="s">
        <v>560</v>
      </c>
      <c r="I167" s="3" t="s">
        <v>561</v>
      </c>
      <c r="J167" s="3" t="s">
        <v>167</v>
      </c>
      <c r="K167" s="3" t="s">
        <v>107</v>
      </c>
      <c r="L167" s="3" t="s">
        <v>465</v>
      </c>
      <c r="M167" s="3" t="s">
        <v>113</v>
      </c>
      <c r="N167" s="3" t="s">
        <v>562</v>
      </c>
      <c r="O167" s="3" t="s">
        <v>154</v>
      </c>
      <c r="P167" s="3"/>
      <c r="Q167" s="3" t="s">
        <v>563</v>
      </c>
      <c r="R167" s="3" t="s">
        <v>135</v>
      </c>
      <c r="S167" s="3" t="s">
        <v>564</v>
      </c>
      <c r="T167" s="3" t="s">
        <v>224</v>
      </c>
      <c r="U167" s="3" t="s">
        <v>565</v>
      </c>
      <c r="V167" s="3" t="s">
        <v>224</v>
      </c>
      <c r="W167" s="3"/>
      <c r="X167" s="3"/>
      <c r="Y167" s="3" t="s">
        <v>129</v>
      </c>
      <c r="Z167" s="3"/>
      <c r="AA167" s="3" t="s">
        <v>126</v>
      </c>
      <c r="AB167" s="3" t="s">
        <v>148</v>
      </c>
      <c r="AC167" s="3" t="s">
        <v>566</v>
      </c>
      <c r="AD167" s="3" t="s">
        <v>150</v>
      </c>
      <c r="AE167" s="3"/>
      <c r="AF167" s="3" t="s">
        <v>150</v>
      </c>
      <c r="AG167" s="3" t="s">
        <v>103</v>
      </c>
      <c r="AH167" s="3" t="s">
        <v>103</v>
      </c>
      <c r="AI167" s="3"/>
      <c r="AJ167" s="3" t="s">
        <v>244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 t="s">
        <v>126</v>
      </c>
      <c r="AW167" s="3" t="s">
        <v>107</v>
      </c>
      <c r="AX167" s="3"/>
      <c r="AY167" s="3" t="s">
        <v>105</v>
      </c>
      <c r="AZ167" s="3"/>
      <c r="BA167" s="3"/>
      <c r="BB167" s="3"/>
      <c r="BC167" s="3"/>
      <c r="BD167" s="3" t="s">
        <v>129</v>
      </c>
      <c r="BE167" s="3" t="s">
        <v>135</v>
      </c>
      <c r="BF167" s="3" t="s">
        <v>235</v>
      </c>
      <c r="BG167" s="3" t="s">
        <v>168</v>
      </c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>
        <f t="shared" ref="CC167:CC170" si="21">1/2</f>
        <v>0.5</v>
      </c>
      <c r="CD167" s="3" t="s">
        <v>131</v>
      </c>
      <c r="CE167" s="3"/>
      <c r="CF167" s="3"/>
      <c r="CG167" s="3"/>
      <c r="CH167" s="3"/>
      <c r="CI167" s="3" t="s">
        <v>103</v>
      </c>
      <c r="CJ167" s="3" t="s">
        <v>136</v>
      </c>
      <c r="CK167" s="3" t="s">
        <v>135</v>
      </c>
      <c r="CL167" s="3"/>
      <c r="CM167" s="3"/>
      <c r="CN167" s="3"/>
      <c r="CO167" s="3" t="s">
        <v>144</v>
      </c>
      <c r="CP167" s="3"/>
      <c r="CQ167" s="3"/>
      <c r="CR167" s="3"/>
      <c r="CS167" s="3"/>
      <c r="CT167" s="3"/>
      <c r="CU167" s="3"/>
      <c r="CV167" s="3"/>
      <c r="CW167" s="3"/>
      <c r="CX167" s="3" t="s">
        <v>144</v>
      </c>
      <c r="CY167" s="3" t="s">
        <v>131</v>
      </c>
      <c r="CZ167" s="3"/>
      <c r="DA167" s="3"/>
      <c r="DB167" s="3"/>
    </row>
    <row r="168" ht="15.75" customHeight="1">
      <c r="A168" s="3" t="s">
        <v>127</v>
      </c>
      <c r="B168" s="3" t="s">
        <v>148</v>
      </c>
      <c r="C168" s="3" t="s">
        <v>104</v>
      </c>
      <c r="D168" s="3"/>
      <c r="E168" s="3" t="s">
        <v>103</v>
      </c>
      <c r="F168" s="3"/>
      <c r="G168" s="3"/>
      <c r="H168" s="3" t="s">
        <v>169</v>
      </c>
      <c r="I168" s="3" t="s">
        <v>136</v>
      </c>
      <c r="J168" s="3" t="s">
        <v>144</v>
      </c>
      <c r="K168" s="3"/>
      <c r="L168" s="3" t="s">
        <v>142</v>
      </c>
      <c r="M168" s="3" t="s">
        <v>135</v>
      </c>
      <c r="N168" s="3" t="s">
        <v>567</v>
      </c>
      <c r="O168" s="3" t="s">
        <v>126</v>
      </c>
      <c r="P168" s="3"/>
      <c r="Q168" s="3" t="s">
        <v>568</v>
      </c>
      <c r="R168" s="3" t="s">
        <v>174</v>
      </c>
      <c r="S168" s="3" t="s">
        <v>569</v>
      </c>
      <c r="T168" s="3" t="s">
        <v>136</v>
      </c>
      <c r="U168" s="3" t="s">
        <v>169</v>
      </c>
      <c r="V168" s="3" t="s">
        <v>116</v>
      </c>
      <c r="W168" s="3"/>
      <c r="X168" s="3"/>
      <c r="Y168" s="3" t="s">
        <v>119</v>
      </c>
      <c r="Z168" s="3"/>
      <c r="AA168" s="3"/>
      <c r="AB168" s="3" t="s">
        <v>127</v>
      </c>
      <c r="AC168" s="3" t="s">
        <v>137</v>
      </c>
      <c r="AD168" s="3" t="s">
        <v>184</v>
      </c>
      <c r="AE168" s="3"/>
      <c r="AF168" s="3"/>
      <c r="AG168" s="3"/>
      <c r="AH168" s="3" t="s">
        <v>103</v>
      </c>
      <c r="AI168" s="3"/>
      <c r="AJ168" s="3" t="s">
        <v>202</v>
      </c>
      <c r="AK168" s="3"/>
      <c r="AL168" s="3" t="s">
        <v>149</v>
      </c>
      <c r="AM168" s="3" t="s">
        <v>184</v>
      </c>
      <c r="AN168" s="3"/>
      <c r="AO168" s="3" t="s">
        <v>126</v>
      </c>
      <c r="AP168" s="3"/>
      <c r="AQ168" s="3"/>
      <c r="AR168" s="3" t="s">
        <v>119</v>
      </c>
      <c r="AS168" s="3"/>
      <c r="AT168" s="3" t="s">
        <v>279</v>
      </c>
      <c r="AU168" s="3" t="s">
        <v>196</v>
      </c>
      <c r="AV168" s="3" t="s">
        <v>129</v>
      </c>
      <c r="AW168" s="3" t="s">
        <v>152</v>
      </c>
      <c r="AX168" s="3"/>
      <c r="AY168" s="3" t="s">
        <v>177</v>
      </c>
      <c r="AZ168" s="3"/>
      <c r="BA168" s="3"/>
      <c r="BB168" s="3"/>
      <c r="BC168" s="3"/>
      <c r="BD168" s="3" t="s">
        <v>126</v>
      </c>
      <c r="BE168" s="3" t="s">
        <v>144</v>
      </c>
      <c r="BF168" s="6">
        <f>3 + (1/2)</f>
        <v>3.5</v>
      </c>
      <c r="BG168" s="3" t="s">
        <v>570</v>
      </c>
      <c r="BH168" s="3"/>
      <c r="BI168" s="3"/>
      <c r="BJ168" s="3" t="s">
        <v>126</v>
      </c>
      <c r="BK168" s="3" t="s">
        <v>315</v>
      </c>
      <c r="BL168" s="3"/>
      <c r="BM168" s="3" t="s">
        <v>127</v>
      </c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>
        <f t="shared" si="21"/>
        <v>0.5</v>
      </c>
      <c r="CD168" s="3" t="s">
        <v>131</v>
      </c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 t="s">
        <v>132</v>
      </c>
      <c r="CY168" s="3" t="s">
        <v>166</v>
      </c>
      <c r="CZ168" s="3"/>
      <c r="DA168" s="3"/>
      <c r="DB168" s="3"/>
    </row>
    <row r="169" ht="15.75" customHeight="1">
      <c r="A169" s="3" t="s">
        <v>112</v>
      </c>
      <c r="B169" s="3" t="s">
        <v>148</v>
      </c>
      <c r="C169" s="3" t="s">
        <v>104</v>
      </c>
      <c r="D169" s="3"/>
      <c r="E169" s="3" t="s">
        <v>103</v>
      </c>
      <c r="F169" s="3"/>
      <c r="G169" s="3"/>
      <c r="H169" s="3" t="s">
        <v>333</v>
      </c>
      <c r="I169" s="3" t="s">
        <v>135</v>
      </c>
      <c r="J169" s="3" t="s">
        <v>149</v>
      </c>
      <c r="K169" s="3"/>
      <c r="L169" s="3" t="s">
        <v>571</v>
      </c>
      <c r="M169" s="3" t="s">
        <v>339</v>
      </c>
      <c r="N169" s="3" t="s">
        <v>431</v>
      </c>
      <c r="O169" s="3" t="s">
        <v>166</v>
      </c>
      <c r="P169" s="3"/>
      <c r="Q169" s="3" t="s">
        <v>318</v>
      </c>
      <c r="R169" s="3" t="s">
        <v>174</v>
      </c>
      <c r="S169" s="3" t="s">
        <v>572</v>
      </c>
      <c r="T169" s="3" t="s">
        <v>118</v>
      </c>
      <c r="U169" s="3" t="s">
        <v>125</v>
      </c>
      <c r="V169" s="3" t="s">
        <v>135</v>
      </c>
      <c r="W169" s="3"/>
      <c r="X169" s="3"/>
      <c r="Y169" s="3" t="s">
        <v>162</v>
      </c>
      <c r="Z169" s="3"/>
      <c r="AA169" s="3"/>
      <c r="AB169" s="3" t="s">
        <v>127</v>
      </c>
      <c r="AC169" s="3" t="s">
        <v>253</v>
      </c>
      <c r="AD169" s="3" t="s">
        <v>162</v>
      </c>
      <c r="AE169" s="3"/>
      <c r="AF169" s="3" t="s">
        <v>126</v>
      </c>
      <c r="AG169" s="3"/>
      <c r="AH169" s="3" t="s">
        <v>103</v>
      </c>
      <c r="AI169" s="3"/>
      <c r="AJ169" s="3" t="s">
        <v>187</v>
      </c>
      <c r="AK169" s="3"/>
      <c r="AL169" s="3" t="s">
        <v>144</v>
      </c>
      <c r="AM169" s="3" t="s">
        <v>162</v>
      </c>
      <c r="AN169" s="3"/>
      <c r="AO169" s="3"/>
      <c r="AP169" s="3"/>
      <c r="AQ169" s="3"/>
      <c r="AR169" s="3" t="s">
        <v>126</v>
      </c>
      <c r="AS169" s="3"/>
      <c r="AT169" s="3" t="s">
        <v>144</v>
      </c>
      <c r="AU169" s="3" t="s">
        <v>224</v>
      </c>
      <c r="AV169" s="3" t="s">
        <v>103</v>
      </c>
      <c r="AW169" s="3" t="s">
        <v>111</v>
      </c>
      <c r="AX169" s="3" t="s">
        <v>119</v>
      </c>
      <c r="AY169" s="3" t="s">
        <v>116</v>
      </c>
      <c r="AZ169" s="3"/>
      <c r="BA169" s="3"/>
      <c r="BB169" s="3"/>
      <c r="BC169" s="3"/>
      <c r="BD169" s="3" t="s">
        <v>103</v>
      </c>
      <c r="BE169" s="3" t="s">
        <v>154</v>
      </c>
      <c r="BF169" s="3" t="s">
        <v>126</v>
      </c>
      <c r="BG169" s="3" t="s">
        <v>116</v>
      </c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>
        <f t="shared" si="21"/>
        <v>0.5</v>
      </c>
      <c r="CD169" s="3" t="s">
        <v>116</v>
      </c>
      <c r="CE169" s="3"/>
      <c r="CF169" s="3"/>
      <c r="CG169" s="3"/>
      <c r="CH169" s="3"/>
      <c r="CI169" s="3" t="s">
        <v>129</v>
      </c>
      <c r="CJ169" s="3" t="s">
        <v>109</v>
      </c>
      <c r="CK169" s="3" t="s">
        <v>145</v>
      </c>
      <c r="CL169" s="3"/>
      <c r="CM169" s="3"/>
      <c r="CN169" s="3"/>
      <c r="CO169" s="3" t="s">
        <v>224</v>
      </c>
      <c r="CP169" s="3"/>
      <c r="CQ169" s="3"/>
      <c r="CR169" s="3"/>
      <c r="CS169" s="3"/>
      <c r="CT169" s="3"/>
      <c r="CU169" s="3"/>
      <c r="CV169" s="3"/>
      <c r="CW169" s="3"/>
      <c r="CX169" s="3" t="s">
        <v>107</v>
      </c>
      <c r="CY169" s="3" t="s">
        <v>116</v>
      </c>
      <c r="CZ169" s="3"/>
      <c r="DA169" s="3"/>
      <c r="DB169" s="3"/>
    </row>
    <row r="170" ht="15.75" customHeight="1">
      <c r="A170" s="3" t="s">
        <v>184</v>
      </c>
      <c r="B170" s="3" t="s">
        <v>148</v>
      </c>
      <c r="C170" s="3" t="s">
        <v>104</v>
      </c>
      <c r="D170" s="3"/>
      <c r="E170" s="3"/>
      <c r="F170" s="3"/>
      <c r="G170" s="3" t="s">
        <v>103</v>
      </c>
      <c r="H170" s="3" t="s">
        <v>131</v>
      </c>
      <c r="I170" s="3" t="s">
        <v>135</v>
      </c>
      <c r="J170" s="3" t="s">
        <v>132</v>
      </c>
      <c r="K170" s="3"/>
      <c r="L170" s="3" t="s">
        <v>330</v>
      </c>
      <c r="M170" s="3"/>
      <c r="N170" s="3" t="s">
        <v>161</v>
      </c>
      <c r="O170" s="3" t="s">
        <v>132</v>
      </c>
      <c r="P170" s="3"/>
      <c r="Q170" s="3" t="s">
        <v>106</v>
      </c>
      <c r="R170" s="3" t="s">
        <v>144</v>
      </c>
      <c r="S170" s="3" t="s">
        <v>573</v>
      </c>
      <c r="T170" s="3" t="s">
        <v>356</v>
      </c>
      <c r="U170" s="3" t="s">
        <v>553</v>
      </c>
      <c r="V170" s="3" t="s">
        <v>356</v>
      </c>
      <c r="W170" s="3"/>
      <c r="X170" s="3"/>
      <c r="Y170" s="3" t="s">
        <v>126</v>
      </c>
      <c r="Z170" s="3"/>
      <c r="AA170" s="3"/>
      <c r="AB170" s="3" t="s">
        <v>126</v>
      </c>
      <c r="AC170" s="3" t="s">
        <v>167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 t="s">
        <v>253</v>
      </c>
      <c r="AX170" s="3" t="s">
        <v>119</v>
      </c>
      <c r="AY170" s="3" t="s">
        <v>135</v>
      </c>
      <c r="AZ170" s="3"/>
      <c r="BA170" s="3"/>
      <c r="BB170" s="3" t="s">
        <v>126</v>
      </c>
      <c r="BC170" s="3" t="s">
        <v>144</v>
      </c>
      <c r="BD170" s="3"/>
      <c r="BE170" s="3"/>
      <c r="BF170" s="3" t="s">
        <v>162</v>
      </c>
      <c r="BG170" s="3" t="s">
        <v>113</v>
      </c>
      <c r="BH170" s="3"/>
      <c r="BI170" s="3"/>
      <c r="BJ170" s="3" t="s">
        <v>103</v>
      </c>
      <c r="BK170" s="3" t="s">
        <v>235</v>
      </c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>
        <f t="shared" si="21"/>
        <v>0.5</v>
      </c>
      <c r="CD170" s="3" t="s">
        <v>116</v>
      </c>
      <c r="CE170" s="3"/>
      <c r="CF170" s="3"/>
      <c r="CG170" s="3"/>
      <c r="CH170" s="3"/>
      <c r="CI170" s="3">
        <f>1/2</f>
        <v>0.5</v>
      </c>
      <c r="CJ170" s="3" t="s">
        <v>107</v>
      </c>
      <c r="CK170" s="3" t="s">
        <v>149</v>
      </c>
      <c r="CL170" s="3"/>
      <c r="CM170" s="3"/>
      <c r="CN170" s="3"/>
      <c r="CO170" s="3" t="s">
        <v>107</v>
      </c>
      <c r="CP170" s="3"/>
      <c r="CQ170" s="3"/>
      <c r="CR170" s="3"/>
      <c r="CS170" s="3"/>
      <c r="CT170" s="3"/>
      <c r="CU170" s="3"/>
      <c r="CV170" s="3"/>
      <c r="CW170" s="3"/>
      <c r="CX170" s="3" t="s">
        <v>137</v>
      </c>
      <c r="CY170" s="3" t="s">
        <v>136</v>
      </c>
      <c r="CZ170" s="3"/>
      <c r="DA170" s="3"/>
      <c r="DB170" s="3"/>
    </row>
    <row r="171" ht="15.75" customHeight="1">
      <c r="A171" s="3" t="s">
        <v>137</v>
      </c>
      <c r="B171" s="3" t="s">
        <v>148</v>
      </c>
      <c r="C171" s="3" t="s">
        <v>104</v>
      </c>
      <c r="D171" s="3"/>
      <c r="E171" s="3" t="s">
        <v>103</v>
      </c>
      <c r="F171" s="3"/>
      <c r="G171" s="3"/>
      <c r="H171" s="3" t="s">
        <v>109</v>
      </c>
      <c r="I171" s="3" t="s">
        <v>113</v>
      </c>
      <c r="J171" s="3" t="s">
        <v>135</v>
      </c>
      <c r="K171" s="3"/>
      <c r="L171" s="3" t="s">
        <v>574</v>
      </c>
      <c r="M171" s="3" t="s">
        <v>113</v>
      </c>
      <c r="N171" s="3" t="s">
        <v>575</v>
      </c>
      <c r="O171" s="3" t="s">
        <v>166</v>
      </c>
      <c r="P171" s="3"/>
      <c r="Q171" s="3" t="s">
        <v>239</v>
      </c>
      <c r="R171" s="3" t="s">
        <v>131</v>
      </c>
      <c r="S171" s="3" t="s">
        <v>576</v>
      </c>
      <c r="T171" s="3" t="s">
        <v>577</v>
      </c>
      <c r="U171" s="3" t="s">
        <v>578</v>
      </c>
      <c r="V171" s="3" t="s">
        <v>577</v>
      </c>
      <c r="W171" s="3"/>
      <c r="X171" s="3"/>
      <c r="Y171" s="3" t="s">
        <v>184</v>
      </c>
      <c r="Z171" s="3"/>
      <c r="AA171" s="3"/>
      <c r="AB171" s="3" t="s">
        <v>192</v>
      </c>
      <c r="AC171" s="3" t="s">
        <v>177</v>
      </c>
      <c r="AD171" s="3" t="s">
        <v>192</v>
      </c>
      <c r="AE171" s="3"/>
      <c r="AF171" s="3" t="s">
        <v>107</v>
      </c>
      <c r="AG171" s="3" t="s">
        <v>103</v>
      </c>
      <c r="AH171" s="3" t="s">
        <v>126</v>
      </c>
      <c r="AI171" s="3"/>
      <c r="AJ171" s="3" t="s">
        <v>238</v>
      </c>
      <c r="AK171" s="3"/>
      <c r="AL171" s="3" t="s">
        <v>118</v>
      </c>
      <c r="AM171" s="3" t="s">
        <v>212</v>
      </c>
      <c r="AN171" s="3"/>
      <c r="AO171" s="3" t="s">
        <v>296</v>
      </c>
      <c r="AP171" s="3" t="s">
        <v>129</v>
      </c>
      <c r="AQ171" s="3"/>
      <c r="AR171" s="3" t="s">
        <v>119</v>
      </c>
      <c r="AS171" s="3"/>
      <c r="AT171" s="3" t="s">
        <v>118</v>
      </c>
      <c r="AU171" s="3" t="s">
        <v>579</v>
      </c>
      <c r="AV171" s="3" t="s">
        <v>127</v>
      </c>
      <c r="AW171" s="3" t="s">
        <v>154</v>
      </c>
      <c r="AX171" s="3" t="s">
        <v>129</v>
      </c>
      <c r="AY171" s="3" t="s">
        <v>109</v>
      </c>
      <c r="AZ171" s="3" t="s">
        <v>132</v>
      </c>
      <c r="BA171" s="3" t="s">
        <v>106</v>
      </c>
      <c r="BB171" s="3"/>
      <c r="BC171" s="3"/>
      <c r="BD171" s="3" t="s">
        <v>129</v>
      </c>
      <c r="BE171" s="3" t="s">
        <v>106</v>
      </c>
      <c r="BF171" s="3" t="s">
        <v>107</v>
      </c>
      <c r="BG171" s="3" t="s">
        <v>187</v>
      </c>
      <c r="BH171" s="3"/>
      <c r="BI171" s="3"/>
      <c r="BJ171" s="3" t="s">
        <v>126</v>
      </c>
      <c r="BK171" s="3" t="s">
        <v>154</v>
      </c>
      <c r="BL171" s="3" t="s">
        <v>149</v>
      </c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 t="s">
        <v>103</v>
      </c>
      <c r="CD171" s="4" t="s">
        <v>166</v>
      </c>
      <c r="CE171" s="3"/>
      <c r="CF171" s="3"/>
      <c r="CG171" s="3"/>
      <c r="CH171" s="3"/>
      <c r="CI171" s="3" t="s">
        <v>119</v>
      </c>
      <c r="CJ171" s="3" t="s">
        <v>135</v>
      </c>
      <c r="CK171" s="3" t="s">
        <v>147</v>
      </c>
      <c r="CL171" s="3"/>
      <c r="CM171" s="3"/>
      <c r="CN171" s="3"/>
      <c r="CO171" s="3" t="s">
        <v>109</v>
      </c>
      <c r="CP171" s="3"/>
      <c r="CQ171" s="3"/>
      <c r="CR171" s="3"/>
      <c r="CS171" s="3"/>
      <c r="CT171" s="3"/>
      <c r="CU171" s="3"/>
      <c r="CV171" s="3" t="s">
        <v>131</v>
      </c>
      <c r="CW171" s="3" t="s">
        <v>122</v>
      </c>
      <c r="CX171" s="3" t="s">
        <v>136</v>
      </c>
      <c r="CY171" s="3" t="s">
        <v>270</v>
      </c>
      <c r="CZ171" s="3"/>
      <c r="DA171" s="3"/>
      <c r="DB171" s="3"/>
    </row>
    <row r="172" ht="15.75" customHeight="1">
      <c r="A172" s="3" t="s">
        <v>103</v>
      </c>
      <c r="B172" s="3" t="s">
        <v>121</v>
      </c>
      <c r="C172" s="3" t="s">
        <v>104</v>
      </c>
      <c r="D172" s="3"/>
      <c r="E172" s="3" t="s">
        <v>103</v>
      </c>
      <c r="F172" s="3"/>
      <c r="G172" s="3"/>
      <c r="H172" s="3" t="s">
        <v>166</v>
      </c>
      <c r="I172" s="3"/>
      <c r="J172" s="3"/>
      <c r="K172" s="3" t="s">
        <v>107</v>
      </c>
      <c r="L172" s="3" t="s">
        <v>202</v>
      </c>
      <c r="M172" s="3" t="s">
        <v>154</v>
      </c>
      <c r="N172" s="3" t="s">
        <v>241</v>
      </c>
      <c r="O172" s="3" t="s">
        <v>132</v>
      </c>
      <c r="P172" s="3"/>
      <c r="Q172" s="3" t="s">
        <v>137</v>
      </c>
      <c r="R172" s="3" t="s">
        <v>126</v>
      </c>
      <c r="S172" s="3" t="s">
        <v>580</v>
      </c>
      <c r="T172" s="3" t="s">
        <v>127</v>
      </c>
      <c r="U172" s="3" t="s">
        <v>112</v>
      </c>
      <c r="V172" s="3" t="s">
        <v>111</v>
      </c>
      <c r="W172" s="3"/>
      <c r="X172" s="3"/>
      <c r="Y172" s="3" t="s">
        <v>126</v>
      </c>
      <c r="Z172" s="3"/>
      <c r="AA172" s="3"/>
      <c r="AB172" s="3" t="s">
        <v>119</v>
      </c>
      <c r="AC172" s="3" t="s">
        <v>103</v>
      </c>
      <c r="AD172" s="3" t="s">
        <v>119</v>
      </c>
      <c r="AE172" s="3"/>
      <c r="AF172" s="3" t="s">
        <v>126</v>
      </c>
      <c r="AG172" s="3"/>
      <c r="AH172" s="3"/>
      <c r="AI172" s="3"/>
      <c r="AJ172" s="3" t="s">
        <v>239</v>
      </c>
      <c r="AK172" s="3"/>
      <c r="AL172" s="3" t="s">
        <v>152</v>
      </c>
      <c r="AM172" s="3" t="s">
        <v>137</v>
      </c>
      <c r="AN172" s="3"/>
      <c r="AO172" s="3" t="s">
        <v>112</v>
      </c>
      <c r="AP172" s="3"/>
      <c r="AQ172" s="3"/>
      <c r="AR172" s="3" t="s">
        <v>103</v>
      </c>
      <c r="AS172" s="3"/>
      <c r="AT172" s="3" t="s">
        <v>127</v>
      </c>
      <c r="AU172" s="3" t="s">
        <v>368</v>
      </c>
      <c r="AV172" s="3" t="s">
        <v>103</v>
      </c>
      <c r="AW172" s="3" t="s">
        <v>166</v>
      </c>
      <c r="AX172" s="3" t="s">
        <v>126</v>
      </c>
      <c r="AY172" s="4" t="s">
        <v>128</v>
      </c>
      <c r="AZ172" s="3"/>
      <c r="BA172" s="3"/>
      <c r="BB172" s="3"/>
      <c r="BC172" s="3"/>
      <c r="BD172" s="3" t="s">
        <v>126</v>
      </c>
      <c r="BE172" s="3" t="s">
        <v>211</v>
      </c>
      <c r="BF172" s="3" t="s">
        <v>126</v>
      </c>
      <c r="BG172" s="3" t="s">
        <v>219</v>
      </c>
      <c r="BH172" s="3" t="s">
        <v>103</v>
      </c>
      <c r="BI172" s="3" t="s">
        <v>122</v>
      </c>
      <c r="BJ172" s="3" t="s">
        <v>103</v>
      </c>
      <c r="BK172" s="3" t="s">
        <v>121</v>
      </c>
      <c r="BL172" s="3" t="s">
        <v>166</v>
      </c>
      <c r="BM172" s="3" t="s">
        <v>129</v>
      </c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>
        <f>1/2</f>
        <v>0.5</v>
      </c>
      <c r="CD172" s="3" t="s">
        <v>149</v>
      </c>
      <c r="CE172" s="3"/>
      <c r="CF172" s="3"/>
      <c r="CG172" s="3"/>
      <c r="CH172" s="3"/>
      <c r="CI172" s="3">
        <f>1/2</f>
        <v>0.5</v>
      </c>
      <c r="CJ172" s="3" t="s">
        <v>137</v>
      </c>
      <c r="CK172" s="3" t="s">
        <v>154</v>
      </c>
      <c r="CL172" s="3"/>
      <c r="CM172" s="3"/>
      <c r="CN172" s="3" t="s">
        <v>144</v>
      </c>
      <c r="CO172" s="3"/>
      <c r="CP172" s="3"/>
      <c r="CQ172" s="3"/>
      <c r="CR172" s="3"/>
      <c r="CS172" s="3"/>
      <c r="CT172" s="3"/>
      <c r="CU172" s="3"/>
      <c r="CV172" s="3" t="s">
        <v>106</v>
      </c>
      <c r="CW172" s="3" t="s">
        <v>153</v>
      </c>
      <c r="CX172" s="3" t="s">
        <v>111</v>
      </c>
      <c r="CY172" s="3" t="s">
        <v>177</v>
      </c>
      <c r="CZ172" s="3"/>
      <c r="DA172" s="3"/>
      <c r="DB172" s="3"/>
    </row>
    <row r="173" ht="15.75" customHeight="1">
      <c r="A173" s="3" t="s">
        <v>126</v>
      </c>
      <c r="B173" s="3" t="s">
        <v>121</v>
      </c>
      <c r="C173" s="3" t="s">
        <v>104</v>
      </c>
      <c r="D173" s="3"/>
      <c r="E173" s="3" t="s">
        <v>103</v>
      </c>
      <c r="F173" s="3"/>
      <c r="G173" s="3"/>
      <c r="H173" s="3" t="s">
        <v>178</v>
      </c>
      <c r="I173" s="3"/>
      <c r="J173" s="3" t="s">
        <v>129</v>
      </c>
      <c r="K173" s="3" t="s">
        <v>129</v>
      </c>
      <c r="L173" s="3" t="s">
        <v>187</v>
      </c>
      <c r="M173" s="3" t="s">
        <v>154</v>
      </c>
      <c r="N173" s="3" t="s">
        <v>224</v>
      </c>
      <c r="O173" s="3" t="s">
        <v>137</v>
      </c>
      <c r="P173" s="3"/>
      <c r="Q173" s="3" t="s">
        <v>111</v>
      </c>
      <c r="R173" s="3" t="s">
        <v>126</v>
      </c>
      <c r="S173" s="3" t="s">
        <v>558</v>
      </c>
      <c r="T173" s="3" t="s">
        <v>111</v>
      </c>
      <c r="U173" s="3" t="s">
        <v>107</v>
      </c>
      <c r="V173" s="3" t="s">
        <v>166</v>
      </c>
      <c r="W173" s="3"/>
      <c r="X173" s="3"/>
      <c r="Y173" s="3" t="s">
        <v>103</v>
      </c>
      <c r="Z173" s="3"/>
      <c r="AA173" s="3"/>
      <c r="AB173" s="3" t="s">
        <v>132</v>
      </c>
      <c r="AC173" s="3" t="s">
        <v>103</v>
      </c>
      <c r="AD173" s="3" t="s">
        <v>132</v>
      </c>
      <c r="AE173" s="3"/>
      <c r="AF173" s="3" t="s">
        <v>103</v>
      </c>
      <c r="AG173" s="3"/>
      <c r="AH173" s="3"/>
      <c r="AI173" s="3"/>
      <c r="AJ173" s="3" t="s">
        <v>176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 t="s">
        <v>103</v>
      </c>
      <c r="AW173" s="3" t="s">
        <v>107</v>
      </c>
      <c r="AX173" s="3"/>
      <c r="AY173" s="3" t="s">
        <v>106</v>
      </c>
      <c r="AZ173" s="3"/>
      <c r="BA173" s="3"/>
      <c r="BB173" s="3"/>
      <c r="BC173" s="3"/>
      <c r="BD173" s="3" t="s">
        <v>103</v>
      </c>
      <c r="BE173" s="3" t="s">
        <v>136</v>
      </c>
      <c r="BF173" s="3" t="s">
        <v>126</v>
      </c>
      <c r="BG173" s="3" t="s">
        <v>105</v>
      </c>
      <c r="BH173" s="5">
        <f>1 + (1/2)</f>
        <v>1.5</v>
      </c>
      <c r="BI173" s="3" t="s">
        <v>107</v>
      </c>
      <c r="BJ173" s="3">
        <f>1/2</f>
        <v>0.5</v>
      </c>
      <c r="BK173" s="3" t="s">
        <v>137</v>
      </c>
      <c r="BL173" s="3" t="s">
        <v>137</v>
      </c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>
        <f>1/4</f>
        <v>0.25</v>
      </c>
      <c r="CD173" s="3" t="s">
        <v>144</v>
      </c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 t="s">
        <v>112</v>
      </c>
      <c r="CY173" s="3" t="s">
        <v>237</v>
      </c>
      <c r="CZ173" s="3"/>
      <c r="DA173" s="3"/>
      <c r="DB173" s="3"/>
    </row>
    <row r="174" ht="15.75" customHeight="1">
      <c r="A174" s="3" t="s">
        <v>119</v>
      </c>
      <c r="B174" s="3" t="s">
        <v>121</v>
      </c>
      <c r="C174" s="3" t="s">
        <v>104</v>
      </c>
      <c r="D174" s="3"/>
      <c r="E174" s="3" t="s">
        <v>103</v>
      </c>
      <c r="F174" s="3"/>
      <c r="G174" s="3"/>
      <c r="H174" s="3" t="s">
        <v>395</v>
      </c>
      <c r="I174" s="3" t="s">
        <v>154</v>
      </c>
      <c r="J174" s="3" t="s">
        <v>111</v>
      </c>
      <c r="K174" s="3"/>
      <c r="L174" s="3" t="s">
        <v>316</v>
      </c>
      <c r="M174" s="3" t="s">
        <v>109</v>
      </c>
      <c r="N174" s="3" t="s">
        <v>581</v>
      </c>
      <c r="O174" s="3" t="s">
        <v>132</v>
      </c>
      <c r="P174" s="3"/>
      <c r="Q174" s="3" t="s">
        <v>203</v>
      </c>
      <c r="R174" s="3" t="s">
        <v>188</v>
      </c>
      <c r="S174" s="3" t="s">
        <v>582</v>
      </c>
      <c r="T174" s="3" t="s">
        <v>136</v>
      </c>
      <c r="U174" s="3" t="s">
        <v>364</v>
      </c>
      <c r="V174" s="3" t="s">
        <v>149</v>
      </c>
      <c r="W174" s="3"/>
      <c r="X174" s="3"/>
      <c r="Y174" s="4" t="s">
        <v>119</v>
      </c>
      <c r="Z174" s="3"/>
      <c r="AA174" s="3"/>
      <c r="AB174" s="3" t="s">
        <v>132</v>
      </c>
      <c r="AC174" s="3" t="s">
        <v>162</v>
      </c>
      <c r="AD174" s="3" t="s">
        <v>127</v>
      </c>
      <c r="AE174" s="3" t="s">
        <v>126</v>
      </c>
      <c r="AF174" s="3" t="s">
        <v>119</v>
      </c>
      <c r="AG174" s="3"/>
      <c r="AH174" s="3"/>
      <c r="AI174" s="3"/>
      <c r="AJ174" s="3" t="s">
        <v>187</v>
      </c>
      <c r="AK174" s="3"/>
      <c r="AL174" s="3" t="s">
        <v>107</v>
      </c>
      <c r="AM174" s="3" t="s">
        <v>119</v>
      </c>
      <c r="AN174" s="3"/>
      <c r="AO174" s="3"/>
      <c r="AP174" s="3" t="s">
        <v>103</v>
      </c>
      <c r="AQ174" s="3" t="s">
        <v>103</v>
      </c>
      <c r="AR174" s="3"/>
      <c r="AS174" s="3"/>
      <c r="AT174" s="3" t="s">
        <v>166</v>
      </c>
      <c r="AU174" s="3" t="s">
        <v>118</v>
      </c>
      <c r="AV174" s="3" t="s">
        <v>103</v>
      </c>
      <c r="AW174" s="3" t="s">
        <v>122</v>
      </c>
      <c r="AX174" s="3"/>
      <c r="AY174" s="3" t="s">
        <v>116</v>
      </c>
      <c r="AZ174" s="3"/>
      <c r="BA174" s="3"/>
      <c r="BB174" s="3"/>
      <c r="BC174" s="3"/>
      <c r="BD174" s="3" t="s">
        <v>103</v>
      </c>
      <c r="BE174" s="3" t="s">
        <v>149</v>
      </c>
      <c r="BF174" s="3" t="s">
        <v>119</v>
      </c>
      <c r="BG174" s="3" t="s">
        <v>135</v>
      </c>
      <c r="BH174" s="3" t="s">
        <v>126</v>
      </c>
      <c r="BI174" s="3" t="s">
        <v>136</v>
      </c>
      <c r="BJ174" s="3" t="s">
        <v>103</v>
      </c>
      <c r="BK174" s="3" t="s">
        <v>144</v>
      </c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>
        <f>1/2</f>
        <v>0.5</v>
      </c>
      <c r="CD174" s="3" t="s">
        <v>149</v>
      </c>
      <c r="CE174" s="3"/>
      <c r="CF174" s="3"/>
      <c r="CG174" s="3"/>
      <c r="CH174" s="3"/>
      <c r="CI174" s="3" t="s">
        <v>103</v>
      </c>
      <c r="CJ174" s="3" t="s">
        <v>136</v>
      </c>
      <c r="CK174" s="3" t="s">
        <v>135</v>
      </c>
      <c r="CL174" s="3"/>
      <c r="CM174" s="3"/>
      <c r="CN174" s="3" t="s">
        <v>166</v>
      </c>
      <c r="CO174" s="3"/>
      <c r="CP174" s="3"/>
      <c r="CQ174" s="3"/>
      <c r="CR174" s="3"/>
      <c r="CS174" s="3"/>
      <c r="CT174" s="3"/>
      <c r="CU174" s="3"/>
      <c r="CV174" s="3"/>
      <c r="CW174" s="3"/>
      <c r="CX174" s="3" t="s">
        <v>136</v>
      </c>
      <c r="CY174" s="3" t="s">
        <v>270</v>
      </c>
      <c r="CZ174" s="3"/>
      <c r="DA174" s="3"/>
      <c r="DB174" s="3"/>
    </row>
    <row r="175" ht="15.75" customHeight="1">
      <c r="A175" s="3" t="s">
        <v>129</v>
      </c>
      <c r="B175" s="3" t="s">
        <v>121</v>
      </c>
      <c r="C175" s="3" t="s">
        <v>104</v>
      </c>
      <c r="D175" s="3"/>
      <c r="E175" s="3" t="s">
        <v>103</v>
      </c>
      <c r="F175" s="3"/>
      <c r="G175" s="3"/>
      <c r="H175" s="3" t="s">
        <v>203</v>
      </c>
      <c r="I175" s="3"/>
      <c r="J175" s="3" t="s">
        <v>144</v>
      </c>
      <c r="K175" s="3"/>
      <c r="L175" s="3" t="s">
        <v>475</v>
      </c>
      <c r="M175" s="3" t="s">
        <v>203</v>
      </c>
      <c r="N175" s="3" t="s">
        <v>583</v>
      </c>
      <c r="O175" s="3" t="s">
        <v>154</v>
      </c>
      <c r="P175" s="3"/>
      <c r="Q175" s="3" t="s">
        <v>584</v>
      </c>
      <c r="R175" s="3" t="s">
        <v>188</v>
      </c>
      <c r="S175" s="3" t="s">
        <v>585</v>
      </c>
      <c r="T175" s="3" t="s">
        <v>135</v>
      </c>
      <c r="U175" s="3" t="s">
        <v>106</v>
      </c>
      <c r="V175" s="3" t="s">
        <v>128</v>
      </c>
      <c r="W175" s="3"/>
      <c r="X175" s="3"/>
      <c r="Y175" s="3" t="s">
        <v>129</v>
      </c>
      <c r="Z175" s="3"/>
      <c r="AA175" s="3"/>
      <c r="AB175" s="3" t="s">
        <v>152</v>
      </c>
      <c r="AC175" s="3" t="s">
        <v>237</v>
      </c>
      <c r="AD175" s="3" t="s">
        <v>111</v>
      </c>
      <c r="AE175" s="3" t="s">
        <v>132</v>
      </c>
      <c r="AF175" s="3" t="s">
        <v>122</v>
      </c>
      <c r="AG175" s="3" t="s">
        <v>103</v>
      </c>
      <c r="AH175" s="3"/>
      <c r="AI175" s="3"/>
      <c r="AJ175" s="3" t="s">
        <v>423</v>
      </c>
      <c r="AK175" s="3"/>
      <c r="AL175" s="3" t="s">
        <v>219</v>
      </c>
      <c r="AM175" s="3" t="s">
        <v>107</v>
      </c>
      <c r="AN175" s="3"/>
      <c r="AO175" s="3"/>
      <c r="AP175" s="3"/>
      <c r="AQ175" s="3"/>
      <c r="AR175" s="3" t="s">
        <v>103</v>
      </c>
      <c r="AS175" s="3"/>
      <c r="AT175" s="3" t="s">
        <v>141</v>
      </c>
      <c r="AU175" s="3" t="s">
        <v>586</v>
      </c>
      <c r="AV175" s="3" t="s">
        <v>132</v>
      </c>
      <c r="AW175" s="3" t="s">
        <v>121</v>
      </c>
      <c r="AX175" s="3"/>
      <c r="AY175" s="3" t="s">
        <v>131</v>
      </c>
      <c r="AZ175" s="3" t="s">
        <v>126</v>
      </c>
      <c r="BA175" s="3" t="s">
        <v>149</v>
      </c>
      <c r="BB175" s="3"/>
      <c r="BC175" s="3"/>
      <c r="BD175" s="3"/>
      <c r="BE175" s="3"/>
      <c r="BF175" s="3" t="s">
        <v>162</v>
      </c>
      <c r="BG175" s="3" t="s">
        <v>241</v>
      </c>
      <c r="BH175" s="3"/>
      <c r="BI175" s="3"/>
      <c r="BJ175" s="3" t="s">
        <v>103</v>
      </c>
      <c r="BK175" s="3" t="s">
        <v>296</v>
      </c>
      <c r="BL175" s="3" t="s">
        <v>149</v>
      </c>
      <c r="BM175" s="3" t="s">
        <v>129</v>
      </c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 t="s">
        <v>103</v>
      </c>
      <c r="CD175" s="3" t="s">
        <v>106</v>
      </c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 t="s">
        <v>132</v>
      </c>
      <c r="CY175" s="3" t="s">
        <v>166</v>
      </c>
      <c r="CZ175" s="3"/>
      <c r="DA175" s="3"/>
      <c r="DB175" s="3"/>
    </row>
    <row r="176" ht="15.75" customHeight="1">
      <c r="A176" s="3" t="s">
        <v>132</v>
      </c>
      <c r="B176" s="3" t="s">
        <v>121</v>
      </c>
      <c r="C176" s="3" t="s">
        <v>104</v>
      </c>
      <c r="D176" s="3"/>
      <c r="E176" s="3" t="s">
        <v>103</v>
      </c>
      <c r="F176" s="3"/>
      <c r="G176" s="3"/>
      <c r="H176" s="3" t="s">
        <v>250</v>
      </c>
      <c r="I176" s="3" t="s">
        <v>131</v>
      </c>
      <c r="J176" s="3" t="s">
        <v>107</v>
      </c>
      <c r="K176" s="3"/>
      <c r="L176" s="3" t="s">
        <v>283</v>
      </c>
      <c r="M176" s="3" t="s">
        <v>145</v>
      </c>
      <c r="N176" s="3" t="s">
        <v>587</v>
      </c>
      <c r="O176" s="3" t="s">
        <v>144</v>
      </c>
      <c r="P176" s="3"/>
      <c r="Q176" s="3" t="s">
        <v>588</v>
      </c>
      <c r="R176" s="3" t="s">
        <v>274</v>
      </c>
      <c r="S176" s="3" t="s">
        <v>589</v>
      </c>
      <c r="T176" s="3" t="s">
        <v>131</v>
      </c>
      <c r="U176" s="3" t="s">
        <v>250</v>
      </c>
      <c r="V176" s="3" t="s">
        <v>154</v>
      </c>
      <c r="W176" s="3"/>
      <c r="X176" s="3"/>
      <c r="Y176" s="3" t="s">
        <v>112</v>
      </c>
      <c r="Z176" s="3"/>
      <c r="AA176" s="3"/>
      <c r="AB176" s="3" t="s">
        <v>162</v>
      </c>
      <c r="AC176" s="3" t="s">
        <v>192</v>
      </c>
      <c r="AD176" s="3" t="s">
        <v>127</v>
      </c>
      <c r="AE176" s="3"/>
      <c r="AF176" s="3" t="s">
        <v>112</v>
      </c>
      <c r="AG176" s="3" t="s">
        <v>103</v>
      </c>
      <c r="AH176" s="3"/>
      <c r="AI176" s="3"/>
      <c r="AJ176" s="3" t="s">
        <v>286</v>
      </c>
      <c r="AK176" s="3"/>
      <c r="AL176" s="3" t="s">
        <v>211</v>
      </c>
      <c r="AM176" s="3" t="s">
        <v>402</v>
      </c>
      <c r="AN176" s="3"/>
      <c r="AO176" s="3" t="s">
        <v>131</v>
      </c>
      <c r="AP176" s="3" t="s">
        <v>126</v>
      </c>
      <c r="AQ176" s="3"/>
      <c r="AR176" s="3" t="s">
        <v>119</v>
      </c>
      <c r="AS176" s="3"/>
      <c r="AT176" s="3" t="s">
        <v>211</v>
      </c>
      <c r="AU176" s="3" t="s">
        <v>590</v>
      </c>
      <c r="AV176" s="3" t="s">
        <v>184</v>
      </c>
      <c r="AW176" s="3" t="s">
        <v>111</v>
      </c>
      <c r="AX176" s="3"/>
      <c r="AY176" s="3" t="s">
        <v>116</v>
      </c>
      <c r="AZ176" s="3" t="s">
        <v>103</v>
      </c>
      <c r="BA176" s="3" t="s">
        <v>167</v>
      </c>
      <c r="BB176" s="3"/>
      <c r="BC176" s="3"/>
      <c r="BD176" s="3" t="s">
        <v>103</v>
      </c>
      <c r="BE176" s="3" t="s">
        <v>154</v>
      </c>
      <c r="BF176" s="3" t="s">
        <v>137</v>
      </c>
      <c r="BG176" s="3" t="s">
        <v>191</v>
      </c>
      <c r="BH176" s="3" t="s">
        <v>126</v>
      </c>
      <c r="BI176" s="3" t="s">
        <v>136</v>
      </c>
      <c r="BJ176" s="3" t="s">
        <v>126</v>
      </c>
      <c r="BK176" s="3" t="s">
        <v>136</v>
      </c>
      <c r="BL176" s="3" t="s">
        <v>166</v>
      </c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 t="s">
        <v>103</v>
      </c>
      <c r="CD176" s="3" t="s">
        <v>135</v>
      </c>
      <c r="CE176" s="3"/>
      <c r="CF176" s="3"/>
      <c r="CG176" s="3"/>
      <c r="CH176" s="3"/>
      <c r="CI176" s="3" t="s">
        <v>126</v>
      </c>
      <c r="CJ176" s="3" t="s">
        <v>131</v>
      </c>
      <c r="CK176" s="3" t="s">
        <v>109</v>
      </c>
      <c r="CL176" s="3"/>
      <c r="CM176" s="3"/>
      <c r="CN176" s="3" t="s">
        <v>149</v>
      </c>
      <c r="CO176" s="3"/>
      <c r="CP176" s="3"/>
      <c r="CQ176" s="3"/>
      <c r="CR176" s="3"/>
      <c r="CS176" s="3"/>
      <c r="CT176" s="3"/>
      <c r="CU176" s="3"/>
      <c r="CV176" s="3"/>
      <c r="CW176" s="3"/>
      <c r="CX176" s="3" t="s">
        <v>137</v>
      </c>
      <c r="CY176" s="3" t="s">
        <v>136</v>
      </c>
      <c r="CZ176" s="3"/>
      <c r="DA176" s="3"/>
      <c r="DB176" s="3"/>
    </row>
    <row r="177" ht="15.75" customHeight="1">
      <c r="A177" s="3" t="s">
        <v>162</v>
      </c>
      <c r="B177" s="3" t="s">
        <v>121</v>
      </c>
      <c r="C177" s="3" t="s">
        <v>104</v>
      </c>
      <c r="D177" s="3"/>
      <c r="E177" s="3" t="s">
        <v>103</v>
      </c>
      <c r="F177" s="3"/>
      <c r="G177" s="3"/>
      <c r="H177" s="3" t="s">
        <v>105</v>
      </c>
      <c r="I177" s="3" t="s">
        <v>105</v>
      </c>
      <c r="J177" s="3" t="s">
        <v>107</v>
      </c>
      <c r="K177" s="3"/>
      <c r="L177" s="3" t="s">
        <v>254</v>
      </c>
      <c r="M177" s="3" t="s">
        <v>109</v>
      </c>
      <c r="N177" s="3" t="s">
        <v>344</v>
      </c>
      <c r="O177" s="3" t="s">
        <v>136</v>
      </c>
      <c r="P177" s="3"/>
      <c r="Q177" s="3" t="s">
        <v>591</v>
      </c>
      <c r="R177" s="3" t="s">
        <v>174</v>
      </c>
      <c r="S177" s="3" t="s">
        <v>592</v>
      </c>
      <c r="T177" s="3" t="s">
        <v>105</v>
      </c>
      <c r="U177" s="3" t="s">
        <v>105</v>
      </c>
      <c r="V177" s="3" t="s">
        <v>105</v>
      </c>
      <c r="W177" s="3"/>
      <c r="X177" s="3"/>
      <c r="Y177" s="3" t="s">
        <v>127</v>
      </c>
      <c r="Z177" s="3"/>
      <c r="AA177" s="3"/>
      <c r="AB177" s="3" t="s">
        <v>137</v>
      </c>
      <c r="AC177" s="3" t="s">
        <v>137</v>
      </c>
      <c r="AD177" s="3" t="s">
        <v>112</v>
      </c>
      <c r="AE177" s="3" t="s">
        <v>103</v>
      </c>
      <c r="AF177" s="3" t="s">
        <v>127</v>
      </c>
      <c r="AG177" s="3"/>
      <c r="AH177" s="3"/>
      <c r="AI177" s="3"/>
      <c r="AJ177" s="3" t="s">
        <v>202</v>
      </c>
      <c r="AK177" s="3"/>
      <c r="AL177" s="3" t="s">
        <v>156</v>
      </c>
      <c r="AM177" s="3"/>
      <c r="AN177" s="3" t="s">
        <v>166</v>
      </c>
      <c r="AO177" s="3"/>
      <c r="AP177" s="3"/>
      <c r="AQ177" s="3"/>
      <c r="AR177" s="3"/>
      <c r="AS177" s="3"/>
      <c r="AT177" s="3" t="s">
        <v>166</v>
      </c>
      <c r="AU177" s="3" t="s">
        <v>281</v>
      </c>
      <c r="AV177" s="3" t="s">
        <v>126</v>
      </c>
      <c r="AW177" s="3" t="s">
        <v>144</v>
      </c>
      <c r="AX177" s="3" t="s">
        <v>126</v>
      </c>
      <c r="AY177" s="3" t="s">
        <v>105</v>
      </c>
      <c r="AZ177" s="3" t="s">
        <v>103</v>
      </c>
      <c r="BA177" s="3" t="s">
        <v>144</v>
      </c>
      <c r="BB177" s="3"/>
      <c r="BC177" s="3"/>
      <c r="BD177" s="3" t="s">
        <v>126</v>
      </c>
      <c r="BE177" s="3" t="s">
        <v>135</v>
      </c>
      <c r="BF177" s="3" t="s">
        <v>137</v>
      </c>
      <c r="BG177" s="3" t="s">
        <v>191</v>
      </c>
      <c r="BH177" s="3"/>
      <c r="BI177" s="3"/>
      <c r="BJ177" s="3" t="s">
        <v>129</v>
      </c>
      <c r="BK177" s="3" t="s">
        <v>140</v>
      </c>
      <c r="BL177" s="3" t="s">
        <v>126</v>
      </c>
      <c r="BM177" s="3" t="s">
        <v>166</v>
      </c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 t="s">
        <v>103</v>
      </c>
      <c r="CD177" s="4" t="s">
        <v>135</v>
      </c>
      <c r="CE177" s="3"/>
      <c r="CF177" s="3"/>
      <c r="CG177" s="3"/>
      <c r="CH177" s="3"/>
      <c r="CI177" s="3">
        <f>1/2</f>
        <v>0.5</v>
      </c>
      <c r="CJ177" s="3" t="s">
        <v>111</v>
      </c>
      <c r="CK177" s="3" t="s">
        <v>107</v>
      </c>
      <c r="CL177" s="3"/>
      <c r="CM177" s="3"/>
      <c r="CN177" s="3" t="s">
        <v>137</v>
      </c>
      <c r="CO177" s="3"/>
      <c r="CP177" s="3"/>
      <c r="CQ177" s="3"/>
      <c r="CR177" s="3"/>
      <c r="CS177" s="3"/>
      <c r="CT177" s="3"/>
      <c r="CU177" s="3"/>
      <c r="CV177" s="3"/>
      <c r="CW177" s="3"/>
      <c r="CX177" s="3" t="s">
        <v>107</v>
      </c>
      <c r="CY177" s="3" t="s">
        <v>149</v>
      </c>
      <c r="CZ177" s="3"/>
      <c r="DA177" s="3"/>
      <c r="DB177" s="3"/>
    </row>
    <row r="178" ht="15.75" customHeight="1">
      <c r="A178" s="3" t="s">
        <v>127</v>
      </c>
      <c r="B178" s="3" t="s">
        <v>121</v>
      </c>
      <c r="C178" s="3" t="s">
        <v>104</v>
      </c>
      <c r="D178" s="3"/>
      <c r="E178" s="3" t="s">
        <v>103</v>
      </c>
      <c r="F178" s="3"/>
      <c r="G178" s="3"/>
      <c r="H178" s="3" t="s">
        <v>169</v>
      </c>
      <c r="I178" s="3" t="s">
        <v>107</v>
      </c>
      <c r="J178" s="3" t="s">
        <v>144</v>
      </c>
      <c r="K178" s="3"/>
      <c r="L178" s="3" t="s">
        <v>229</v>
      </c>
      <c r="M178" s="3" t="s">
        <v>135</v>
      </c>
      <c r="N178" s="3" t="s">
        <v>593</v>
      </c>
      <c r="O178" s="3" t="s">
        <v>132</v>
      </c>
      <c r="P178" s="3"/>
      <c r="Q178" s="3"/>
      <c r="R178" s="3"/>
      <c r="S178" s="3" t="s">
        <v>581</v>
      </c>
      <c r="T178" s="3" t="s">
        <v>144</v>
      </c>
      <c r="U178" s="3" t="s">
        <v>149</v>
      </c>
      <c r="V178" s="3" t="s">
        <v>107</v>
      </c>
      <c r="W178" s="3"/>
      <c r="X178" s="3"/>
      <c r="Y178" s="3" t="s">
        <v>103</v>
      </c>
      <c r="Z178" s="3"/>
      <c r="AA178" s="3"/>
      <c r="AB178" s="3" t="s">
        <v>162</v>
      </c>
      <c r="AC178" s="3" t="s">
        <v>119</v>
      </c>
      <c r="AD178" s="3" t="s">
        <v>129</v>
      </c>
      <c r="AE178" s="3"/>
      <c r="AF178" s="3" t="s">
        <v>103</v>
      </c>
      <c r="AG178" s="3" t="s">
        <v>103</v>
      </c>
      <c r="AH178" s="3" t="s">
        <v>103</v>
      </c>
      <c r="AI178" s="3"/>
      <c r="AJ178" s="3" t="s">
        <v>187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 t="s">
        <v>103</v>
      </c>
      <c r="AW178" s="3" t="s">
        <v>112</v>
      </c>
      <c r="AX178" s="3"/>
      <c r="AY178" s="3" t="s">
        <v>136</v>
      </c>
      <c r="AZ178" s="3"/>
      <c r="BA178" s="3"/>
      <c r="BB178" s="3"/>
      <c r="BC178" s="3"/>
      <c r="BD178" s="3">
        <f>1/2</f>
        <v>0.5</v>
      </c>
      <c r="BE178" s="3" t="s">
        <v>167</v>
      </c>
      <c r="BF178" s="3" t="s">
        <v>129</v>
      </c>
      <c r="BG178" s="3" t="s">
        <v>118</v>
      </c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>
        <f>1/4</f>
        <v>0.25</v>
      </c>
      <c r="CD178" s="3" t="s">
        <v>144</v>
      </c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 t="s">
        <v>137</v>
      </c>
      <c r="CY178" s="3" t="s">
        <v>107</v>
      </c>
      <c r="CZ178" s="3"/>
      <c r="DA178" s="3"/>
      <c r="DB178" s="3"/>
    </row>
    <row r="179" ht="15.75" customHeight="1">
      <c r="A179" s="3" t="s">
        <v>112</v>
      </c>
      <c r="B179" s="3" t="s">
        <v>121</v>
      </c>
      <c r="C179" s="3" t="s">
        <v>104</v>
      </c>
      <c r="D179" s="3"/>
      <c r="E179" s="3" t="s">
        <v>103</v>
      </c>
      <c r="F179" s="3"/>
      <c r="G179" s="3"/>
      <c r="H179" s="3" t="s">
        <v>372</v>
      </c>
      <c r="I179" s="3"/>
      <c r="J179" s="3" t="s">
        <v>218</v>
      </c>
      <c r="K179" s="3"/>
      <c r="L179" s="3" t="s">
        <v>330</v>
      </c>
      <c r="M179" s="3" t="s">
        <v>109</v>
      </c>
      <c r="N179" s="3" t="s">
        <v>594</v>
      </c>
      <c r="O179" s="3" t="s">
        <v>137</v>
      </c>
      <c r="P179" s="3"/>
      <c r="Q179" s="3" t="s">
        <v>595</v>
      </c>
      <c r="R179" s="3" t="s">
        <v>177</v>
      </c>
      <c r="S179" s="4" t="s">
        <v>596</v>
      </c>
      <c r="T179" s="3" t="s">
        <v>131</v>
      </c>
      <c r="U179" s="3" t="s">
        <v>222</v>
      </c>
      <c r="V179" s="3" t="s">
        <v>211</v>
      </c>
      <c r="W179" s="3"/>
      <c r="X179" s="3"/>
      <c r="Y179" s="3" t="s">
        <v>129</v>
      </c>
      <c r="Z179" s="3"/>
      <c r="AA179" s="3"/>
      <c r="AB179" s="3" t="s">
        <v>137</v>
      </c>
      <c r="AC179" s="3" t="s">
        <v>119</v>
      </c>
      <c r="AD179" s="3" t="s">
        <v>112</v>
      </c>
      <c r="AE179" s="3"/>
      <c r="AF179" s="3" t="s">
        <v>162</v>
      </c>
      <c r="AG179" s="3" t="s">
        <v>103</v>
      </c>
      <c r="AH179" s="3"/>
      <c r="AI179" s="3"/>
      <c r="AJ179" s="3" t="s">
        <v>337</v>
      </c>
      <c r="AK179" s="3"/>
      <c r="AL179" s="3" t="s">
        <v>169</v>
      </c>
      <c r="AM179" s="3" t="s">
        <v>296</v>
      </c>
      <c r="AN179" s="3" t="s">
        <v>132</v>
      </c>
      <c r="AO179" s="3" t="s">
        <v>235</v>
      </c>
      <c r="AP179" s="3"/>
      <c r="AQ179" s="3"/>
      <c r="AR179" s="3" t="s">
        <v>126</v>
      </c>
      <c r="AS179" s="3"/>
      <c r="AT179" s="3" t="s">
        <v>169</v>
      </c>
      <c r="AU179" s="3" t="s">
        <v>168</v>
      </c>
      <c r="AV179" s="3" t="s">
        <v>152</v>
      </c>
      <c r="AW179" s="3" t="s">
        <v>112</v>
      </c>
      <c r="AX179" s="3"/>
      <c r="AY179" s="3" t="s">
        <v>149</v>
      </c>
      <c r="AZ179" s="3"/>
      <c r="BA179" s="3"/>
      <c r="BB179" s="3"/>
      <c r="BC179" s="3"/>
      <c r="BD179" s="3" t="s">
        <v>103</v>
      </c>
      <c r="BE179" s="3" t="s">
        <v>157</v>
      </c>
      <c r="BF179" s="3" t="s">
        <v>184</v>
      </c>
      <c r="BG179" s="3" t="s">
        <v>412</v>
      </c>
      <c r="BH179" s="3"/>
      <c r="BI179" s="3"/>
      <c r="BJ179" s="3" t="s">
        <v>126</v>
      </c>
      <c r="BK179" s="3" t="s">
        <v>279</v>
      </c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5">
        <f>1 + (1/2)</f>
        <v>1.5</v>
      </c>
      <c r="CD179" s="3" t="s">
        <v>106</v>
      </c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 t="s">
        <v>137</v>
      </c>
      <c r="CY179" s="3" t="s">
        <v>107</v>
      </c>
      <c r="CZ179" s="3"/>
      <c r="DA179" s="3"/>
      <c r="DB179" s="3"/>
    </row>
    <row r="180" ht="15.75" customHeight="1">
      <c r="A180" s="3" t="s">
        <v>184</v>
      </c>
      <c r="B180" s="3" t="s">
        <v>121</v>
      </c>
      <c r="C180" s="3" t="s">
        <v>104</v>
      </c>
      <c r="D180" s="3"/>
      <c r="E180" s="3" t="s">
        <v>103</v>
      </c>
      <c r="F180" s="3"/>
      <c r="G180" s="3"/>
      <c r="H180" s="3" t="s">
        <v>130</v>
      </c>
      <c r="I180" s="3"/>
      <c r="J180" s="3" t="s">
        <v>137</v>
      </c>
      <c r="K180" s="3"/>
      <c r="L180" s="3" t="s">
        <v>597</v>
      </c>
      <c r="M180" s="3" t="s">
        <v>106</v>
      </c>
      <c r="N180" s="3" t="s">
        <v>343</v>
      </c>
      <c r="O180" s="3" t="s">
        <v>132</v>
      </c>
      <c r="P180" s="3"/>
      <c r="Q180" s="3" t="s">
        <v>106</v>
      </c>
      <c r="R180" s="3" t="s">
        <v>237</v>
      </c>
      <c r="S180" s="3" t="s">
        <v>598</v>
      </c>
      <c r="T180" s="3" t="s">
        <v>154</v>
      </c>
      <c r="U180" s="3" t="s">
        <v>211</v>
      </c>
      <c r="V180" s="3" t="s">
        <v>136</v>
      </c>
      <c r="W180" s="3"/>
      <c r="X180" s="3"/>
      <c r="Y180" s="3" t="s">
        <v>126</v>
      </c>
      <c r="Z180" s="3"/>
      <c r="AA180" s="3"/>
      <c r="AB180" s="3" t="s">
        <v>162</v>
      </c>
      <c r="AC180" s="3" t="s">
        <v>126</v>
      </c>
      <c r="AD180" s="3" t="s">
        <v>162</v>
      </c>
      <c r="AE180" s="3"/>
      <c r="AF180" s="3" t="s">
        <v>103</v>
      </c>
      <c r="AG180" s="3"/>
      <c r="AH180" s="3" t="s">
        <v>103</v>
      </c>
      <c r="AI180" s="3"/>
      <c r="AJ180" s="3" t="s">
        <v>161</v>
      </c>
      <c r="AK180" s="3"/>
      <c r="AL180" s="3" t="s">
        <v>235</v>
      </c>
      <c r="AM180" s="3" t="s">
        <v>137</v>
      </c>
      <c r="AN180" s="3"/>
      <c r="AO180" s="3" t="s">
        <v>132</v>
      </c>
      <c r="AP180" s="3"/>
      <c r="AQ180" s="3"/>
      <c r="AR180" s="3" t="s">
        <v>129</v>
      </c>
      <c r="AS180" s="3"/>
      <c r="AT180" s="3" t="s">
        <v>235</v>
      </c>
      <c r="AU180" s="3" t="s">
        <v>281</v>
      </c>
      <c r="AV180" s="3" t="s">
        <v>126</v>
      </c>
      <c r="AW180" s="3" t="s">
        <v>166</v>
      </c>
      <c r="AX180" s="3"/>
      <c r="AY180" s="3" t="s">
        <v>116</v>
      </c>
      <c r="AZ180" s="3"/>
      <c r="BA180" s="3"/>
      <c r="BB180" s="3"/>
      <c r="BC180" s="3"/>
      <c r="BD180" s="3" t="s">
        <v>103</v>
      </c>
      <c r="BE180" s="3" t="s">
        <v>149</v>
      </c>
      <c r="BF180" s="3" t="s">
        <v>162</v>
      </c>
      <c r="BG180" s="3" t="s">
        <v>109</v>
      </c>
      <c r="BH180" s="3"/>
      <c r="BI180" s="3"/>
      <c r="BJ180" s="3" t="s">
        <v>126</v>
      </c>
      <c r="BK180" s="3" t="s">
        <v>279</v>
      </c>
      <c r="BL180" s="3" t="s">
        <v>137</v>
      </c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>
        <f>1/2</f>
        <v>0.5</v>
      </c>
      <c r="CD180" s="3" t="s">
        <v>154</v>
      </c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 t="s">
        <v>137</v>
      </c>
      <c r="CY180" s="3" t="s">
        <v>144</v>
      </c>
      <c r="CZ180" s="3"/>
      <c r="DA180" s="3"/>
      <c r="DB180" s="3"/>
    </row>
    <row r="181" ht="15.75" customHeight="1">
      <c r="A181" s="3" t="s">
        <v>137</v>
      </c>
      <c r="B181" s="3" t="s">
        <v>121</v>
      </c>
      <c r="C181" s="3" t="s">
        <v>104</v>
      </c>
      <c r="D181" s="3"/>
      <c r="E181" s="3" t="s">
        <v>103</v>
      </c>
      <c r="F181" s="3"/>
      <c r="G181" s="3"/>
      <c r="H181" s="3" t="s">
        <v>134</v>
      </c>
      <c r="I181" s="3"/>
      <c r="J181" s="3"/>
      <c r="K181" s="3"/>
      <c r="L181" s="3" t="s">
        <v>316</v>
      </c>
      <c r="M181" s="3" t="s">
        <v>134</v>
      </c>
      <c r="N181" s="3" t="s">
        <v>187</v>
      </c>
      <c r="O181" s="3" t="s">
        <v>137</v>
      </c>
      <c r="P181" s="3"/>
      <c r="Q181" s="3" t="s">
        <v>203</v>
      </c>
      <c r="R181" s="3" t="s">
        <v>188</v>
      </c>
      <c r="S181" s="3" t="s">
        <v>599</v>
      </c>
      <c r="T181" s="3" t="s">
        <v>154</v>
      </c>
      <c r="U181" s="3" t="s">
        <v>131</v>
      </c>
      <c r="V181" s="3" t="s">
        <v>154</v>
      </c>
      <c r="W181" s="3"/>
      <c r="X181" s="3"/>
      <c r="Y181" s="3" t="s">
        <v>129</v>
      </c>
      <c r="Z181" s="3"/>
      <c r="AA181" s="3"/>
      <c r="AB181" s="3" t="s">
        <v>112</v>
      </c>
      <c r="AC181" s="3" t="s">
        <v>127</v>
      </c>
      <c r="AD181" s="3" t="s">
        <v>127</v>
      </c>
      <c r="AE181" s="3"/>
      <c r="AF181" s="3" t="s">
        <v>127</v>
      </c>
      <c r="AG181" s="3" t="s">
        <v>103</v>
      </c>
      <c r="AH181" s="3"/>
      <c r="AI181" s="3"/>
      <c r="AJ181" s="3" t="s">
        <v>139</v>
      </c>
      <c r="AK181" s="3"/>
      <c r="AL181" s="3" t="s">
        <v>505</v>
      </c>
      <c r="AM181" s="3" t="s">
        <v>199</v>
      </c>
      <c r="AN181" s="3"/>
      <c r="AO181" s="3" t="s">
        <v>235</v>
      </c>
      <c r="AP181" s="3"/>
      <c r="AQ181" s="3"/>
      <c r="AR181" s="3" t="s">
        <v>132</v>
      </c>
      <c r="AS181" s="3"/>
      <c r="AT181" s="3" t="s">
        <v>154</v>
      </c>
      <c r="AU181" s="3" t="s">
        <v>239</v>
      </c>
      <c r="AV181" s="3" t="s">
        <v>103</v>
      </c>
      <c r="AW181" s="3" t="s">
        <v>156</v>
      </c>
      <c r="AX181" s="3" t="s">
        <v>112</v>
      </c>
      <c r="AY181" s="3" t="s">
        <v>135</v>
      </c>
      <c r="AZ181" s="3"/>
      <c r="BA181" s="3"/>
      <c r="BB181" s="3"/>
      <c r="BC181" s="3"/>
      <c r="BD181" s="4" t="s">
        <v>119</v>
      </c>
      <c r="BE181" s="3" t="s">
        <v>224</v>
      </c>
      <c r="BF181" s="3" t="s">
        <v>137</v>
      </c>
      <c r="BG181" s="3" t="s">
        <v>191</v>
      </c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>
        <f>1/4</f>
        <v>0.25</v>
      </c>
      <c r="CD181" s="3" t="s">
        <v>144</v>
      </c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</row>
    <row r="182" ht="15.75" customHeight="1">
      <c r="A182" s="3" t="s">
        <v>103</v>
      </c>
      <c r="B182" s="3" t="s">
        <v>192</v>
      </c>
      <c r="C182" s="3" t="s">
        <v>104</v>
      </c>
      <c r="D182" s="3"/>
      <c r="E182" s="3" t="s">
        <v>103</v>
      </c>
      <c r="F182" s="3"/>
      <c r="G182" s="3"/>
      <c r="H182" s="3" t="s">
        <v>150</v>
      </c>
      <c r="I182" s="3"/>
      <c r="J182" s="3"/>
      <c r="K182" s="3"/>
      <c r="L182" s="3" t="s">
        <v>233</v>
      </c>
      <c r="M182" s="3"/>
      <c r="N182" s="3" t="s">
        <v>248</v>
      </c>
      <c r="O182" s="3"/>
      <c r="P182" s="3"/>
      <c r="Q182" s="3"/>
      <c r="R182" s="3"/>
      <c r="S182" s="3" t="s">
        <v>600</v>
      </c>
      <c r="T182" s="3" t="s">
        <v>132</v>
      </c>
      <c r="U182" s="3" t="s">
        <v>112</v>
      </c>
      <c r="V182" s="3" t="s">
        <v>137</v>
      </c>
      <c r="W182" s="3"/>
      <c r="X182" s="3"/>
      <c r="Y182" s="3" t="s">
        <v>103</v>
      </c>
      <c r="Z182" s="3"/>
      <c r="AA182" s="3"/>
      <c r="AB182" s="3" t="s">
        <v>126</v>
      </c>
      <c r="AC182" s="3" t="s">
        <v>103</v>
      </c>
      <c r="AD182" s="3" t="s">
        <v>126</v>
      </c>
      <c r="AE182" s="3"/>
      <c r="AF182" s="3" t="s">
        <v>103</v>
      </c>
      <c r="AG182" s="3"/>
      <c r="AH182" s="3"/>
      <c r="AI182" s="3"/>
      <c r="AJ182" s="3" t="s">
        <v>113</v>
      </c>
      <c r="AK182" s="3"/>
      <c r="AL182" s="3" t="s">
        <v>126</v>
      </c>
      <c r="AM182" s="3"/>
      <c r="AN182" s="3"/>
      <c r="AO182" s="3"/>
      <c r="AP182" s="3"/>
      <c r="AQ182" s="3"/>
      <c r="AR182" s="3"/>
      <c r="AS182" s="3"/>
      <c r="AT182" s="3" t="s">
        <v>126</v>
      </c>
      <c r="AU182" s="3" t="s">
        <v>199</v>
      </c>
      <c r="AV182" s="3"/>
      <c r="AW182" s="3" t="s">
        <v>137</v>
      </c>
      <c r="AX182" s="3"/>
      <c r="AY182" s="3" t="s">
        <v>116</v>
      </c>
      <c r="AZ182" s="3"/>
      <c r="BA182" s="3"/>
      <c r="BB182" s="3"/>
      <c r="BC182" s="3"/>
      <c r="BD182" s="3" t="s">
        <v>103</v>
      </c>
      <c r="BE182" s="3" t="s">
        <v>154</v>
      </c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 t="s">
        <v>103</v>
      </c>
      <c r="CD182" s="3" t="s">
        <v>135</v>
      </c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</row>
    <row r="183" ht="15.75" customHeight="1">
      <c r="A183" s="3" t="s">
        <v>126</v>
      </c>
      <c r="B183" s="3" t="s">
        <v>192</v>
      </c>
      <c r="C183" s="3" t="s">
        <v>104</v>
      </c>
      <c r="D183" s="3"/>
      <c r="E183" s="3" t="s">
        <v>103</v>
      </c>
      <c r="F183" s="3"/>
      <c r="G183" s="3"/>
      <c r="H183" s="3" t="s">
        <v>219</v>
      </c>
      <c r="I183" s="3"/>
      <c r="J183" s="3" t="s">
        <v>112</v>
      </c>
      <c r="K183" s="3"/>
      <c r="L183" s="3" t="s">
        <v>124</v>
      </c>
      <c r="M183" s="3" t="s">
        <v>106</v>
      </c>
      <c r="N183" s="3" t="s">
        <v>386</v>
      </c>
      <c r="O183" s="3" t="s">
        <v>154</v>
      </c>
      <c r="P183" s="3"/>
      <c r="Q183" s="3" t="s">
        <v>224</v>
      </c>
      <c r="R183" s="3" t="s">
        <v>299</v>
      </c>
      <c r="S183" s="3" t="s">
        <v>601</v>
      </c>
      <c r="T183" s="3" t="s">
        <v>144</v>
      </c>
      <c r="U183" s="3" t="s">
        <v>178</v>
      </c>
      <c r="V183" s="3" t="s">
        <v>136</v>
      </c>
      <c r="W183" s="3"/>
      <c r="X183" s="3"/>
      <c r="Y183" s="3" t="s">
        <v>129</v>
      </c>
      <c r="Z183" s="3"/>
      <c r="AA183" s="3"/>
      <c r="AB183" s="3" t="s">
        <v>132</v>
      </c>
      <c r="AC183" s="3" t="s">
        <v>103</v>
      </c>
      <c r="AD183" s="3" t="s">
        <v>129</v>
      </c>
      <c r="AE183" s="3"/>
      <c r="AF183" s="3"/>
      <c r="AG183" s="3"/>
      <c r="AH183" s="3"/>
      <c r="AI183" s="3"/>
      <c r="AJ183" s="3" t="s">
        <v>176</v>
      </c>
      <c r="AK183" s="3"/>
      <c r="AL183" s="3" t="s">
        <v>137</v>
      </c>
      <c r="AM183" s="3"/>
      <c r="AN183" s="3"/>
      <c r="AO183" s="3"/>
      <c r="AP183" s="3"/>
      <c r="AQ183" s="3"/>
      <c r="AR183" s="3"/>
      <c r="AS183" s="3"/>
      <c r="AT183" s="3" t="s">
        <v>137</v>
      </c>
      <c r="AU183" s="3" t="s">
        <v>222</v>
      </c>
      <c r="AV183" s="3" t="s">
        <v>126</v>
      </c>
      <c r="AW183" s="3" t="s">
        <v>129</v>
      </c>
      <c r="AX183" s="3"/>
      <c r="AY183" s="3" t="s">
        <v>144</v>
      </c>
      <c r="AZ183" s="3"/>
      <c r="BA183" s="3"/>
      <c r="BB183" s="3"/>
      <c r="BC183" s="3"/>
      <c r="BD183" s="3"/>
      <c r="BE183" s="3"/>
      <c r="BF183" s="3" t="s">
        <v>126</v>
      </c>
      <c r="BG183" s="3" t="s">
        <v>135</v>
      </c>
      <c r="BH183" s="3">
        <f>1/2</f>
        <v>0.5</v>
      </c>
      <c r="BI183" s="3" t="s">
        <v>137</v>
      </c>
      <c r="BJ183" s="3" t="s">
        <v>103</v>
      </c>
      <c r="BK183" s="3" t="s">
        <v>166</v>
      </c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>
        <f>1/2</f>
        <v>0.5</v>
      </c>
      <c r="CD183" s="3" t="s">
        <v>135</v>
      </c>
      <c r="CE183" s="3"/>
      <c r="CF183" s="3"/>
      <c r="CG183" s="3"/>
      <c r="CH183" s="3"/>
      <c r="CI183" s="3" t="s">
        <v>103</v>
      </c>
      <c r="CJ183" s="3" t="s">
        <v>136</v>
      </c>
      <c r="CK183" s="3" t="s">
        <v>203</v>
      </c>
      <c r="CL183" s="3"/>
      <c r="CM183" s="3"/>
      <c r="CN183" s="3"/>
      <c r="CO183" s="3" t="s">
        <v>136</v>
      </c>
      <c r="CP183" s="3"/>
      <c r="CQ183" s="3"/>
      <c r="CR183" s="3"/>
      <c r="CS183" s="3"/>
      <c r="CT183" s="3"/>
      <c r="CU183" s="3"/>
      <c r="CV183" s="3"/>
      <c r="CW183" s="3"/>
      <c r="CX183" s="3" t="s">
        <v>137</v>
      </c>
      <c r="CY183" s="3" t="s">
        <v>136</v>
      </c>
      <c r="CZ183" s="3"/>
      <c r="DA183" s="3"/>
      <c r="DB183" s="3"/>
    </row>
    <row r="184" ht="15.75" customHeight="1">
      <c r="A184" s="3" t="s">
        <v>119</v>
      </c>
      <c r="B184" s="3" t="s">
        <v>192</v>
      </c>
      <c r="C184" s="3" t="s">
        <v>104</v>
      </c>
      <c r="D184" s="3"/>
      <c r="E184" s="3" t="s">
        <v>103</v>
      </c>
      <c r="F184" s="3"/>
      <c r="G184" s="3"/>
      <c r="H184" s="3" t="s">
        <v>602</v>
      </c>
      <c r="I184" s="3" t="s">
        <v>113</v>
      </c>
      <c r="J184" s="3" t="s">
        <v>135</v>
      </c>
      <c r="K184" s="3"/>
      <c r="L184" s="3" t="s">
        <v>603</v>
      </c>
      <c r="M184" s="3" t="s">
        <v>191</v>
      </c>
      <c r="N184" s="3" t="s">
        <v>453</v>
      </c>
      <c r="O184" s="3" t="s">
        <v>106</v>
      </c>
      <c r="P184" s="3" t="s">
        <v>136</v>
      </c>
      <c r="Q184" s="3" t="s">
        <v>604</v>
      </c>
      <c r="R184" s="3" t="s">
        <v>224</v>
      </c>
      <c r="S184" s="3" t="s">
        <v>605</v>
      </c>
      <c r="T184" s="3" t="s">
        <v>333</v>
      </c>
      <c r="U184" s="3" t="s">
        <v>606</v>
      </c>
      <c r="V184" s="3" t="s">
        <v>109</v>
      </c>
      <c r="W184" s="3"/>
      <c r="X184" s="3"/>
      <c r="Y184" s="3" t="s">
        <v>122</v>
      </c>
      <c r="Z184" s="3"/>
      <c r="AA184" s="3"/>
      <c r="AB184" s="3" t="s">
        <v>137</v>
      </c>
      <c r="AC184" s="3" t="s">
        <v>149</v>
      </c>
      <c r="AD184" s="3" t="s">
        <v>137</v>
      </c>
      <c r="AE184" s="3" t="s">
        <v>167</v>
      </c>
      <c r="AF184" s="3" t="s">
        <v>131</v>
      </c>
      <c r="AG184" s="3"/>
      <c r="AH184" s="3"/>
      <c r="AI184" s="3" t="s">
        <v>579</v>
      </c>
      <c r="AJ184" s="3" t="s">
        <v>191</v>
      </c>
      <c r="AK184" s="3"/>
      <c r="AL184" s="3" t="s">
        <v>125</v>
      </c>
      <c r="AM184" s="3" t="s">
        <v>136</v>
      </c>
      <c r="AN184" s="3" t="s">
        <v>144</v>
      </c>
      <c r="AO184" s="3" t="s">
        <v>144</v>
      </c>
      <c r="AP184" s="3" t="s">
        <v>137</v>
      </c>
      <c r="AQ184" s="3"/>
      <c r="AR184" s="3" t="s">
        <v>162</v>
      </c>
      <c r="AS184" s="3"/>
      <c r="AT184" s="3" t="s">
        <v>125</v>
      </c>
      <c r="AU184" s="3" t="s">
        <v>607</v>
      </c>
      <c r="AV184" s="3" t="s">
        <v>119</v>
      </c>
      <c r="AW184" s="3" t="s">
        <v>136</v>
      </c>
      <c r="AX184" s="3" t="s">
        <v>132</v>
      </c>
      <c r="AY184" s="3" t="s">
        <v>135</v>
      </c>
      <c r="AZ184" s="3" t="s">
        <v>119</v>
      </c>
      <c r="BA184" s="3" t="s">
        <v>135</v>
      </c>
      <c r="BB184" s="3"/>
      <c r="BC184" s="3"/>
      <c r="BD184" s="3" t="s">
        <v>132</v>
      </c>
      <c r="BE184" s="3" t="s">
        <v>109</v>
      </c>
      <c r="BF184" s="3" t="s">
        <v>126</v>
      </c>
      <c r="BG184" s="3" t="s">
        <v>256</v>
      </c>
      <c r="BH184" s="3"/>
      <c r="BI184" s="3"/>
      <c r="BJ184" s="3" t="s">
        <v>126</v>
      </c>
      <c r="BK184" s="3" t="s">
        <v>149</v>
      </c>
      <c r="BL184" s="3" t="s">
        <v>137</v>
      </c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 t="s">
        <v>129</v>
      </c>
      <c r="CD184" s="3" t="s">
        <v>176</v>
      </c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 t="s">
        <v>135</v>
      </c>
      <c r="CY184" s="3" t="s">
        <v>203</v>
      </c>
      <c r="CZ184" s="3"/>
      <c r="DA184" s="3"/>
      <c r="DB184" s="3"/>
    </row>
    <row r="185" ht="15.75" customHeight="1">
      <c r="A185" s="3" t="s">
        <v>129</v>
      </c>
      <c r="B185" s="3" t="s">
        <v>192</v>
      </c>
      <c r="C185" s="3" t="s">
        <v>104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</row>
    <row r="186" ht="15.75" customHeight="1">
      <c r="A186" s="3" t="s">
        <v>132</v>
      </c>
      <c r="B186" s="3" t="s">
        <v>192</v>
      </c>
      <c r="C186" s="3" t="s">
        <v>104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</row>
    <row r="187" ht="15.75" customHeight="1">
      <c r="A187" s="3" t="s">
        <v>162</v>
      </c>
      <c r="B187" s="3" t="s">
        <v>192</v>
      </c>
      <c r="C187" s="3" t="s">
        <v>104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</row>
    <row r="188" ht="15.75" customHeight="1">
      <c r="A188" s="3" t="s">
        <v>127</v>
      </c>
      <c r="B188" s="3" t="s">
        <v>192</v>
      </c>
      <c r="C188" s="3" t="s">
        <v>104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</row>
    <row r="189" ht="15.75" customHeight="1">
      <c r="A189" s="3" t="s">
        <v>112</v>
      </c>
      <c r="B189" s="3" t="s">
        <v>192</v>
      </c>
      <c r="C189" s="3" t="s">
        <v>104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</row>
    <row r="190" ht="15.75" customHeight="1">
      <c r="A190" s="3" t="s">
        <v>184</v>
      </c>
      <c r="B190" s="3" t="s">
        <v>192</v>
      </c>
      <c r="C190" s="3" t="s">
        <v>104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</row>
    <row r="191" ht="15.75" customHeight="1">
      <c r="A191" s="3" t="s">
        <v>137</v>
      </c>
      <c r="B191" s="3" t="s">
        <v>192</v>
      </c>
      <c r="C191" s="3" t="s">
        <v>104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</row>
    <row r="207" ht="15.75" customHeight="1">
      <c r="A207" s="7"/>
      <c r="B207" s="7"/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</row>
    <row r="208" ht="15.75" customHeight="1">
      <c r="A208" s="7"/>
      <c r="B208" s="7"/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</row>
    <row r="209" ht="15.75" customHeight="1">
      <c r="A209" s="7"/>
      <c r="B209" s="7"/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</row>
    <row r="210" ht="15.75" customHeight="1">
      <c r="A210" s="7"/>
      <c r="B210" s="7"/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</row>
  </sheetData>
  <printOptions/>
  <pageMargins bottom="0.75" footer="0.0" header="0.0" left="0.7" right="0.7" top="0.75"/>
  <pageSetup orientation="landscape"/>
  <drawing r:id="rId1"/>
</worksheet>
</file>