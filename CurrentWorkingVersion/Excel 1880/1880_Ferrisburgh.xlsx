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agregg@middlebury.edu/Dropbox/Research/New Papers and Ideas/Vermont Economic History/Drafts/Pilot Paper/Data/Ag Census Working Files Summer 2025/Excel 1880/"/>
    </mc:Choice>
  </mc:AlternateContent>
  <xr:revisionPtr revIDLastSave="0" documentId="13_ncr:1_{3FF60726-F59B-AB4A-9931-F947884A4420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1880 Ferrisbur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59" i="1" l="1"/>
  <c r="BD259" i="1"/>
  <c r="CC258" i="1"/>
  <c r="CC257" i="1"/>
  <c r="BD257" i="1"/>
  <c r="CC255" i="1"/>
  <c r="BJ255" i="1"/>
  <c r="BJ253" i="1"/>
  <c r="CC251" i="1"/>
  <c r="BJ251" i="1"/>
  <c r="BJ248" i="1"/>
  <c r="BJ245" i="1"/>
  <c r="BJ244" i="1"/>
  <c r="BD244" i="1"/>
  <c r="BD243" i="1"/>
  <c r="CC239" i="1"/>
  <c r="CC238" i="1"/>
  <c r="CC237" i="1"/>
  <c r="BF236" i="1"/>
  <c r="BD236" i="1"/>
  <c r="CC233" i="1"/>
  <c r="BF233" i="1"/>
  <c r="BD233" i="1"/>
  <c r="CC231" i="1"/>
  <c r="CI229" i="1"/>
  <c r="CC227" i="1"/>
  <c r="CC226" i="1"/>
  <c r="CC225" i="1"/>
  <c r="CC224" i="1"/>
  <c r="CC223" i="1"/>
  <c r="CC222" i="1"/>
  <c r="BD222" i="1"/>
  <c r="BD221" i="1"/>
  <c r="CC220" i="1"/>
  <c r="AC220" i="1"/>
  <c r="CC219" i="1"/>
  <c r="BF219" i="1"/>
  <c r="BD219" i="1"/>
  <c r="CC217" i="1"/>
  <c r="CC215" i="1"/>
  <c r="CC214" i="1"/>
  <c r="BJ214" i="1"/>
  <c r="CC213" i="1"/>
  <c r="CC212" i="1"/>
  <c r="BJ212" i="1"/>
  <c r="BB212" i="1"/>
  <c r="CC211" i="1"/>
  <c r="BF211" i="1"/>
  <c r="BD211" i="1"/>
  <c r="BH210" i="1"/>
  <c r="BF210" i="1"/>
  <c r="BD210" i="1"/>
  <c r="CC209" i="1"/>
  <c r="BB207" i="1"/>
  <c r="CC203" i="1"/>
  <c r="CC198" i="1"/>
  <c r="CC196" i="1"/>
  <c r="BD196" i="1"/>
  <c r="CC195" i="1"/>
  <c r="BD195" i="1"/>
  <c r="CC194" i="1"/>
  <c r="BJ194" i="1"/>
  <c r="BB194" i="1"/>
  <c r="CC193" i="1"/>
  <c r="CI192" i="1"/>
  <c r="CC192" i="1"/>
  <c r="BJ192" i="1"/>
  <c r="BB190" i="1"/>
  <c r="BJ189" i="1"/>
  <c r="CC188" i="1"/>
  <c r="BD187" i="1"/>
  <c r="CI186" i="1"/>
  <c r="BF185" i="1"/>
  <c r="BD185" i="1"/>
  <c r="CI183" i="1"/>
  <c r="BD181" i="1"/>
  <c r="CC177" i="1"/>
  <c r="CI176" i="1"/>
  <c r="BF176" i="1"/>
  <c r="BD175" i="1"/>
  <c r="AZ175" i="1"/>
  <c r="CC174" i="1"/>
  <c r="CC173" i="1"/>
  <c r="BH172" i="1"/>
  <c r="CC171" i="1"/>
  <c r="AZ171" i="1"/>
  <c r="BD168" i="1"/>
  <c r="CC166" i="1"/>
  <c r="H166" i="1"/>
  <c r="BD165" i="1"/>
  <c r="CC164" i="1"/>
  <c r="BF164" i="1"/>
  <c r="CC163" i="1"/>
  <c r="BJ163" i="1"/>
  <c r="BB163" i="1"/>
  <c r="CC162" i="1"/>
  <c r="CC161" i="1"/>
  <c r="CC160" i="1"/>
  <c r="CC155" i="1"/>
  <c r="CC149" i="1"/>
  <c r="CI148" i="1"/>
  <c r="CC148" i="1"/>
  <c r="BD148" i="1"/>
  <c r="CI147" i="1"/>
  <c r="CC147" i="1"/>
  <c r="BJ147" i="1"/>
  <c r="BF147" i="1"/>
  <c r="BD147" i="1"/>
  <c r="BF143" i="1"/>
  <c r="BF142" i="1"/>
  <c r="BD142" i="1"/>
  <c r="CC141" i="1"/>
  <c r="BB132" i="1"/>
  <c r="CC126" i="1"/>
  <c r="CC123" i="1"/>
  <c r="BJ123" i="1"/>
  <c r="CC100" i="1"/>
  <c r="BJ100" i="1"/>
  <c r="CI92" i="1"/>
  <c r="BJ92" i="1"/>
  <c r="CI88" i="1"/>
  <c r="CC88" i="1"/>
  <c r="BJ78" i="1"/>
  <c r="BD78" i="1"/>
  <c r="CC75" i="1"/>
  <c r="BD75" i="1"/>
  <c r="CI67" i="1"/>
  <c r="CC67" i="1"/>
  <c r="BD67" i="1"/>
  <c r="CC65" i="1"/>
  <c r="CI58" i="1"/>
  <c r="BD58" i="1"/>
  <c r="CC57" i="1"/>
  <c r="BD57" i="1"/>
  <c r="CC56" i="1"/>
  <c r="CC52" i="1"/>
  <c r="CC51" i="1"/>
  <c r="BJ47" i="1"/>
  <c r="CC46" i="1"/>
  <c r="BD44" i="1"/>
  <c r="BF42" i="1"/>
  <c r="CC40" i="1"/>
  <c r="BJ40" i="1"/>
  <c r="BF40" i="1"/>
  <c r="CI39" i="1"/>
  <c r="CI37" i="1"/>
  <c r="CC37" i="1"/>
  <c r="CC32" i="1"/>
  <c r="BJ32" i="1"/>
  <c r="BD32" i="1"/>
  <c r="CI26" i="1"/>
  <c r="BD25" i="1"/>
  <c r="CI22" i="1"/>
  <c r="CC22" i="1"/>
  <c r="CC17" i="1"/>
  <c r="BD17" i="1"/>
  <c r="CC16" i="1"/>
  <c r="CC15" i="1"/>
  <c r="BD15" i="1"/>
  <c r="CC14" i="1"/>
  <c r="CC13" i="1"/>
  <c r="I13" i="1"/>
  <c r="H13" i="1"/>
  <c r="CC12" i="1"/>
  <c r="CC11" i="1"/>
  <c r="BD11" i="1"/>
  <c r="CI10" i="1"/>
  <c r="CC10" i="1"/>
  <c r="I10" i="1"/>
  <c r="CI9" i="1"/>
  <c r="CC9" i="1"/>
  <c r="CC8" i="1"/>
  <c r="CC4" i="1"/>
  <c r="T4" i="1"/>
  <c r="J4" i="1"/>
  <c r="H4" i="1"/>
  <c r="CC3" i="1"/>
  <c r="BD3" i="1"/>
</calcChain>
</file>

<file path=xl/sharedStrings.xml><?xml version="1.0" encoding="utf-8"?>
<sst xmlns="http://schemas.openxmlformats.org/spreadsheetml/2006/main" count="8019" uniqueCount="313">
  <si>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</si>
  <si>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</si>
  <si>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</si>
  <si>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</si>
  <si>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</si>
  <si>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</si>
  <si>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</si>
  <si>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</si>
  <si>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</si>
  <si>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</si>
  <si>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</si>
  <si>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</si>
  <si>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</si>
  <si>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</si>
  <si>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</si>
  <si>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</si>
  <si>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</si>
  <si>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</si>
  <si>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</si>
  <si>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</si>
  <si>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</si>
  <si>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</si>
  <si>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</si>
  <si>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</si>
  <si>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</si>
  <si>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</si>
  <si>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</si>
  <si>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</si>
  <si>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</si>
  <si>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</si>
  <si>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</si>
  <si>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</si>
  <si>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</si>
  <si>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</si>
  <si>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</si>
  <si>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</si>
  <si>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</si>
  <si>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</si>
  <si>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</si>
  <si>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</si>
  <si>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</si>
  <si>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</si>
  <si>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</si>
  <si>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</si>
  <si>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</si>
  <si>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</si>
  <si>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</si>
  <si>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</si>
  <si>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</si>
  <si>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</si>
  <si>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</si>
  <si>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</si>
  <si>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</si>
  <si>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</si>
  <si>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</si>
  <si>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</si>
  <si>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</si>
  <si>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</si>
  <si>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</si>
  <si>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</si>
  <si>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</si>
  <si>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</si>
  <si>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</si>
  <si>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</si>
  <si>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</si>
  <si>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</si>
  <si>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</si>
  <si>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</si>
  <si>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</si>
  <si>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</si>
  <si>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</si>
  <si>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</si>
  <si>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</si>
  <si>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</si>
  <si>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</si>
  <si>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</si>
  <si>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</si>
  <si>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</si>
  <si>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</si>
  <si>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</si>
  <si>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</si>
  <si>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</si>
  <si>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</si>
  <si>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</si>
  <si>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</si>
  <si>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</si>
  <si>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</si>
  <si>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</si>
  <si>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</si>
  <si>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</si>
  <si>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</si>
  <si>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</si>
  <si>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</si>
  <si>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</si>
  <si>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</si>
  <si>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</si>
  <si>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</si>
  <si>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</si>
  <si>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</si>
  <si>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</si>
  <si>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</si>
  <si>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</si>
  <si>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</si>
  <si>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</si>
  <si>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30</t>
  </si>
  <si>
    <t>10</t>
  </si>
  <si>
    <t>1000</t>
  </si>
  <si>
    <t>40</t>
  </si>
  <si>
    <t>25</t>
  </si>
  <si>
    <t>100</t>
  </si>
  <si>
    <t>15</t>
  </si>
  <si>
    <t>4</t>
  </si>
  <si>
    <t>150</t>
  </si>
  <si>
    <t>20</t>
  </si>
  <si>
    <t>120</t>
  </si>
  <si>
    <t>6</t>
  </si>
  <si>
    <t>2</t>
  </si>
  <si>
    <t>3</t>
  </si>
  <si>
    <t>8</t>
  </si>
  <si>
    <t>1800</t>
  </si>
  <si>
    <t>80</t>
  </si>
  <si>
    <t>5</t>
  </si>
  <si>
    <t>14</t>
  </si>
  <si>
    <t>75</t>
  </si>
  <si>
    <t>18</t>
  </si>
  <si>
    <t>2000</t>
  </si>
  <si>
    <t>50</t>
  </si>
  <si>
    <t>23</t>
  </si>
  <si>
    <t>3000</t>
  </si>
  <si>
    <t>250</t>
  </si>
  <si>
    <t>200</t>
  </si>
  <si>
    <t>400</t>
  </si>
  <si>
    <t>70</t>
  </si>
  <si>
    <t>6000</t>
  </si>
  <si>
    <t>600</t>
  </si>
  <si>
    <t>500</t>
  </si>
  <si>
    <t>60</t>
  </si>
  <si>
    <t>7</t>
  </si>
  <si>
    <t>19</t>
  </si>
  <si>
    <t>12</t>
  </si>
  <si>
    <t>140</t>
  </si>
  <si>
    <t>17</t>
  </si>
  <si>
    <t>800</t>
  </si>
  <si>
    <t>125</t>
  </si>
  <si>
    <t>8000</t>
  </si>
  <si>
    <t>300</t>
  </si>
  <si>
    <t>35</t>
  </si>
  <si>
    <t>1200</t>
  </si>
  <si>
    <t>7000</t>
  </si>
  <si>
    <t>900</t>
  </si>
  <si>
    <t>505</t>
  </si>
  <si>
    <t>11</t>
  </si>
  <si>
    <t>130</t>
  </si>
  <si>
    <t>4000</t>
  </si>
  <si>
    <t>9</t>
  </si>
  <si>
    <t>1500</t>
  </si>
  <si>
    <t>45</t>
  </si>
  <si>
    <t>15000</t>
  </si>
  <si>
    <t>55</t>
  </si>
  <si>
    <t>160</t>
  </si>
  <si>
    <t>85</t>
  </si>
  <si>
    <t>36</t>
  </si>
  <si>
    <t>25000</t>
  </si>
  <si>
    <t>475</t>
  </si>
  <si>
    <t>335</t>
  </si>
  <si>
    <t>700</t>
  </si>
  <si>
    <t>22</t>
  </si>
  <si>
    <t>37</t>
  </si>
  <si>
    <t>28</t>
  </si>
  <si>
    <t>340</t>
  </si>
  <si>
    <t>13</t>
  </si>
  <si>
    <t>175</t>
  </si>
  <si>
    <t>65</t>
  </si>
  <si>
    <t>42</t>
  </si>
  <si>
    <t>2500</t>
  </si>
  <si>
    <t>325</t>
  </si>
  <si>
    <t>450</t>
  </si>
  <si>
    <t>1600</t>
  </si>
  <si>
    <t>1300</t>
  </si>
  <si>
    <t>88</t>
  </si>
  <si>
    <t>44</t>
  </si>
  <si>
    <t>110</t>
  </si>
  <si>
    <t>180</t>
  </si>
  <si>
    <t>1700</t>
  </si>
  <si>
    <t>47</t>
  </si>
  <si>
    <t>33</t>
  </si>
  <si>
    <t>350</t>
  </si>
  <si>
    <t>111</t>
  </si>
  <si>
    <t>66</t>
  </si>
  <si>
    <t>29</t>
  </si>
  <si>
    <t>3500</t>
  </si>
  <si>
    <t>34</t>
  </si>
  <si>
    <t>48</t>
  </si>
  <si>
    <t>2800</t>
  </si>
  <si>
    <t>115</t>
  </si>
  <si>
    <t>4500</t>
  </si>
  <si>
    <t>16</t>
  </si>
  <si>
    <t>1144</t>
  </si>
  <si>
    <t>32</t>
  </si>
  <si>
    <t>84</t>
  </si>
  <si>
    <t>270</t>
  </si>
  <si>
    <t>12000</t>
  </si>
  <si>
    <t>46</t>
  </si>
  <si>
    <t>320</t>
  </si>
  <si>
    <t>53</t>
  </si>
  <si>
    <t>21</t>
  </si>
  <si>
    <t>330</t>
  </si>
  <si>
    <t>5000</t>
  </si>
  <si>
    <t>90</t>
  </si>
  <si>
    <t>13000</t>
  </si>
  <si>
    <t>550</t>
  </si>
  <si>
    <t>1400</t>
  </si>
  <si>
    <t>24</t>
  </si>
  <si>
    <t>280</t>
  </si>
  <si>
    <t>16000</t>
  </si>
  <si>
    <t>2100</t>
  </si>
  <si>
    <t>26</t>
  </si>
  <si>
    <t>51</t>
  </si>
  <si>
    <t>31</t>
  </si>
  <si>
    <t>109</t>
  </si>
  <si>
    <t>225</t>
  </si>
  <si>
    <t>210</t>
  </si>
  <si>
    <t>1100</t>
  </si>
  <si>
    <t>9000</t>
  </si>
  <si>
    <t>27</t>
  </si>
  <si>
    <t>20000</t>
  </si>
  <si>
    <t>0</t>
  </si>
  <si>
    <t>56</t>
  </si>
  <si>
    <t>375</t>
  </si>
  <si>
    <t>17000</t>
  </si>
  <si>
    <t>2200</t>
  </si>
  <si>
    <t>170</t>
  </si>
  <si>
    <t>10000</t>
  </si>
  <si>
    <t>43</t>
  </si>
  <si>
    <t>7500</t>
  </si>
  <si>
    <t>3300</t>
  </si>
  <si>
    <t>425</t>
  </si>
  <si>
    <t>188</t>
  </si>
  <si>
    <t>850</t>
  </si>
  <si>
    <t>275</t>
  </si>
  <si>
    <t>2400</t>
  </si>
  <si>
    <t>260</t>
  </si>
  <si>
    <t>108</t>
  </si>
  <si>
    <t>625</t>
  </si>
  <si>
    <t>290</t>
  </si>
  <si>
    <t>240</t>
  </si>
  <si>
    <t>184</t>
  </si>
  <si>
    <t>416</t>
  </si>
  <si>
    <t>3800</t>
  </si>
  <si>
    <t>167</t>
  </si>
  <si>
    <t>95</t>
  </si>
  <si>
    <t>83</t>
  </si>
  <si>
    <t>273</t>
  </si>
  <si>
    <t>410</t>
  </si>
  <si>
    <t>750</t>
  </si>
  <si>
    <t>38</t>
  </si>
  <si>
    <t>41</t>
  </si>
  <si>
    <t>3600</t>
  </si>
  <si>
    <t>220</t>
  </si>
  <si>
    <t>289</t>
  </si>
  <si>
    <t>190</t>
  </si>
  <si>
    <t>72</t>
  </si>
  <si>
    <t>39</t>
  </si>
  <si>
    <t>222</t>
  </si>
  <si>
    <t>7200</t>
  </si>
  <si>
    <t>78</t>
  </si>
  <si>
    <t>113</t>
  </si>
  <si>
    <t>1050</t>
  </si>
  <si>
    <t>215</t>
  </si>
  <si>
    <t>14000</t>
  </si>
  <si>
    <t>1350</t>
  </si>
  <si>
    <t>2250</t>
  </si>
  <si>
    <t>255</t>
  </si>
  <si>
    <t>2700</t>
  </si>
  <si>
    <t>76</t>
  </si>
  <si>
    <t>138</t>
  </si>
  <si>
    <t>128</t>
  </si>
  <si>
    <t>230</t>
  </si>
  <si>
    <t>117</t>
  </si>
  <si>
    <t>135</t>
  </si>
  <si>
    <t>101</t>
  </si>
  <si>
    <t>62</t>
  </si>
  <si>
    <t>1900</t>
  </si>
  <si>
    <t>420</t>
  </si>
  <si>
    <t>2300</t>
  </si>
  <si>
    <t>79</t>
  </si>
  <si>
    <t>4400</t>
  </si>
  <si>
    <t>294</t>
  </si>
  <si>
    <t>63</t>
  </si>
  <si>
    <t>227</t>
  </si>
  <si>
    <t>18000</t>
  </si>
  <si>
    <t>6500</t>
  </si>
  <si>
    <t>52</t>
  </si>
  <si>
    <t>286</t>
  </si>
  <si>
    <t>155</t>
  </si>
  <si>
    <t>12500</t>
  </si>
  <si>
    <t>96</t>
  </si>
  <si>
    <t>58</t>
  </si>
  <si>
    <t>126</t>
  </si>
  <si>
    <t>186</t>
  </si>
  <si>
    <t>89</t>
  </si>
  <si>
    <t>650</t>
  </si>
  <si>
    <t>950</t>
  </si>
  <si>
    <t>2900</t>
  </si>
  <si>
    <t>380</t>
  </si>
  <si>
    <t>675</t>
  </si>
  <si>
    <t>338</t>
  </si>
  <si>
    <t>161</t>
  </si>
  <si>
    <t>121</t>
  </si>
  <si>
    <t>801</t>
  </si>
  <si>
    <t>360</t>
  </si>
  <si>
    <t>5500</t>
  </si>
  <si>
    <t>Ferrisburgh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</si>
</sst>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4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baseColWidth="10" defaultColWidth="11.1640625" defaultRowHeight="15" customHeight="1" x14ac:dyDescent="0.2"/>
  <cols>
    <col min="1" max="6" width="10.83203125" customWidth="1"/>
    <col min="7" max="7" width="8.83203125" customWidth="1"/>
    <col min="8" max="103" width="10.83203125" customWidth="1"/>
  </cols>
  <sheetData>
    <row r="1" spans="1:10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ht="15.75" customHeight="1" x14ac:dyDescent="0.2">
      <c r="A2" s="2" t="s">
        <v>103</v>
      </c>
      <c r="B2" s="2" t="s">
        <v>103</v>
      </c>
      <c r="C2" s="2" t="s">
        <v>312</v>
      </c>
      <c r="D2" s="3"/>
      <c r="E2" s="3"/>
      <c r="F2" s="2" t="s">
        <v>103</v>
      </c>
      <c r="G2" s="3"/>
      <c r="H2" s="2" t="s">
        <v>104</v>
      </c>
      <c r="I2" s="3"/>
      <c r="J2" s="2" t="s">
        <v>105</v>
      </c>
      <c r="K2" s="3"/>
      <c r="L2" s="2" t="s">
        <v>106</v>
      </c>
      <c r="M2" s="3"/>
      <c r="N2" s="2" t="s">
        <v>107</v>
      </c>
      <c r="O2" s="3"/>
      <c r="P2" s="3"/>
      <c r="Q2" s="2" t="s">
        <v>108</v>
      </c>
      <c r="R2" s="3"/>
      <c r="S2" s="2" t="s">
        <v>109</v>
      </c>
      <c r="T2" s="2" t="s">
        <v>110</v>
      </c>
      <c r="U2" s="2" t="s">
        <v>111</v>
      </c>
      <c r="V2" s="2" t="s">
        <v>110</v>
      </c>
      <c r="W2" s="3"/>
      <c r="X2" s="3"/>
      <c r="Y2" s="3"/>
      <c r="Z2" s="3"/>
      <c r="AA2" s="3"/>
      <c r="AB2" s="2" t="s">
        <v>103</v>
      </c>
      <c r="AC2" s="2" t="s">
        <v>103</v>
      </c>
      <c r="AD2" s="3"/>
      <c r="AE2" s="3"/>
      <c r="AF2" s="3"/>
      <c r="AG2" s="3"/>
      <c r="AH2" s="3"/>
      <c r="AI2" s="3"/>
      <c r="AJ2" s="2" t="s">
        <v>112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2" t="s">
        <v>113</v>
      </c>
      <c r="AX2" s="3"/>
      <c r="AY2" s="2" t="s">
        <v>114</v>
      </c>
      <c r="AZ2" s="3"/>
      <c r="BA2" s="3"/>
      <c r="BB2" s="3"/>
      <c r="BC2" s="3"/>
      <c r="BD2" s="2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2" t="s">
        <v>103</v>
      </c>
      <c r="CD2" s="2" t="s">
        <v>109</v>
      </c>
      <c r="CE2" s="3"/>
      <c r="CF2" s="3"/>
      <c r="CG2" s="3"/>
      <c r="CH2" s="3"/>
      <c r="CI2" s="2" t="s">
        <v>103</v>
      </c>
      <c r="CJ2" s="2" t="s">
        <v>115</v>
      </c>
      <c r="CK2" s="2" t="s">
        <v>115</v>
      </c>
      <c r="CL2" s="3"/>
      <c r="CM2" s="3"/>
      <c r="CN2" s="3"/>
      <c r="CO2" s="2" t="s">
        <v>115</v>
      </c>
      <c r="CP2" s="3"/>
      <c r="CQ2" s="3"/>
      <c r="CR2" s="3"/>
      <c r="CS2" s="3"/>
      <c r="CT2" s="3"/>
      <c r="CU2" s="3"/>
      <c r="CV2" s="3"/>
      <c r="CW2" s="3"/>
      <c r="CX2" s="3"/>
      <c r="CY2" s="3"/>
    </row>
    <row r="3" spans="1:103" ht="15.75" customHeight="1" x14ac:dyDescent="0.2">
      <c r="A3" s="2" t="s">
        <v>116</v>
      </c>
      <c r="B3" s="2" t="s">
        <v>103</v>
      </c>
      <c r="C3" s="2" t="s">
        <v>312</v>
      </c>
      <c r="D3" s="3"/>
      <c r="E3" s="2" t="s">
        <v>103</v>
      </c>
      <c r="F3" s="3"/>
      <c r="G3" s="3"/>
      <c r="H3" s="2" t="s">
        <v>117</v>
      </c>
      <c r="I3" s="2" t="s">
        <v>118</v>
      </c>
      <c r="J3" s="3"/>
      <c r="K3" s="3"/>
      <c r="L3" s="2" t="s">
        <v>119</v>
      </c>
      <c r="M3" s="2" t="s">
        <v>109</v>
      </c>
      <c r="N3" s="2" t="s">
        <v>112</v>
      </c>
      <c r="O3" s="3"/>
      <c r="P3" s="3"/>
      <c r="Q3" s="3"/>
      <c r="R3" s="3"/>
      <c r="S3" s="2" t="s">
        <v>120</v>
      </c>
      <c r="T3" s="2" t="s">
        <v>115</v>
      </c>
      <c r="U3" s="3"/>
      <c r="V3" s="2" t="s">
        <v>121</v>
      </c>
      <c r="W3" s="3"/>
      <c r="X3" s="3"/>
      <c r="Y3" s="2" t="s">
        <v>103</v>
      </c>
      <c r="Z3" s="3"/>
      <c r="AA3" s="3"/>
      <c r="AB3" s="3"/>
      <c r="AC3" s="2" t="s">
        <v>116</v>
      </c>
      <c r="AD3" s="3"/>
      <c r="AE3" s="3"/>
      <c r="AF3" s="3"/>
      <c r="AG3" s="3"/>
      <c r="AH3" s="3"/>
      <c r="AI3" s="3"/>
      <c r="AJ3" s="2" t="s">
        <v>109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 t="s">
        <v>103</v>
      </c>
      <c r="AW3" s="2" t="s">
        <v>122</v>
      </c>
      <c r="AX3" s="3"/>
      <c r="AY3" s="2" t="s">
        <v>123</v>
      </c>
      <c r="AZ3" s="3"/>
      <c r="BA3" s="3"/>
      <c r="BB3" s="3"/>
      <c r="BC3" s="3"/>
      <c r="BD3" s="2">
        <f>3/4</f>
        <v>0.75</v>
      </c>
      <c r="BE3" s="2" t="s">
        <v>124</v>
      </c>
      <c r="BF3" s="3"/>
      <c r="BG3" s="3"/>
      <c r="BH3" s="3"/>
      <c r="BI3" s="3"/>
      <c r="BJ3" s="2" t="s">
        <v>103</v>
      </c>
      <c r="BK3" s="2" t="s">
        <v>116</v>
      </c>
      <c r="BL3" s="3"/>
      <c r="BM3" s="3"/>
      <c r="BN3" s="2" t="s">
        <v>103</v>
      </c>
      <c r="BO3" s="3"/>
      <c r="BP3" s="2" t="s">
        <v>103</v>
      </c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2">
        <f>1/2</f>
        <v>0.5</v>
      </c>
      <c r="CD3" s="2" t="s">
        <v>104</v>
      </c>
      <c r="CE3" s="3"/>
      <c r="CF3" s="3"/>
      <c r="CG3" s="3"/>
      <c r="CH3" s="3"/>
      <c r="CI3" s="2" t="s">
        <v>116</v>
      </c>
      <c r="CJ3" s="2" t="s">
        <v>121</v>
      </c>
      <c r="CK3" s="2" t="s">
        <v>113</v>
      </c>
      <c r="CL3" s="3"/>
      <c r="CM3" s="3"/>
      <c r="CN3" s="3"/>
      <c r="CO3" s="2" t="s">
        <v>113</v>
      </c>
      <c r="CP3" s="3"/>
      <c r="CQ3" s="3"/>
      <c r="CR3" s="3"/>
      <c r="CS3" s="3"/>
      <c r="CT3" s="3"/>
      <c r="CU3" s="3"/>
      <c r="CV3" s="3"/>
      <c r="CW3" s="3"/>
      <c r="CX3" s="3"/>
      <c r="CY3" s="3"/>
    </row>
    <row r="4" spans="1:103" ht="15.75" customHeight="1" x14ac:dyDescent="0.2">
      <c r="A4" s="2" t="s">
        <v>117</v>
      </c>
      <c r="B4" s="2" t="s">
        <v>103</v>
      </c>
      <c r="C4" s="2" t="s">
        <v>312</v>
      </c>
      <c r="D4" s="3"/>
      <c r="E4" s="2" t="s">
        <v>103</v>
      </c>
      <c r="F4" s="3"/>
      <c r="G4" s="3"/>
      <c r="H4" s="2">
        <f>1/2</f>
        <v>0.5</v>
      </c>
      <c r="I4" s="2" t="s">
        <v>111</v>
      </c>
      <c r="J4" s="2">
        <f>1/2</f>
        <v>0.5</v>
      </c>
      <c r="K4" s="3"/>
      <c r="L4" s="2" t="s">
        <v>125</v>
      </c>
      <c r="M4" s="2" t="s">
        <v>109</v>
      </c>
      <c r="N4" s="2" t="s">
        <v>112</v>
      </c>
      <c r="O4" s="3"/>
      <c r="P4" s="3"/>
      <c r="Q4" s="3"/>
      <c r="R4" s="3"/>
      <c r="S4" s="2" t="s">
        <v>109</v>
      </c>
      <c r="T4" s="2">
        <f>1/2</f>
        <v>0.5</v>
      </c>
      <c r="U4" s="2" t="s">
        <v>117</v>
      </c>
      <c r="V4" s="2" t="s">
        <v>103</v>
      </c>
      <c r="W4" s="3"/>
      <c r="X4" s="3"/>
      <c r="Y4" s="3"/>
      <c r="Z4" s="3"/>
      <c r="AA4" s="3"/>
      <c r="AB4" s="3"/>
      <c r="AC4" s="2" t="s">
        <v>103</v>
      </c>
      <c r="AD4" s="3"/>
      <c r="AE4" s="3"/>
      <c r="AF4" s="3"/>
      <c r="AG4" s="3"/>
      <c r="AH4" s="3"/>
      <c r="AI4" s="3"/>
      <c r="AJ4" s="2" t="s">
        <v>112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2" t="s">
        <v>105</v>
      </c>
      <c r="AX4" s="3"/>
      <c r="AY4" s="2" t="s">
        <v>126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2">
        <f>1/4</f>
        <v>0.25</v>
      </c>
      <c r="CD4" s="2" t="s">
        <v>104</v>
      </c>
      <c r="CE4" s="3"/>
      <c r="CF4" s="3"/>
      <c r="CG4" s="3"/>
      <c r="CH4" s="3"/>
      <c r="CI4" s="2" t="s">
        <v>103</v>
      </c>
      <c r="CJ4" s="2" t="s">
        <v>113</v>
      </c>
      <c r="CK4" s="2" t="s">
        <v>104</v>
      </c>
      <c r="CL4" s="3"/>
      <c r="CM4" s="3"/>
      <c r="CN4" s="3"/>
      <c r="CO4" s="2" t="s">
        <v>108</v>
      </c>
      <c r="CP4" s="3"/>
      <c r="CQ4" s="3"/>
      <c r="CR4" s="3"/>
      <c r="CS4" s="3"/>
      <c r="CT4" s="3"/>
      <c r="CU4" s="3"/>
      <c r="CV4" s="3"/>
      <c r="CW4" s="3"/>
      <c r="CX4" s="3"/>
      <c r="CY4" s="3"/>
    </row>
    <row r="5" spans="1:103" ht="15.75" customHeight="1" x14ac:dyDescent="0.2">
      <c r="A5" s="2" t="s">
        <v>111</v>
      </c>
      <c r="B5" s="2" t="s">
        <v>103</v>
      </c>
      <c r="C5" s="2" t="s">
        <v>312</v>
      </c>
      <c r="D5" s="3"/>
      <c r="E5" s="2" t="s">
        <v>103</v>
      </c>
      <c r="F5" s="3"/>
      <c r="G5" s="3"/>
      <c r="H5" s="2" t="s">
        <v>117</v>
      </c>
      <c r="I5" s="2" t="s">
        <v>127</v>
      </c>
      <c r="J5" s="3"/>
      <c r="K5" s="3"/>
      <c r="L5" s="2" t="s">
        <v>128</v>
      </c>
      <c r="M5" s="2" t="s">
        <v>109</v>
      </c>
      <c r="N5" s="2" t="s">
        <v>129</v>
      </c>
      <c r="O5" s="2" t="s">
        <v>108</v>
      </c>
      <c r="P5" s="3"/>
      <c r="Q5" s="2" t="s">
        <v>126</v>
      </c>
      <c r="R5" s="3"/>
      <c r="S5" s="2" t="s">
        <v>130</v>
      </c>
      <c r="T5" s="3"/>
      <c r="U5" s="3"/>
      <c r="V5" s="3"/>
      <c r="W5" s="3"/>
      <c r="X5" s="3"/>
      <c r="Y5" s="2" t="s">
        <v>103</v>
      </c>
      <c r="Z5" s="3"/>
      <c r="AA5" s="3"/>
      <c r="AB5" s="3"/>
      <c r="AC5" s="2" t="s">
        <v>116</v>
      </c>
      <c r="AD5" s="2" t="s">
        <v>103</v>
      </c>
      <c r="AE5" s="2" t="s">
        <v>103</v>
      </c>
      <c r="AF5" s="3"/>
      <c r="AG5" s="3"/>
      <c r="AH5" s="3"/>
      <c r="AI5" s="3"/>
      <c r="AJ5" s="2" t="s">
        <v>131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 t="s">
        <v>103</v>
      </c>
      <c r="AW5" s="2" t="s">
        <v>104</v>
      </c>
      <c r="AX5" s="3"/>
      <c r="AY5" s="2" t="s">
        <v>112</v>
      </c>
      <c r="AZ5" s="3"/>
      <c r="BA5" s="3"/>
      <c r="BB5" s="3"/>
      <c r="BC5" s="3"/>
      <c r="BD5" s="2" t="s">
        <v>116</v>
      </c>
      <c r="BE5" s="2" t="s">
        <v>109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2" t="s">
        <v>103</v>
      </c>
      <c r="CD5" s="2" t="s">
        <v>123</v>
      </c>
      <c r="CE5" s="3"/>
      <c r="CF5" s="3"/>
      <c r="CG5" s="3"/>
      <c r="CH5" s="3"/>
      <c r="CI5" s="2" t="s">
        <v>103</v>
      </c>
      <c r="CJ5" s="2" t="s">
        <v>104</v>
      </c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</row>
    <row r="6" spans="1:103" ht="15.75" customHeight="1" x14ac:dyDescent="0.2">
      <c r="A6" s="2" t="s">
        <v>121</v>
      </c>
      <c r="B6" s="2" t="s">
        <v>103</v>
      </c>
      <c r="C6" s="2" t="s">
        <v>312</v>
      </c>
      <c r="D6" s="3"/>
      <c r="E6" s="2" t="s">
        <v>103</v>
      </c>
      <c r="F6" s="3"/>
      <c r="G6" s="3"/>
      <c r="H6" s="2" t="s">
        <v>113</v>
      </c>
      <c r="I6" s="2" t="s">
        <v>120</v>
      </c>
      <c r="J6" s="2" t="s">
        <v>132</v>
      </c>
      <c r="K6" s="2" t="s">
        <v>105</v>
      </c>
      <c r="L6" s="2" t="s">
        <v>133</v>
      </c>
      <c r="M6" s="2" t="s">
        <v>130</v>
      </c>
      <c r="N6" s="2" t="s">
        <v>134</v>
      </c>
      <c r="O6" s="2" t="s">
        <v>108</v>
      </c>
      <c r="P6" s="3"/>
      <c r="Q6" s="2" t="s">
        <v>121</v>
      </c>
      <c r="R6" s="3"/>
      <c r="S6" s="2" t="s">
        <v>135</v>
      </c>
      <c r="T6" s="2" t="s">
        <v>136</v>
      </c>
      <c r="U6" s="3"/>
      <c r="V6" s="2" t="s">
        <v>136</v>
      </c>
      <c r="W6" s="3"/>
      <c r="X6" s="3"/>
      <c r="Y6" s="2" t="s">
        <v>116</v>
      </c>
      <c r="Z6" s="3"/>
      <c r="AA6" s="2" t="s">
        <v>116</v>
      </c>
      <c r="AB6" s="2" t="s">
        <v>116</v>
      </c>
      <c r="AC6" s="2" t="s">
        <v>137</v>
      </c>
      <c r="AD6" s="3"/>
      <c r="AE6" s="3"/>
      <c r="AF6" s="2" t="s">
        <v>103</v>
      </c>
      <c r="AG6" s="3"/>
      <c r="AH6" s="3"/>
      <c r="AI6" s="3"/>
      <c r="AJ6" s="3"/>
      <c r="AK6" s="3"/>
      <c r="AL6" s="2" t="s">
        <v>138</v>
      </c>
      <c r="AM6" s="2" t="s">
        <v>139</v>
      </c>
      <c r="AN6" s="3"/>
      <c r="AO6" s="3"/>
      <c r="AP6" s="3"/>
      <c r="AQ6" s="3"/>
      <c r="AR6" s="3"/>
      <c r="AS6" s="3"/>
      <c r="AT6" s="2" t="s">
        <v>138</v>
      </c>
      <c r="AU6" s="2" t="s">
        <v>140</v>
      </c>
      <c r="AV6" s="2" t="s">
        <v>103</v>
      </c>
      <c r="AW6" s="2" t="s">
        <v>108</v>
      </c>
      <c r="AX6" s="3"/>
      <c r="AY6" s="2" t="s">
        <v>112</v>
      </c>
      <c r="AZ6" s="3"/>
      <c r="BA6" s="3"/>
      <c r="BB6" s="3"/>
      <c r="BC6" s="3"/>
      <c r="BD6" s="2" t="s">
        <v>116</v>
      </c>
      <c r="BE6" s="2" t="s">
        <v>132</v>
      </c>
      <c r="BF6" s="2" t="s">
        <v>141</v>
      </c>
      <c r="BG6" s="2" t="s">
        <v>129</v>
      </c>
      <c r="BH6" s="3"/>
      <c r="BI6" s="3"/>
      <c r="BJ6" s="2" t="s">
        <v>116</v>
      </c>
      <c r="BK6" s="2" t="s">
        <v>107</v>
      </c>
      <c r="BL6" s="3"/>
      <c r="BM6" s="3"/>
      <c r="BN6" s="3"/>
      <c r="BO6" s="3"/>
      <c r="BP6" s="2" t="s">
        <v>105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 t="s">
        <v>103</v>
      </c>
      <c r="CD6" s="2" t="s">
        <v>136</v>
      </c>
      <c r="CE6" s="3"/>
      <c r="CF6" s="3"/>
      <c r="CG6" s="3"/>
      <c r="CH6" s="3"/>
      <c r="CI6" s="2" t="s">
        <v>116</v>
      </c>
      <c r="CJ6" s="2" t="s">
        <v>107</v>
      </c>
      <c r="CK6" s="4" t="s">
        <v>142</v>
      </c>
      <c r="CL6" s="3"/>
      <c r="CM6" s="3"/>
      <c r="CN6" s="3"/>
      <c r="CO6" s="2" t="s">
        <v>109</v>
      </c>
      <c r="CP6" s="3"/>
      <c r="CQ6" s="3"/>
      <c r="CR6" s="3"/>
      <c r="CS6" s="3"/>
      <c r="CT6" s="3"/>
      <c r="CU6" s="3"/>
      <c r="CV6" s="3"/>
      <c r="CW6" s="3"/>
      <c r="CX6" s="2" t="s">
        <v>110</v>
      </c>
      <c r="CY6" s="2" t="s">
        <v>104</v>
      </c>
    </row>
    <row r="7" spans="1:103" ht="15.75" customHeight="1" x14ac:dyDescent="0.2">
      <c r="A7" s="2" t="s">
        <v>115</v>
      </c>
      <c r="B7" s="2" t="s">
        <v>103</v>
      </c>
      <c r="C7" s="2" t="s">
        <v>312</v>
      </c>
      <c r="D7" s="3"/>
      <c r="E7" s="3"/>
      <c r="F7" s="3"/>
      <c r="G7" s="2" t="s">
        <v>103</v>
      </c>
      <c r="H7" s="2" t="s">
        <v>108</v>
      </c>
      <c r="I7" s="2" t="s">
        <v>143</v>
      </c>
      <c r="J7" s="2" t="s">
        <v>126</v>
      </c>
      <c r="K7" s="3"/>
      <c r="L7" s="2" t="s">
        <v>144</v>
      </c>
      <c r="M7" s="2" t="s">
        <v>145</v>
      </c>
      <c r="N7" s="2" t="s">
        <v>106</v>
      </c>
      <c r="O7" s="2" t="s">
        <v>121</v>
      </c>
      <c r="P7" s="3"/>
      <c r="Q7" s="2" t="s">
        <v>131</v>
      </c>
      <c r="R7" s="3"/>
      <c r="S7" s="2" t="s">
        <v>135</v>
      </c>
      <c r="T7" s="2" t="s">
        <v>107</v>
      </c>
      <c r="U7" s="3"/>
      <c r="V7" s="2" t="s">
        <v>146</v>
      </c>
      <c r="W7" s="3"/>
      <c r="X7" s="3"/>
      <c r="Y7" s="2" t="s">
        <v>117</v>
      </c>
      <c r="Z7" s="3"/>
      <c r="AA7" s="3"/>
      <c r="AB7" s="2" t="s">
        <v>111</v>
      </c>
      <c r="AC7" s="2" t="s">
        <v>122</v>
      </c>
      <c r="AD7" s="3"/>
      <c r="AE7" s="3"/>
      <c r="AF7" s="3"/>
      <c r="AG7" s="2" t="s">
        <v>103</v>
      </c>
      <c r="AH7" s="3"/>
      <c r="AI7" s="3"/>
      <c r="AJ7" s="2" t="s">
        <v>147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2" t="s">
        <v>115</v>
      </c>
      <c r="AW7" s="2" t="s">
        <v>110</v>
      </c>
      <c r="AX7" s="3"/>
      <c r="AY7" s="2" t="s">
        <v>108</v>
      </c>
      <c r="AZ7" s="3"/>
      <c r="BA7" s="3"/>
      <c r="BB7" s="3"/>
      <c r="BC7" s="3"/>
      <c r="BD7" s="2" t="s">
        <v>137</v>
      </c>
      <c r="BE7" s="2" t="s">
        <v>123</v>
      </c>
      <c r="BF7" s="2" t="s">
        <v>115</v>
      </c>
      <c r="BG7" s="2" t="s">
        <v>131</v>
      </c>
      <c r="BH7" s="3"/>
      <c r="BI7" s="3"/>
      <c r="BJ7" s="2" t="s">
        <v>116</v>
      </c>
      <c r="BK7" s="2" t="s">
        <v>104</v>
      </c>
      <c r="BL7" s="3"/>
      <c r="BM7" s="3"/>
      <c r="BN7" s="3"/>
      <c r="BO7" s="3"/>
      <c r="BP7" s="2" t="s">
        <v>105</v>
      </c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 t="s">
        <v>103</v>
      </c>
      <c r="CD7" s="2" t="s">
        <v>136</v>
      </c>
      <c r="CE7" s="3"/>
      <c r="CF7" s="3"/>
      <c r="CG7" s="3"/>
      <c r="CH7" s="3"/>
      <c r="CI7" s="2" t="s">
        <v>111</v>
      </c>
      <c r="CJ7" s="2" t="s">
        <v>130</v>
      </c>
      <c r="CK7" s="2" t="s">
        <v>112</v>
      </c>
      <c r="CL7" s="3"/>
      <c r="CM7" s="3"/>
      <c r="CN7" s="3"/>
      <c r="CO7" s="2" t="s">
        <v>123</v>
      </c>
      <c r="CP7" s="3"/>
      <c r="CQ7" s="3"/>
      <c r="CR7" s="3"/>
      <c r="CS7" s="3"/>
      <c r="CT7" s="3"/>
      <c r="CU7" s="3"/>
      <c r="CV7" s="3"/>
      <c r="CW7" s="3"/>
      <c r="CX7" s="2" t="s">
        <v>104</v>
      </c>
      <c r="CY7" s="2" t="s">
        <v>136</v>
      </c>
    </row>
    <row r="8" spans="1:103" ht="15.75" customHeight="1" x14ac:dyDescent="0.2">
      <c r="A8" s="2" t="s">
        <v>137</v>
      </c>
      <c r="B8" s="2" t="s">
        <v>103</v>
      </c>
      <c r="C8" s="2" t="s">
        <v>312</v>
      </c>
      <c r="D8" s="3"/>
      <c r="E8" s="2" t="s">
        <v>103</v>
      </c>
      <c r="F8" s="3"/>
      <c r="G8" s="3"/>
      <c r="H8" s="2" t="s">
        <v>110</v>
      </c>
      <c r="I8" s="2" t="s">
        <v>114</v>
      </c>
      <c r="J8" s="2" t="s">
        <v>108</v>
      </c>
      <c r="K8" s="3"/>
      <c r="L8" s="2" t="s">
        <v>148</v>
      </c>
      <c r="M8" s="2" t="s">
        <v>145</v>
      </c>
      <c r="N8" s="2" t="s">
        <v>106</v>
      </c>
      <c r="O8" s="2" t="s">
        <v>126</v>
      </c>
      <c r="P8" s="3"/>
      <c r="Q8" s="2" t="s">
        <v>130</v>
      </c>
      <c r="R8" s="3"/>
      <c r="S8" s="2" t="s">
        <v>149</v>
      </c>
      <c r="T8" s="2" t="s">
        <v>150</v>
      </c>
      <c r="U8" s="3"/>
      <c r="V8" s="2" t="s">
        <v>136</v>
      </c>
      <c r="W8" s="3"/>
      <c r="X8" s="2" t="s">
        <v>115</v>
      </c>
      <c r="Y8" s="2" t="s">
        <v>115</v>
      </c>
      <c r="Z8" s="3"/>
      <c r="AA8" s="3"/>
      <c r="AB8" s="2" t="s">
        <v>139</v>
      </c>
      <c r="AC8" s="2" t="s">
        <v>151</v>
      </c>
      <c r="AD8" s="3"/>
      <c r="AE8" s="2" t="s">
        <v>137</v>
      </c>
      <c r="AF8" s="3"/>
      <c r="AG8" s="3"/>
      <c r="AH8" s="3"/>
      <c r="AI8" s="3"/>
      <c r="AJ8" s="2" t="s">
        <v>119</v>
      </c>
      <c r="AK8" s="3"/>
      <c r="AL8" s="2" t="s">
        <v>136</v>
      </c>
      <c r="AM8" s="2" t="s">
        <v>108</v>
      </c>
      <c r="AN8" s="3"/>
      <c r="AO8" s="2" t="s">
        <v>116</v>
      </c>
      <c r="AP8" s="3"/>
      <c r="AQ8" s="3"/>
      <c r="AR8" s="2" t="s">
        <v>115</v>
      </c>
      <c r="AS8" s="3"/>
      <c r="AT8" s="2" t="s">
        <v>136</v>
      </c>
      <c r="AU8" s="2" t="s">
        <v>145</v>
      </c>
      <c r="AV8" s="2" t="s">
        <v>116</v>
      </c>
      <c r="AW8" s="2" t="s">
        <v>108</v>
      </c>
      <c r="AX8" s="3"/>
      <c r="AY8" s="2" t="s">
        <v>109</v>
      </c>
      <c r="AZ8" s="2" t="s">
        <v>116</v>
      </c>
      <c r="BA8" s="2" t="s">
        <v>107</v>
      </c>
      <c r="BB8" s="3"/>
      <c r="BC8" s="3"/>
      <c r="BD8" s="2" t="s">
        <v>103</v>
      </c>
      <c r="BE8" s="2" t="s">
        <v>107</v>
      </c>
      <c r="BF8" s="2" t="s">
        <v>117</v>
      </c>
      <c r="BG8" s="2" t="s">
        <v>123</v>
      </c>
      <c r="BH8" s="3"/>
      <c r="BI8" s="3"/>
      <c r="BJ8" s="2" t="s">
        <v>117</v>
      </c>
      <c r="BK8" s="2" t="s">
        <v>126</v>
      </c>
      <c r="BL8" s="3"/>
      <c r="BM8" s="3"/>
      <c r="BN8" s="3"/>
      <c r="BO8" s="3"/>
      <c r="BP8" s="2" t="s">
        <v>105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2">
        <f t="shared" ref="CC8:CC10" si="0">1/2</f>
        <v>0.5</v>
      </c>
      <c r="CD8" s="2" t="s">
        <v>110</v>
      </c>
      <c r="CE8" s="3"/>
      <c r="CF8" s="3"/>
      <c r="CG8" s="3"/>
      <c r="CH8" s="3"/>
      <c r="CI8" s="2" t="s">
        <v>117</v>
      </c>
      <c r="CJ8" s="2" t="s">
        <v>152</v>
      </c>
      <c r="CK8" s="2" t="s">
        <v>109</v>
      </c>
      <c r="CL8" s="3"/>
      <c r="CM8" s="3"/>
      <c r="CN8" s="3"/>
      <c r="CO8" s="2" t="s">
        <v>136</v>
      </c>
      <c r="CP8" s="3"/>
      <c r="CQ8" s="3"/>
      <c r="CR8" s="3"/>
      <c r="CS8" s="3"/>
      <c r="CT8" s="3"/>
      <c r="CU8" s="3"/>
      <c r="CV8" s="3"/>
      <c r="CW8" s="3"/>
      <c r="CX8" s="2" t="s">
        <v>110</v>
      </c>
      <c r="CY8" s="2" t="s">
        <v>104</v>
      </c>
    </row>
    <row r="9" spans="1:103" ht="15.75" customHeight="1" x14ac:dyDescent="0.2">
      <c r="A9" s="2" t="s">
        <v>118</v>
      </c>
      <c r="B9" s="2" t="s">
        <v>103</v>
      </c>
      <c r="C9" s="2" t="s">
        <v>312</v>
      </c>
      <c r="D9" s="3"/>
      <c r="E9" s="2" t="s">
        <v>103</v>
      </c>
      <c r="F9" s="3"/>
      <c r="G9" s="3"/>
      <c r="H9" s="2" t="s">
        <v>105</v>
      </c>
      <c r="I9" s="2" t="s">
        <v>121</v>
      </c>
      <c r="J9" s="2" t="s">
        <v>116</v>
      </c>
      <c r="K9" s="3"/>
      <c r="L9" s="2" t="s">
        <v>153</v>
      </c>
      <c r="M9" s="2" t="s">
        <v>145</v>
      </c>
      <c r="N9" s="2" t="s">
        <v>145</v>
      </c>
      <c r="O9" s="2" t="s">
        <v>105</v>
      </c>
      <c r="P9" s="2" t="s">
        <v>105</v>
      </c>
      <c r="Q9" s="2" t="s">
        <v>109</v>
      </c>
      <c r="R9" s="3"/>
      <c r="S9" s="2" t="s">
        <v>134</v>
      </c>
      <c r="T9" s="2" t="s">
        <v>117</v>
      </c>
      <c r="U9" s="3"/>
      <c r="V9" s="2" t="s">
        <v>121</v>
      </c>
      <c r="W9" s="3"/>
      <c r="X9" s="3"/>
      <c r="Y9" s="2" t="s">
        <v>103</v>
      </c>
      <c r="Z9" s="3"/>
      <c r="AA9" s="3"/>
      <c r="AB9" s="2" t="s">
        <v>103</v>
      </c>
      <c r="AC9" s="2" t="s">
        <v>116</v>
      </c>
      <c r="AD9" s="2" t="s">
        <v>117</v>
      </c>
      <c r="AE9" s="2" t="s">
        <v>116</v>
      </c>
      <c r="AF9" s="2" t="s">
        <v>103</v>
      </c>
      <c r="AG9" s="3"/>
      <c r="AH9" s="3"/>
      <c r="AI9" s="3"/>
      <c r="AJ9" s="2" t="s">
        <v>145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2" t="s">
        <v>116</v>
      </c>
      <c r="AW9" s="2" t="s">
        <v>113</v>
      </c>
      <c r="AX9" s="3"/>
      <c r="AY9" s="2" t="s">
        <v>109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4" t="s">
        <v>126</v>
      </c>
      <c r="BV9" s="3"/>
      <c r="BW9" s="3"/>
      <c r="BX9" s="2" t="s">
        <v>118</v>
      </c>
      <c r="BY9" s="3"/>
      <c r="BZ9" s="3"/>
      <c r="CA9" s="3"/>
      <c r="CB9" s="3"/>
      <c r="CC9" s="2">
        <f t="shared" si="0"/>
        <v>0.5</v>
      </c>
      <c r="CD9" s="2" t="s">
        <v>126</v>
      </c>
      <c r="CE9" s="3"/>
      <c r="CF9" s="3"/>
      <c r="CG9" s="3"/>
      <c r="CH9" s="3"/>
      <c r="CI9" s="4">
        <f t="shared" ref="CI9:CI10" si="1">1 +(1/2)</f>
        <v>1.5</v>
      </c>
      <c r="CJ9" s="2" t="s">
        <v>123</v>
      </c>
      <c r="CK9" s="2" t="s">
        <v>112</v>
      </c>
      <c r="CL9" s="3"/>
      <c r="CM9" s="3"/>
      <c r="CN9" s="3"/>
      <c r="CO9" s="2" t="s">
        <v>123</v>
      </c>
      <c r="CP9" s="3"/>
      <c r="CQ9" s="3"/>
      <c r="CR9" s="3"/>
      <c r="CS9" s="3"/>
      <c r="CT9" s="3"/>
      <c r="CU9" s="2" t="s">
        <v>130</v>
      </c>
      <c r="CV9" s="2" t="s">
        <v>126</v>
      </c>
      <c r="CW9" s="3"/>
      <c r="CX9" s="2" t="s">
        <v>113</v>
      </c>
      <c r="CY9" s="2" t="s">
        <v>126</v>
      </c>
    </row>
    <row r="10" spans="1:103" ht="15.75" customHeight="1" x14ac:dyDescent="0.2">
      <c r="A10" s="2" t="s">
        <v>154</v>
      </c>
      <c r="B10" s="2" t="s">
        <v>103</v>
      </c>
      <c r="C10" s="2" t="s">
        <v>312</v>
      </c>
      <c r="D10" s="3"/>
      <c r="E10" s="2" t="s">
        <v>103</v>
      </c>
      <c r="F10" s="3"/>
      <c r="G10" s="3"/>
      <c r="H10" s="2" t="s">
        <v>116</v>
      </c>
      <c r="I10" s="4">
        <f>1 +(1/2)</f>
        <v>1.5</v>
      </c>
      <c r="J10" s="2" t="s">
        <v>124</v>
      </c>
      <c r="K10" s="3"/>
      <c r="L10" s="2" t="s">
        <v>155</v>
      </c>
      <c r="M10" s="2" t="s">
        <v>109</v>
      </c>
      <c r="N10" s="2" t="s">
        <v>130</v>
      </c>
      <c r="O10" s="2" t="s">
        <v>105</v>
      </c>
      <c r="P10" s="3"/>
      <c r="Q10" s="3"/>
      <c r="R10" s="3"/>
      <c r="S10" s="2" t="s">
        <v>109</v>
      </c>
      <c r="T10" s="2" t="s">
        <v>103</v>
      </c>
      <c r="U10" s="3"/>
      <c r="V10" s="2" t="s">
        <v>103</v>
      </c>
      <c r="W10" s="3"/>
      <c r="X10" s="3"/>
      <c r="Y10" s="2" t="s">
        <v>117</v>
      </c>
      <c r="Z10" s="3"/>
      <c r="AA10" s="3"/>
      <c r="AB10" s="3"/>
      <c r="AC10" s="2" t="s">
        <v>103</v>
      </c>
      <c r="AD10" s="3"/>
      <c r="AE10" s="3"/>
      <c r="AF10" s="3"/>
      <c r="AG10" s="3"/>
      <c r="AH10" s="3"/>
      <c r="AI10" s="3"/>
      <c r="AJ10" s="2" t="s">
        <v>109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2" t="s">
        <v>111</v>
      </c>
      <c r="AX10" s="3"/>
      <c r="AY10" s="2" t="s">
        <v>126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2">
        <f t="shared" si="0"/>
        <v>0.5</v>
      </c>
      <c r="CD10" s="2" t="s">
        <v>113</v>
      </c>
      <c r="CE10" s="3"/>
      <c r="CF10" s="3"/>
      <c r="CG10" s="3"/>
      <c r="CH10" s="3"/>
      <c r="CI10" s="4">
        <f t="shared" si="1"/>
        <v>1.5</v>
      </c>
      <c r="CJ10" s="2" t="s">
        <v>109</v>
      </c>
      <c r="CK10" s="2" t="s">
        <v>120</v>
      </c>
      <c r="CL10" s="3"/>
      <c r="CM10" s="3"/>
      <c r="CN10" s="3"/>
      <c r="CO10" s="2" t="s">
        <v>107</v>
      </c>
      <c r="CP10" s="3"/>
      <c r="CQ10" s="3"/>
      <c r="CR10" s="3"/>
      <c r="CS10" s="3"/>
      <c r="CT10" s="3"/>
      <c r="CU10" s="3"/>
      <c r="CV10" s="3"/>
      <c r="CW10" s="3"/>
      <c r="CX10" s="2" t="s">
        <v>105</v>
      </c>
      <c r="CY10" s="2" t="s">
        <v>113</v>
      </c>
    </row>
    <row r="11" spans="1:103" ht="15.75" customHeight="1" x14ac:dyDescent="0.2">
      <c r="A11" s="2" t="s">
        <v>105</v>
      </c>
      <c r="B11" s="2" t="s">
        <v>103</v>
      </c>
      <c r="C11" s="2" t="s">
        <v>312</v>
      </c>
      <c r="D11" s="3"/>
      <c r="E11" s="2" t="s">
        <v>103</v>
      </c>
      <c r="F11" s="3"/>
      <c r="G11" s="3"/>
      <c r="H11" s="2" t="s">
        <v>105</v>
      </c>
      <c r="I11" s="2" t="s">
        <v>114</v>
      </c>
      <c r="J11" s="4" t="s">
        <v>156</v>
      </c>
      <c r="K11" s="3"/>
      <c r="L11" s="2" t="s">
        <v>157</v>
      </c>
      <c r="M11" s="2" t="s">
        <v>145</v>
      </c>
      <c r="N11" s="2" t="s">
        <v>147</v>
      </c>
      <c r="O11" s="2" t="s">
        <v>130</v>
      </c>
      <c r="P11" s="2" t="s">
        <v>104</v>
      </c>
      <c r="Q11" s="2" t="s">
        <v>135</v>
      </c>
      <c r="R11" s="3"/>
      <c r="S11" s="2" t="s">
        <v>106</v>
      </c>
      <c r="T11" s="2" t="s">
        <v>158</v>
      </c>
      <c r="U11" s="3"/>
      <c r="V11" s="2" t="s">
        <v>123</v>
      </c>
      <c r="W11" s="3"/>
      <c r="X11" s="3"/>
      <c r="Y11" s="2" t="s">
        <v>111</v>
      </c>
      <c r="Z11" s="3"/>
      <c r="AA11" s="3"/>
      <c r="AB11" s="2" t="s">
        <v>111</v>
      </c>
      <c r="AC11" s="2" t="s">
        <v>110</v>
      </c>
      <c r="AD11" s="2" t="s">
        <v>151</v>
      </c>
      <c r="AE11" s="2" t="s">
        <v>124</v>
      </c>
      <c r="AF11" s="3"/>
      <c r="AG11" s="2" t="s">
        <v>117</v>
      </c>
      <c r="AH11" s="3"/>
      <c r="AI11" s="3"/>
      <c r="AJ11" s="2" t="s">
        <v>125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2" t="s">
        <v>111</v>
      </c>
      <c r="AW11" s="2" t="s">
        <v>107</v>
      </c>
      <c r="AX11" s="3"/>
      <c r="AY11" s="2" t="s">
        <v>142</v>
      </c>
      <c r="AZ11" s="3"/>
      <c r="BA11" s="3"/>
      <c r="BB11" s="3"/>
      <c r="BC11" s="3"/>
      <c r="BD11" s="4">
        <f>2 +(1/2)</f>
        <v>2.5</v>
      </c>
      <c r="BE11" s="2" t="s">
        <v>114</v>
      </c>
      <c r="BF11" s="2" t="s">
        <v>115</v>
      </c>
      <c r="BG11" s="2" t="s">
        <v>130</v>
      </c>
      <c r="BH11" s="3"/>
      <c r="BI11" s="3"/>
      <c r="BJ11" s="3"/>
      <c r="BK11" s="3"/>
      <c r="BL11" s="3"/>
      <c r="BM11" s="3"/>
      <c r="BN11" s="3"/>
      <c r="BO11" s="3"/>
      <c r="BP11" s="2" t="s">
        <v>118</v>
      </c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4">
        <f>1 +(1/2)</f>
        <v>1.5</v>
      </c>
      <c r="CD11" s="2" t="s">
        <v>159</v>
      </c>
      <c r="CE11" s="3"/>
      <c r="CF11" s="3"/>
      <c r="CG11" s="3"/>
      <c r="CH11" s="3"/>
      <c r="CI11" s="2" t="s">
        <v>117</v>
      </c>
      <c r="CJ11" s="2" t="s">
        <v>109</v>
      </c>
      <c r="CK11" s="2" t="s">
        <v>109</v>
      </c>
      <c r="CL11" s="3"/>
      <c r="CM11" s="3"/>
      <c r="CN11" s="3"/>
      <c r="CO11" s="2" t="s">
        <v>126</v>
      </c>
      <c r="CP11" s="3"/>
      <c r="CQ11" s="3"/>
      <c r="CR11" s="3"/>
      <c r="CS11" s="3"/>
      <c r="CT11" s="3"/>
      <c r="CU11" s="3"/>
      <c r="CV11" s="3"/>
      <c r="CW11" s="3"/>
      <c r="CX11" s="2" t="s">
        <v>160</v>
      </c>
      <c r="CY11" s="4" t="s">
        <v>110</v>
      </c>
    </row>
    <row r="12" spans="1:103" ht="15.75" customHeight="1" x14ac:dyDescent="0.2">
      <c r="A12" s="2" t="s">
        <v>103</v>
      </c>
      <c r="B12" s="2" t="s">
        <v>116</v>
      </c>
      <c r="C12" s="2" t="s">
        <v>312</v>
      </c>
      <c r="D12" s="3"/>
      <c r="E12" s="2" t="s">
        <v>103</v>
      </c>
      <c r="F12" s="3"/>
      <c r="G12" s="3"/>
      <c r="H12" s="2" t="s">
        <v>103</v>
      </c>
      <c r="I12" s="2" t="s">
        <v>111</v>
      </c>
      <c r="J12" s="3"/>
      <c r="K12" s="3"/>
      <c r="L12" s="2" t="s">
        <v>125</v>
      </c>
      <c r="M12" s="2" t="s">
        <v>126</v>
      </c>
      <c r="N12" s="2" t="s">
        <v>126</v>
      </c>
      <c r="O12" s="3"/>
      <c r="P12" s="3"/>
      <c r="Q12" s="3"/>
      <c r="R12" s="3"/>
      <c r="S12" s="2" t="s">
        <v>112</v>
      </c>
      <c r="T12" s="2" t="s">
        <v>116</v>
      </c>
      <c r="U12" s="3"/>
      <c r="V12" s="2" t="s">
        <v>116</v>
      </c>
      <c r="W12" s="3"/>
      <c r="X12" s="3"/>
      <c r="Y12" s="3"/>
      <c r="Z12" s="3"/>
      <c r="AA12" s="3"/>
      <c r="AB12" s="2" t="s">
        <v>103</v>
      </c>
      <c r="AC12" s="3"/>
      <c r="AD12" s="2" t="s">
        <v>103</v>
      </c>
      <c r="AE12" s="3"/>
      <c r="AF12" s="2" t="s">
        <v>103</v>
      </c>
      <c r="AG12" s="3"/>
      <c r="AH12" s="3"/>
      <c r="AI12" s="3"/>
      <c r="AJ12" s="2" t="s">
        <v>130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2" t="s">
        <v>103</v>
      </c>
      <c r="AW12" s="2" t="s">
        <v>118</v>
      </c>
      <c r="AX12" s="3"/>
      <c r="AY12" s="2" t="s">
        <v>126</v>
      </c>
      <c r="AZ12" s="3"/>
      <c r="BA12" s="3"/>
      <c r="BB12" s="3"/>
      <c r="BC12" s="3"/>
      <c r="BD12" s="2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2">
        <f>1/2</f>
        <v>0.5</v>
      </c>
      <c r="CD12" s="2" t="s">
        <v>161</v>
      </c>
      <c r="CE12" s="3"/>
      <c r="CF12" s="3"/>
      <c r="CG12" s="3"/>
      <c r="CH12" s="3"/>
      <c r="CI12" s="2" t="s">
        <v>103</v>
      </c>
      <c r="CJ12" s="2" t="s">
        <v>126</v>
      </c>
      <c r="CK12" s="2" t="s">
        <v>109</v>
      </c>
      <c r="CL12" s="3"/>
      <c r="CM12" s="3"/>
      <c r="CN12" s="3"/>
      <c r="CO12" s="2" t="s">
        <v>126</v>
      </c>
      <c r="CP12" s="3"/>
      <c r="CQ12" s="3"/>
      <c r="CR12" s="3"/>
      <c r="CS12" s="3"/>
      <c r="CT12" s="3"/>
      <c r="CU12" s="3"/>
      <c r="CV12" s="2" t="s">
        <v>108</v>
      </c>
      <c r="CW12" s="3"/>
      <c r="CX12" s="3"/>
      <c r="CY12" s="3"/>
    </row>
    <row r="13" spans="1:103" ht="15.75" customHeight="1" x14ac:dyDescent="0.2">
      <c r="A13" s="2" t="s">
        <v>116</v>
      </c>
      <c r="B13" s="2" t="s">
        <v>116</v>
      </c>
      <c r="C13" s="2" t="s">
        <v>312</v>
      </c>
      <c r="D13" s="3"/>
      <c r="E13" s="2" t="s">
        <v>103</v>
      </c>
      <c r="F13" s="3"/>
      <c r="G13" s="3"/>
      <c r="H13" s="4">
        <f>1 +(1/2)</f>
        <v>1.5</v>
      </c>
      <c r="I13" s="4">
        <f>5 +(1/2)</f>
        <v>5.5</v>
      </c>
      <c r="J13" s="3"/>
      <c r="K13" s="3"/>
      <c r="L13" s="2" t="s">
        <v>155</v>
      </c>
      <c r="M13" s="2" t="s">
        <v>126</v>
      </c>
      <c r="N13" s="2" t="s">
        <v>143</v>
      </c>
      <c r="O13" s="2" t="s">
        <v>105</v>
      </c>
      <c r="P13" s="3"/>
      <c r="Q13" s="2" t="s">
        <v>105</v>
      </c>
      <c r="R13" s="3"/>
      <c r="S13" s="2" t="s">
        <v>112</v>
      </c>
      <c r="T13" s="2" t="s">
        <v>111</v>
      </c>
      <c r="U13" s="3"/>
      <c r="V13" s="2" t="s">
        <v>115</v>
      </c>
      <c r="W13" s="3"/>
      <c r="X13" s="3"/>
      <c r="Y13" s="2" t="s">
        <v>103</v>
      </c>
      <c r="Z13" s="3"/>
      <c r="AA13" s="3"/>
      <c r="AB13" s="2" t="s">
        <v>103</v>
      </c>
      <c r="AC13" s="3"/>
      <c r="AD13" s="3"/>
      <c r="AE13" s="3"/>
      <c r="AF13" s="3"/>
      <c r="AG13" s="3"/>
      <c r="AH13" s="3"/>
      <c r="AI13" s="3"/>
      <c r="AJ13" s="2" t="s">
        <v>112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2" t="s">
        <v>103</v>
      </c>
      <c r="AW13" s="2" t="s">
        <v>113</v>
      </c>
      <c r="AX13" s="3"/>
      <c r="AY13" s="2" t="s">
        <v>112</v>
      </c>
      <c r="AZ13" s="3"/>
      <c r="BA13" s="3"/>
      <c r="BB13" s="3"/>
      <c r="BC13" s="3"/>
      <c r="BD13" s="2" t="s">
        <v>103</v>
      </c>
      <c r="BE13" s="2" t="s">
        <v>107</v>
      </c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2">
        <f>1/4</f>
        <v>0.25</v>
      </c>
      <c r="CD13" s="2" t="s">
        <v>113</v>
      </c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spans="1:103" ht="15.75" customHeight="1" x14ac:dyDescent="0.2">
      <c r="A14" s="2" t="s">
        <v>117</v>
      </c>
      <c r="B14" s="2" t="s">
        <v>116</v>
      </c>
      <c r="C14" s="2" t="s">
        <v>312</v>
      </c>
      <c r="D14" s="3"/>
      <c r="E14" s="2" t="s">
        <v>103</v>
      </c>
      <c r="F14" s="3"/>
      <c r="G14" s="3"/>
      <c r="H14" s="2" t="s">
        <v>103</v>
      </c>
      <c r="I14" s="2" t="s">
        <v>139</v>
      </c>
      <c r="J14" s="2" t="s">
        <v>108</v>
      </c>
      <c r="K14" s="3"/>
      <c r="L14" s="2" t="s">
        <v>153</v>
      </c>
      <c r="M14" s="2" t="s">
        <v>109</v>
      </c>
      <c r="N14" s="2" t="s">
        <v>130</v>
      </c>
      <c r="O14" s="2" t="s">
        <v>121</v>
      </c>
      <c r="P14" s="3"/>
      <c r="Q14" s="2" t="s">
        <v>113</v>
      </c>
      <c r="R14" s="3"/>
      <c r="S14" s="2" t="s">
        <v>130</v>
      </c>
      <c r="T14" s="2" t="s">
        <v>116</v>
      </c>
      <c r="U14" s="3"/>
      <c r="V14" s="2" t="s">
        <v>117</v>
      </c>
      <c r="W14" s="3"/>
      <c r="X14" s="3"/>
      <c r="Y14" s="2" t="s">
        <v>103</v>
      </c>
      <c r="Z14" s="3"/>
      <c r="AA14" s="3"/>
      <c r="AB14" s="2" t="s">
        <v>103</v>
      </c>
      <c r="AC14" s="3"/>
      <c r="AD14" s="2" t="s">
        <v>103</v>
      </c>
      <c r="AE14" s="3"/>
      <c r="AF14" s="3"/>
      <c r="AG14" s="3"/>
      <c r="AH14" s="2" t="s">
        <v>103</v>
      </c>
      <c r="AI14" s="3"/>
      <c r="AJ14" s="2" t="s">
        <v>130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2" t="s">
        <v>103</v>
      </c>
      <c r="AW14" s="3"/>
      <c r="AX14" s="3"/>
      <c r="AY14" s="3"/>
      <c r="AZ14" s="3"/>
      <c r="BA14" s="3"/>
      <c r="BB14" s="3"/>
      <c r="BC14" s="3"/>
      <c r="BD14" s="2"/>
      <c r="BE14" s="2" t="s">
        <v>136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2">
        <f t="shared" ref="CC14:CC17" si="2">1/2</f>
        <v>0.5</v>
      </c>
      <c r="CD14" s="4" t="s">
        <v>104</v>
      </c>
      <c r="CE14" s="3"/>
      <c r="CF14" s="3"/>
      <c r="CG14" s="3"/>
      <c r="CH14" s="3"/>
      <c r="CI14" s="2" t="s">
        <v>103</v>
      </c>
      <c r="CJ14" s="2" t="s">
        <v>110</v>
      </c>
      <c r="CK14" s="2" t="s">
        <v>126</v>
      </c>
      <c r="CL14" s="3"/>
      <c r="CM14" s="3"/>
      <c r="CN14" s="3"/>
      <c r="CO14" s="2" t="s">
        <v>104</v>
      </c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spans="1:103" ht="15.75" customHeight="1" x14ac:dyDescent="0.2">
      <c r="A15" s="2" t="s">
        <v>111</v>
      </c>
      <c r="B15" s="2" t="s">
        <v>116</v>
      </c>
      <c r="C15" s="2" t="s">
        <v>312</v>
      </c>
      <c r="D15" s="3"/>
      <c r="E15" s="2" t="s">
        <v>103</v>
      </c>
      <c r="F15" s="3"/>
      <c r="G15" s="3"/>
      <c r="H15" s="2" t="s">
        <v>116</v>
      </c>
      <c r="I15" s="2" t="s">
        <v>137</v>
      </c>
      <c r="J15" s="3"/>
      <c r="K15" s="3"/>
      <c r="L15" s="2" t="s">
        <v>125</v>
      </c>
      <c r="M15" s="2" t="s">
        <v>109</v>
      </c>
      <c r="N15" s="2" t="s">
        <v>130</v>
      </c>
      <c r="O15" s="3"/>
      <c r="P15" s="3"/>
      <c r="Q15" s="2" t="s">
        <v>105</v>
      </c>
      <c r="R15" s="3"/>
      <c r="S15" s="2" t="s">
        <v>129</v>
      </c>
      <c r="T15" s="2" t="s">
        <v>137</v>
      </c>
      <c r="U15" s="3"/>
      <c r="V15" s="2" t="s">
        <v>137</v>
      </c>
      <c r="W15" s="3"/>
      <c r="X15" s="3"/>
      <c r="Y15" s="2" t="s">
        <v>103</v>
      </c>
      <c r="Z15" s="3"/>
      <c r="AA15" s="3"/>
      <c r="AB15" s="2" t="s">
        <v>116</v>
      </c>
      <c r="AC15" s="3"/>
      <c r="AD15" s="2" t="s">
        <v>116</v>
      </c>
      <c r="AE15" s="3"/>
      <c r="AF15" s="2" t="s">
        <v>103</v>
      </c>
      <c r="AG15" s="3"/>
      <c r="AH15" s="3"/>
      <c r="AI15" s="3"/>
      <c r="AJ15" s="2" t="s">
        <v>131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2" t="s">
        <v>103</v>
      </c>
      <c r="AW15" s="3"/>
      <c r="AX15" s="2" t="s">
        <v>104</v>
      </c>
      <c r="AY15" s="2" t="s">
        <v>109</v>
      </c>
      <c r="AZ15" s="3"/>
      <c r="BA15" s="3"/>
      <c r="BB15" s="3"/>
      <c r="BC15" s="3"/>
      <c r="BD15" s="4">
        <f>1 +(1/2)</f>
        <v>1.5</v>
      </c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2">
        <f t="shared" si="2"/>
        <v>0.5</v>
      </c>
      <c r="CD15" s="2" t="s">
        <v>107</v>
      </c>
      <c r="CE15" s="3"/>
      <c r="CF15" s="3"/>
      <c r="CG15" s="3"/>
      <c r="CH15" s="3"/>
      <c r="CI15" s="2" t="s">
        <v>103</v>
      </c>
      <c r="CJ15" s="2" t="s">
        <v>124</v>
      </c>
      <c r="CK15" s="2" t="s">
        <v>123</v>
      </c>
      <c r="CL15" s="3"/>
      <c r="CM15" s="3"/>
      <c r="CN15" s="3"/>
      <c r="CO15" s="2" t="s">
        <v>107</v>
      </c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spans="1:103" ht="15.75" customHeight="1" x14ac:dyDescent="0.2">
      <c r="A16" s="2" t="s">
        <v>121</v>
      </c>
      <c r="B16" s="2" t="s">
        <v>116</v>
      </c>
      <c r="C16" s="2" t="s">
        <v>312</v>
      </c>
      <c r="D16" s="3"/>
      <c r="E16" s="2" t="s">
        <v>103</v>
      </c>
      <c r="F16" s="3"/>
      <c r="G16" s="3"/>
      <c r="H16" s="2" t="s">
        <v>111</v>
      </c>
      <c r="I16" s="2" t="s">
        <v>137</v>
      </c>
      <c r="J16" s="3"/>
      <c r="K16" s="3"/>
      <c r="L16" s="2" t="s">
        <v>125</v>
      </c>
      <c r="M16" s="2" t="s">
        <v>109</v>
      </c>
      <c r="N16" s="2" t="s">
        <v>130</v>
      </c>
      <c r="O16" s="2" t="s">
        <v>105</v>
      </c>
      <c r="P16" s="3"/>
      <c r="Q16" s="2" t="s">
        <v>107</v>
      </c>
      <c r="R16" s="3"/>
      <c r="S16" s="2" t="s">
        <v>129</v>
      </c>
      <c r="T16" s="2" t="s">
        <v>121</v>
      </c>
      <c r="U16" s="3"/>
      <c r="V16" s="2" t="s">
        <v>115</v>
      </c>
      <c r="W16" s="3"/>
      <c r="X16" s="3"/>
      <c r="Y16" s="2" t="s">
        <v>103</v>
      </c>
      <c r="Z16" s="3"/>
      <c r="AA16" s="3"/>
      <c r="AB16" s="2" t="s">
        <v>103</v>
      </c>
      <c r="AC16" s="3"/>
      <c r="AD16" s="2" t="s">
        <v>116</v>
      </c>
      <c r="AE16" s="3"/>
      <c r="AF16" s="2" t="s">
        <v>117</v>
      </c>
      <c r="AG16" s="3"/>
      <c r="AH16" s="3"/>
      <c r="AI16" s="3"/>
      <c r="AJ16" s="2" t="s">
        <v>131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2" t="s">
        <v>103</v>
      </c>
      <c r="AW16" s="3"/>
      <c r="AX16" s="2" t="s">
        <v>104</v>
      </c>
      <c r="AY16" s="2" t="s">
        <v>145</v>
      </c>
      <c r="AZ16" s="3"/>
      <c r="BA16" s="3"/>
      <c r="BB16" s="3"/>
      <c r="BC16" s="3"/>
      <c r="BD16" s="2" t="s">
        <v>116</v>
      </c>
      <c r="BE16" s="2" t="s">
        <v>126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2">
        <f t="shared" si="2"/>
        <v>0.5</v>
      </c>
      <c r="CD16" s="2" t="s">
        <v>123</v>
      </c>
      <c r="CE16" s="3"/>
      <c r="CF16" s="3"/>
      <c r="CG16" s="3"/>
      <c r="CH16" s="3"/>
      <c r="CI16" s="2" t="s">
        <v>103</v>
      </c>
      <c r="CJ16" s="2" t="s">
        <v>108</v>
      </c>
      <c r="CK16" s="2" t="s">
        <v>126</v>
      </c>
      <c r="CL16" s="3"/>
      <c r="CM16" s="3"/>
      <c r="CN16" s="3"/>
      <c r="CO16" s="2" t="s">
        <v>108</v>
      </c>
      <c r="CP16" s="3"/>
      <c r="CQ16" s="3"/>
      <c r="CR16" s="3"/>
      <c r="CS16" s="3"/>
      <c r="CT16" s="3"/>
      <c r="CU16" s="3"/>
      <c r="CV16" s="3"/>
      <c r="CW16" s="3"/>
      <c r="CX16" s="3"/>
      <c r="CY16" s="3"/>
    </row>
    <row r="17" spans="1:103" ht="15.75" customHeight="1" x14ac:dyDescent="0.2">
      <c r="A17" s="2" t="s">
        <v>115</v>
      </c>
      <c r="B17" s="2" t="s">
        <v>116</v>
      </c>
      <c r="C17" s="2" t="s">
        <v>312</v>
      </c>
      <c r="D17" s="3"/>
      <c r="E17" s="2" t="s">
        <v>103</v>
      </c>
      <c r="F17" s="3"/>
      <c r="G17" s="3"/>
      <c r="H17" s="2" t="s">
        <v>103</v>
      </c>
      <c r="I17" s="2" t="s">
        <v>121</v>
      </c>
      <c r="J17" s="3"/>
      <c r="K17" s="3"/>
      <c r="L17" s="2" t="s">
        <v>119</v>
      </c>
      <c r="M17" s="2" t="s">
        <v>126</v>
      </c>
      <c r="N17" s="2" t="s">
        <v>112</v>
      </c>
      <c r="O17" s="3"/>
      <c r="P17" s="3"/>
      <c r="Q17" s="2" t="s">
        <v>105</v>
      </c>
      <c r="R17" s="3"/>
      <c r="S17" s="2" t="s">
        <v>130</v>
      </c>
      <c r="T17" s="2" t="s">
        <v>103</v>
      </c>
      <c r="U17" s="3"/>
      <c r="V17" s="2" t="s">
        <v>116</v>
      </c>
      <c r="W17" s="3"/>
      <c r="X17" s="3"/>
      <c r="Y17" s="2" t="s">
        <v>103</v>
      </c>
      <c r="Z17" s="3"/>
      <c r="AA17" s="3"/>
      <c r="AB17" s="2" t="s">
        <v>103</v>
      </c>
      <c r="AC17" s="2" t="s">
        <v>103</v>
      </c>
      <c r="AD17" s="2" t="s">
        <v>103</v>
      </c>
      <c r="AE17" s="3"/>
      <c r="AF17" s="3"/>
      <c r="AG17" s="3"/>
      <c r="AH17" s="3"/>
      <c r="AI17" s="3"/>
      <c r="AJ17" s="2" t="s">
        <v>130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2" t="s">
        <v>103</v>
      </c>
      <c r="AW17" s="3"/>
      <c r="AX17" s="2" t="s">
        <v>113</v>
      </c>
      <c r="AY17" s="2" t="s">
        <v>109</v>
      </c>
      <c r="AZ17" s="3"/>
      <c r="BA17" s="3"/>
      <c r="BB17" s="3"/>
      <c r="BC17" s="3"/>
      <c r="BD17" s="2">
        <f>1/2</f>
        <v>0.5</v>
      </c>
      <c r="BE17" s="2" t="s">
        <v>113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2">
        <f t="shared" si="2"/>
        <v>0.5</v>
      </c>
      <c r="CD17" s="2" t="s">
        <v>120</v>
      </c>
      <c r="CE17" s="3"/>
      <c r="CF17" s="3"/>
      <c r="CG17" s="3"/>
      <c r="CH17" s="3"/>
      <c r="CI17" s="2" t="s">
        <v>103</v>
      </c>
      <c r="CJ17" s="2" t="s">
        <v>108</v>
      </c>
      <c r="CK17" s="2" t="s">
        <v>109</v>
      </c>
      <c r="CL17" s="3"/>
      <c r="CM17" s="3"/>
      <c r="CN17" s="3"/>
      <c r="CO17" s="2" t="s">
        <v>126</v>
      </c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spans="1:103" ht="15.75" customHeight="1" x14ac:dyDescent="0.2">
      <c r="A18" s="2" t="s">
        <v>137</v>
      </c>
      <c r="B18" s="2" t="s">
        <v>116</v>
      </c>
      <c r="C18" s="2" t="s">
        <v>312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ht="15.75" customHeight="1" x14ac:dyDescent="0.2">
      <c r="A19" s="2" t="s">
        <v>118</v>
      </c>
      <c r="B19" s="2" t="s">
        <v>116</v>
      </c>
      <c r="C19" s="2" t="s">
        <v>312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0" spans="1:103" ht="15.75" customHeight="1" x14ac:dyDescent="0.2">
      <c r="A20" s="2" t="s">
        <v>154</v>
      </c>
      <c r="B20" s="2" t="s">
        <v>116</v>
      </c>
      <c r="C20" s="2" t="s">
        <v>312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spans="1:103" ht="15.75" customHeight="1" x14ac:dyDescent="0.2">
      <c r="A21" s="2" t="s">
        <v>105</v>
      </c>
      <c r="B21" s="2" t="s">
        <v>116</v>
      </c>
      <c r="C21" s="2" t="s">
        <v>312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spans="1:103" ht="15.75" customHeight="1" x14ac:dyDescent="0.2">
      <c r="A22" s="2" t="s">
        <v>103</v>
      </c>
      <c r="B22" s="2" t="s">
        <v>117</v>
      </c>
      <c r="C22" s="2" t="s">
        <v>312</v>
      </c>
      <c r="D22" s="3"/>
      <c r="E22" s="2" t="s">
        <v>103</v>
      </c>
      <c r="F22" s="3"/>
      <c r="G22" s="3"/>
      <c r="H22" s="3"/>
      <c r="I22" s="2" t="s">
        <v>121</v>
      </c>
      <c r="J22" s="2" t="s">
        <v>108</v>
      </c>
      <c r="K22" s="3"/>
      <c r="L22" s="2" t="s">
        <v>155</v>
      </c>
      <c r="M22" s="2" t="s">
        <v>126</v>
      </c>
      <c r="N22" s="2" t="s">
        <v>130</v>
      </c>
      <c r="O22" s="3"/>
      <c r="P22" s="3"/>
      <c r="Q22" s="3"/>
      <c r="R22" s="3"/>
      <c r="S22" s="2" t="s">
        <v>112</v>
      </c>
      <c r="T22" s="2" t="s">
        <v>116</v>
      </c>
      <c r="U22" s="3"/>
      <c r="V22" s="2" t="s">
        <v>116</v>
      </c>
      <c r="W22" s="3"/>
      <c r="X22" s="3"/>
      <c r="Y22" s="2" t="s">
        <v>103</v>
      </c>
      <c r="Z22" s="3"/>
      <c r="AA22" s="3"/>
      <c r="AB22" s="2" t="s">
        <v>116</v>
      </c>
      <c r="AC22" s="3"/>
      <c r="AD22" s="2" t="s">
        <v>116</v>
      </c>
      <c r="AE22" s="3"/>
      <c r="AF22" s="2" t="s">
        <v>116</v>
      </c>
      <c r="AG22" s="3"/>
      <c r="AH22" s="3"/>
      <c r="AI22" s="3"/>
      <c r="AJ22" s="2" t="s">
        <v>130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 t="s">
        <v>103</v>
      </c>
      <c r="AW22" s="2" t="s">
        <v>104</v>
      </c>
      <c r="AX22" s="3"/>
      <c r="AY22" s="2" t="s">
        <v>109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>
        <f>1/2</f>
        <v>0.5</v>
      </c>
      <c r="CD22" s="2" t="s">
        <v>104</v>
      </c>
      <c r="CE22" s="3"/>
      <c r="CF22" s="3"/>
      <c r="CG22" s="3"/>
      <c r="CH22" s="3"/>
      <c r="CI22" s="2">
        <f>1/2</f>
        <v>0.5</v>
      </c>
      <c r="CJ22" s="3"/>
      <c r="CK22" s="2" t="s">
        <v>108</v>
      </c>
      <c r="CL22" s="3"/>
      <c r="CM22" s="3"/>
      <c r="CN22" s="3"/>
      <c r="CO22" s="2" t="s">
        <v>110</v>
      </c>
      <c r="CP22" s="3"/>
      <c r="CQ22" s="3"/>
      <c r="CR22" s="3"/>
      <c r="CS22" s="3"/>
      <c r="CT22" s="3"/>
      <c r="CU22" s="3"/>
      <c r="CV22" s="2" t="s">
        <v>126</v>
      </c>
      <c r="CW22" s="3"/>
      <c r="CX22" s="2" t="s">
        <v>113</v>
      </c>
      <c r="CY22" s="2" t="s">
        <v>107</v>
      </c>
    </row>
    <row r="23" spans="1:103" ht="15.75" customHeight="1" x14ac:dyDescent="0.2">
      <c r="A23" s="2" t="s">
        <v>116</v>
      </c>
      <c r="B23" s="2" t="s">
        <v>117</v>
      </c>
      <c r="C23" s="2" t="s">
        <v>312</v>
      </c>
      <c r="D23" s="3"/>
      <c r="E23" s="2" t="s">
        <v>103</v>
      </c>
      <c r="F23" s="3"/>
      <c r="G23" s="3"/>
      <c r="H23" s="2" t="s">
        <v>109</v>
      </c>
      <c r="I23" s="2" t="s">
        <v>134</v>
      </c>
      <c r="J23" s="2" t="s">
        <v>109</v>
      </c>
      <c r="K23" s="3"/>
      <c r="L23" s="2" t="s">
        <v>162</v>
      </c>
      <c r="M23" s="2" t="s">
        <v>131</v>
      </c>
      <c r="N23" s="2" t="s">
        <v>153</v>
      </c>
      <c r="O23" s="2" t="s">
        <v>126</v>
      </c>
      <c r="P23" s="2" t="s">
        <v>105</v>
      </c>
      <c r="Q23" s="2" t="s">
        <v>135</v>
      </c>
      <c r="R23" s="3"/>
      <c r="S23" s="2" t="s">
        <v>125</v>
      </c>
      <c r="T23" s="2" t="s">
        <v>112</v>
      </c>
      <c r="U23" s="3"/>
      <c r="V23" s="2" t="s">
        <v>152</v>
      </c>
      <c r="W23" s="3"/>
      <c r="X23" s="3"/>
      <c r="Y23" s="2" t="s">
        <v>139</v>
      </c>
      <c r="Z23" s="3"/>
      <c r="AA23" s="3"/>
      <c r="AB23" s="4" t="s">
        <v>113</v>
      </c>
      <c r="AC23" s="2" t="s">
        <v>120</v>
      </c>
      <c r="AD23" s="2" t="s">
        <v>113</v>
      </c>
      <c r="AE23" s="2" t="s">
        <v>109</v>
      </c>
      <c r="AF23" s="2" t="s">
        <v>109</v>
      </c>
      <c r="AG23" s="3"/>
      <c r="AH23" s="3"/>
      <c r="AI23" s="3"/>
      <c r="AJ23" s="2" t="s">
        <v>135</v>
      </c>
      <c r="AK23" s="3"/>
      <c r="AL23" s="2" t="s">
        <v>163</v>
      </c>
      <c r="AM23" s="2" t="s">
        <v>140</v>
      </c>
      <c r="AN23" s="2" t="s">
        <v>131</v>
      </c>
      <c r="AO23" s="2" t="s">
        <v>145</v>
      </c>
      <c r="AP23" s="3"/>
      <c r="AQ23" s="3"/>
      <c r="AR23" s="3"/>
      <c r="AS23" s="3"/>
      <c r="AT23" s="4" t="s">
        <v>164</v>
      </c>
      <c r="AU23" s="4" t="s">
        <v>155</v>
      </c>
      <c r="AV23" s="2" t="s">
        <v>111</v>
      </c>
      <c r="AW23" s="2" t="s">
        <v>107</v>
      </c>
      <c r="AX23" s="3"/>
      <c r="AY23" s="2" t="s">
        <v>130</v>
      </c>
      <c r="AZ23" s="2" t="s">
        <v>111</v>
      </c>
      <c r="BA23" s="2" t="s">
        <v>120</v>
      </c>
      <c r="BB23" s="2" t="s">
        <v>117</v>
      </c>
      <c r="BC23" s="2" t="s">
        <v>136</v>
      </c>
      <c r="BD23" s="2" t="s">
        <v>115</v>
      </c>
      <c r="BE23" s="2" t="s">
        <v>142</v>
      </c>
      <c r="BF23" s="2" t="s">
        <v>120</v>
      </c>
      <c r="BG23" s="2" t="s">
        <v>155</v>
      </c>
      <c r="BH23" s="2" t="s">
        <v>111</v>
      </c>
      <c r="BI23" s="4" t="s">
        <v>136</v>
      </c>
      <c r="BJ23" s="2" t="s">
        <v>103</v>
      </c>
      <c r="BK23" s="2" t="s">
        <v>113</v>
      </c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2" t="s">
        <v>111</v>
      </c>
      <c r="CD23" s="2" t="s">
        <v>131</v>
      </c>
      <c r="CE23" s="3"/>
      <c r="CF23" s="3"/>
      <c r="CG23" s="3"/>
      <c r="CH23" s="3"/>
      <c r="CI23" s="2" t="s">
        <v>111</v>
      </c>
      <c r="CJ23" s="2" t="s">
        <v>130</v>
      </c>
      <c r="CK23" s="2" t="s">
        <v>143</v>
      </c>
      <c r="CL23" s="3"/>
      <c r="CM23" s="3"/>
      <c r="CN23" s="3"/>
      <c r="CO23" s="2" t="s">
        <v>123</v>
      </c>
      <c r="CP23" s="3"/>
      <c r="CQ23" s="3"/>
      <c r="CR23" s="3"/>
      <c r="CS23" s="3"/>
      <c r="CT23" s="3"/>
      <c r="CU23" s="3"/>
      <c r="CV23" s="3"/>
      <c r="CW23" s="3"/>
      <c r="CX23" s="3"/>
      <c r="CY23" s="3"/>
    </row>
    <row r="24" spans="1:103" ht="15.75" customHeight="1" x14ac:dyDescent="0.2">
      <c r="A24" s="2" t="s">
        <v>117</v>
      </c>
      <c r="B24" s="2" t="s">
        <v>117</v>
      </c>
      <c r="C24" s="2" t="s">
        <v>312</v>
      </c>
      <c r="D24" s="3"/>
      <c r="E24" s="2" t="s">
        <v>103</v>
      </c>
      <c r="F24" s="3"/>
      <c r="G24" s="3"/>
      <c r="H24" s="2" t="s">
        <v>117</v>
      </c>
      <c r="I24" s="2" t="s">
        <v>103</v>
      </c>
      <c r="J24" s="3"/>
      <c r="K24" s="3"/>
      <c r="L24" s="2" t="s">
        <v>142</v>
      </c>
      <c r="M24" s="2" t="s">
        <v>105</v>
      </c>
      <c r="N24" s="2" t="s">
        <v>126</v>
      </c>
      <c r="O24" s="3"/>
      <c r="P24" s="3"/>
      <c r="Q24" s="3"/>
      <c r="R24" s="3"/>
      <c r="S24" s="2" t="s">
        <v>109</v>
      </c>
      <c r="T24" s="2" t="s">
        <v>103</v>
      </c>
      <c r="U24" s="3"/>
      <c r="V24" s="2" t="s">
        <v>103</v>
      </c>
      <c r="W24" s="3"/>
      <c r="X24" s="3"/>
      <c r="Y24" s="2" t="s">
        <v>103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2" t="s">
        <v>139</v>
      </c>
      <c r="AX24" s="3"/>
      <c r="AY24" s="2" t="s">
        <v>126</v>
      </c>
      <c r="AZ24" s="3"/>
      <c r="BA24" s="3"/>
      <c r="BB24" s="3"/>
      <c r="BC24" s="3"/>
      <c r="BD24" s="2" t="s">
        <v>103</v>
      </c>
      <c r="BE24" s="2" t="s">
        <v>108</v>
      </c>
      <c r="BF24" s="3"/>
      <c r="BG24" s="3"/>
      <c r="BH24" s="3"/>
      <c r="BI24" s="3"/>
      <c r="BJ24" s="4" t="s">
        <v>103</v>
      </c>
      <c r="BK24" s="4" t="s">
        <v>105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2" t="s">
        <v>103</v>
      </c>
      <c r="CD24" s="2" t="s">
        <v>126</v>
      </c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spans="1:103" ht="15.75" customHeight="1" x14ac:dyDescent="0.2">
      <c r="A25" s="2" t="s">
        <v>111</v>
      </c>
      <c r="B25" s="2" t="s">
        <v>117</v>
      </c>
      <c r="C25" s="2" t="s">
        <v>312</v>
      </c>
      <c r="D25" s="3"/>
      <c r="E25" s="2" t="s">
        <v>103</v>
      </c>
      <c r="F25" s="3"/>
      <c r="G25" s="3"/>
      <c r="H25" s="2" t="s">
        <v>110</v>
      </c>
      <c r="I25" s="2" t="s">
        <v>107</v>
      </c>
      <c r="J25" s="3"/>
      <c r="K25" s="3"/>
      <c r="L25" s="2" t="s">
        <v>128</v>
      </c>
      <c r="M25" s="2" t="s">
        <v>109</v>
      </c>
      <c r="N25" s="2" t="s">
        <v>131</v>
      </c>
      <c r="O25" s="3"/>
      <c r="P25" s="3"/>
      <c r="Q25" s="2" t="s">
        <v>109</v>
      </c>
      <c r="R25" s="3"/>
      <c r="S25" s="2" t="s">
        <v>131</v>
      </c>
      <c r="T25" s="2" t="s">
        <v>113</v>
      </c>
      <c r="U25" s="3"/>
      <c r="V25" s="2" t="s">
        <v>108</v>
      </c>
      <c r="W25" s="3"/>
      <c r="X25" s="3"/>
      <c r="Y25" s="2" t="s">
        <v>116</v>
      </c>
      <c r="Z25" s="3"/>
      <c r="AA25" s="3"/>
      <c r="AB25" s="2" t="s">
        <v>118</v>
      </c>
      <c r="AC25" s="2" t="s">
        <v>103</v>
      </c>
      <c r="AD25" s="2" t="s">
        <v>118</v>
      </c>
      <c r="AE25" s="3"/>
      <c r="AF25" s="2" t="s">
        <v>118</v>
      </c>
      <c r="AG25" s="3"/>
      <c r="AH25" s="3"/>
      <c r="AI25" s="3"/>
      <c r="AJ25" s="2" t="s">
        <v>165</v>
      </c>
      <c r="AK25" s="3"/>
      <c r="AL25" s="2" t="s">
        <v>103</v>
      </c>
      <c r="AM25" s="3"/>
      <c r="AN25" s="3"/>
      <c r="AO25" s="3"/>
      <c r="AP25" s="3"/>
      <c r="AQ25" s="3"/>
      <c r="AR25" s="3"/>
      <c r="AS25" s="3"/>
      <c r="AT25" s="3"/>
      <c r="AU25" s="3"/>
      <c r="AV25" s="2" t="s">
        <v>117</v>
      </c>
      <c r="AW25" s="2" t="s">
        <v>166</v>
      </c>
      <c r="AX25" s="3"/>
      <c r="AY25" s="2" t="s">
        <v>109</v>
      </c>
      <c r="AZ25" s="3"/>
      <c r="BA25" s="3"/>
      <c r="BB25" s="3"/>
      <c r="BC25" s="3"/>
      <c r="BD25" s="2">
        <f>1/2</f>
        <v>0.5</v>
      </c>
      <c r="BE25" s="2" t="s">
        <v>113</v>
      </c>
      <c r="BF25" s="2" t="s">
        <v>121</v>
      </c>
      <c r="BG25" s="2" t="s">
        <v>112</v>
      </c>
      <c r="BH25" s="3"/>
      <c r="BI25" s="3"/>
      <c r="BJ25" s="2" t="s">
        <v>116</v>
      </c>
      <c r="BK25" s="2" t="s">
        <v>167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2" t="s">
        <v>103</v>
      </c>
      <c r="CD25" s="2" t="s">
        <v>126</v>
      </c>
      <c r="CE25" s="3"/>
      <c r="CF25" s="3"/>
      <c r="CG25" s="3"/>
      <c r="CH25" s="3"/>
      <c r="CI25" s="2" t="s">
        <v>111</v>
      </c>
      <c r="CJ25" s="2" t="s">
        <v>104</v>
      </c>
      <c r="CK25" s="2" t="s">
        <v>130</v>
      </c>
      <c r="CL25" s="3"/>
      <c r="CM25" s="3"/>
      <c r="CN25" s="3"/>
      <c r="CO25" s="2" t="s">
        <v>107</v>
      </c>
      <c r="CP25" s="3"/>
      <c r="CQ25" s="3"/>
      <c r="CR25" s="3"/>
      <c r="CS25" s="3"/>
      <c r="CT25" s="3"/>
      <c r="CU25" s="3"/>
      <c r="CV25" s="2" t="s">
        <v>130</v>
      </c>
      <c r="CW25" s="3"/>
      <c r="CX25" s="2" t="s">
        <v>105</v>
      </c>
      <c r="CY25" s="2" t="s">
        <v>113</v>
      </c>
    </row>
    <row r="26" spans="1:103" ht="15.75" customHeight="1" x14ac:dyDescent="0.2">
      <c r="A26" s="2" t="s">
        <v>121</v>
      </c>
      <c r="B26" s="2" t="s">
        <v>117</v>
      </c>
      <c r="C26" s="2" t="s">
        <v>312</v>
      </c>
      <c r="D26" s="3"/>
      <c r="E26" s="2" t="s">
        <v>103</v>
      </c>
      <c r="F26" s="3"/>
      <c r="G26" s="3"/>
      <c r="H26" s="2" t="s">
        <v>168</v>
      </c>
      <c r="I26" s="2" t="s">
        <v>123</v>
      </c>
      <c r="J26" s="2" t="s">
        <v>107</v>
      </c>
      <c r="K26" s="2" t="s">
        <v>113</v>
      </c>
      <c r="L26" s="2" t="s">
        <v>153</v>
      </c>
      <c r="M26" s="2" t="s">
        <v>130</v>
      </c>
      <c r="N26" s="2" t="s">
        <v>135</v>
      </c>
      <c r="O26" s="2" t="s">
        <v>121</v>
      </c>
      <c r="P26" s="2" t="s">
        <v>121</v>
      </c>
      <c r="Q26" s="2" t="s">
        <v>109</v>
      </c>
      <c r="R26" s="3"/>
      <c r="S26" s="2" t="s">
        <v>134</v>
      </c>
      <c r="T26" s="2" t="s">
        <v>108</v>
      </c>
      <c r="U26" s="3"/>
      <c r="V26" s="2" t="s">
        <v>113</v>
      </c>
      <c r="W26" s="3"/>
      <c r="X26" s="3"/>
      <c r="Y26" s="2" t="s">
        <v>111</v>
      </c>
      <c r="Z26" s="3"/>
      <c r="AA26" s="3"/>
      <c r="AB26" s="2" t="s">
        <v>154</v>
      </c>
      <c r="AC26" s="2" t="s">
        <v>111</v>
      </c>
      <c r="AD26" s="2" t="s">
        <v>137</v>
      </c>
      <c r="AE26" s="2" t="s">
        <v>103</v>
      </c>
      <c r="AF26" s="3"/>
      <c r="AG26" s="2" t="s">
        <v>137</v>
      </c>
      <c r="AH26" s="3"/>
      <c r="AI26" s="3"/>
      <c r="AJ26" s="2" t="s">
        <v>147</v>
      </c>
      <c r="AK26" s="2" t="s">
        <v>135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2" t="s">
        <v>121</v>
      </c>
      <c r="AW26" s="2" t="s">
        <v>126</v>
      </c>
      <c r="AX26" s="3"/>
      <c r="AY26" s="2" t="s">
        <v>145</v>
      </c>
      <c r="AZ26" s="2" t="s">
        <v>103</v>
      </c>
      <c r="BA26" s="2" t="s">
        <v>105</v>
      </c>
      <c r="BB26" s="2" t="s">
        <v>111</v>
      </c>
      <c r="BC26" s="3"/>
      <c r="BD26" s="2" t="s">
        <v>103</v>
      </c>
      <c r="BE26" s="2" t="s">
        <v>105</v>
      </c>
      <c r="BF26" s="2" t="s">
        <v>113</v>
      </c>
      <c r="BG26" s="4" t="s">
        <v>169</v>
      </c>
      <c r="BH26" s="3"/>
      <c r="BI26" s="3"/>
      <c r="BJ26" s="2" t="s">
        <v>117</v>
      </c>
      <c r="BK26" s="2" t="s">
        <v>107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2" t="s">
        <v>103</v>
      </c>
      <c r="CD26" s="2" t="s">
        <v>126</v>
      </c>
      <c r="CE26" s="3"/>
      <c r="CF26" s="3"/>
      <c r="CG26" s="3"/>
      <c r="CH26" s="3"/>
      <c r="CI26" s="4">
        <f>1 +(1/2)</f>
        <v>1.5</v>
      </c>
      <c r="CJ26" s="2" t="s">
        <v>126</v>
      </c>
      <c r="CK26" s="2" t="s">
        <v>107</v>
      </c>
      <c r="CL26" s="3"/>
      <c r="CM26" s="3"/>
      <c r="CN26" s="3"/>
      <c r="CO26" s="2" t="s">
        <v>110</v>
      </c>
      <c r="CP26" s="3"/>
      <c r="CQ26" s="3"/>
      <c r="CR26" s="3"/>
      <c r="CS26" s="3"/>
      <c r="CT26" s="3"/>
      <c r="CU26" s="3"/>
      <c r="CV26" s="3"/>
      <c r="CW26" s="3"/>
      <c r="CX26" s="2" t="s">
        <v>105</v>
      </c>
      <c r="CY26" s="2" t="s">
        <v>110</v>
      </c>
    </row>
    <row r="27" spans="1:103" ht="15.75" customHeight="1" x14ac:dyDescent="0.2">
      <c r="A27" s="2" t="s">
        <v>115</v>
      </c>
      <c r="B27" s="2" t="s">
        <v>117</v>
      </c>
      <c r="C27" s="2" t="s">
        <v>312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spans="1:103" ht="15.75" customHeight="1" x14ac:dyDescent="0.2">
      <c r="A28" s="2" t="s">
        <v>137</v>
      </c>
      <c r="B28" s="2" t="s">
        <v>117</v>
      </c>
      <c r="C28" s="2" t="s">
        <v>312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</row>
    <row r="29" spans="1:103" ht="15.75" customHeight="1" x14ac:dyDescent="0.2">
      <c r="A29" s="2" t="s">
        <v>118</v>
      </c>
      <c r="B29" s="2" t="s">
        <v>117</v>
      </c>
      <c r="C29" s="2" t="s">
        <v>312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</row>
    <row r="30" spans="1:103" ht="15.75" customHeight="1" x14ac:dyDescent="0.2">
      <c r="A30" s="2" t="s">
        <v>154</v>
      </c>
      <c r="B30" s="2" t="s">
        <v>117</v>
      </c>
      <c r="C30" s="2" t="s">
        <v>312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</row>
    <row r="31" spans="1:103" ht="15.75" customHeight="1" x14ac:dyDescent="0.2">
      <c r="A31" s="2" t="s">
        <v>105</v>
      </c>
      <c r="B31" s="2" t="s">
        <v>117</v>
      </c>
      <c r="C31" s="2" t="s">
        <v>312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spans="1:103" ht="15.75" customHeight="1" x14ac:dyDescent="0.2">
      <c r="A32" s="2" t="s">
        <v>103</v>
      </c>
      <c r="B32" s="2" t="s">
        <v>111</v>
      </c>
      <c r="C32" s="2" t="s">
        <v>312</v>
      </c>
      <c r="D32" s="3"/>
      <c r="E32" s="2" t="s">
        <v>103</v>
      </c>
      <c r="F32" s="3"/>
      <c r="G32" s="3"/>
      <c r="H32" s="2" t="s">
        <v>121</v>
      </c>
      <c r="I32" s="2" t="s">
        <v>108</v>
      </c>
      <c r="J32" s="3"/>
      <c r="K32" s="3"/>
      <c r="L32" s="2" t="s">
        <v>147</v>
      </c>
      <c r="M32" s="2" t="s">
        <v>126</v>
      </c>
      <c r="N32" s="2" t="s">
        <v>130</v>
      </c>
      <c r="O32" s="2" t="s">
        <v>113</v>
      </c>
      <c r="P32" s="3"/>
      <c r="Q32" s="3"/>
      <c r="R32" s="3"/>
      <c r="S32" s="2" t="s">
        <v>130</v>
      </c>
      <c r="T32" s="2" t="s">
        <v>154</v>
      </c>
      <c r="U32" s="3"/>
      <c r="V32" s="2" t="s">
        <v>170</v>
      </c>
      <c r="W32" s="3"/>
      <c r="X32" s="3"/>
      <c r="Y32" s="2" t="s">
        <v>103</v>
      </c>
      <c r="Z32" s="3"/>
      <c r="AA32" s="3"/>
      <c r="AB32" s="2" t="s">
        <v>117</v>
      </c>
      <c r="AC32" s="2" t="s">
        <v>103</v>
      </c>
      <c r="AD32" s="2" t="s">
        <v>117</v>
      </c>
      <c r="AE32" s="3"/>
      <c r="AF32" s="2" t="s">
        <v>116</v>
      </c>
      <c r="AG32" s="3"/>
      <c r="AH32" s="3"/>
      <c r="AI32" s="3"/>
      <c r="AJ32" s="2" t="s">
        <v>145</v>
      </c>
      <c r="AK32" s="3"/>
      <c r="AL32" s="2" t="s">
        <v>117</v>
      </c>
      <c r="AM32" s="3"/>
      <c r="AN32" s="3"/>
      <c r="AO32" s="3"/>
      <c r="AP32" s="3"/>
      <c r="AQ32" s="3"/>
      <c r="AR32" s="3"/>
      <c r="AS32" s="3"/>
      <c r="AT32" s="2" t="s">
        <v>117</v>
      </c>
      <c r="AU32" s="2" t="s">
        <v>113</v>
      </c>
      <c r="AV32" s="2" t="s">
        <v>116</v>
      </c>
      <c r="AW32" s="2" t="s">
        <v>110</v>
      </c>
      <c r="AX32" s="3"/>
      <c r="AY32" s="2" t="s">
        <v>112</v>
      </c>
      <c r="AZ32" s="3"/>
      <c r="BA32" s="3"/>
      <c r="BB32" s="2" t="s">
        <v>116</v>
      </c>
      <c r="BC32" s="2" t="s">
        <v>104</v>
      </c>
      <c r="BD32" s="4">
        <f>1 +(1/2)</f>
        <v>1.5</v>
      </c>
      <c r="BE32" s="2" t="s">
        <v>126</v>
      </c>
      <c r="BF32" s="2" t="s">
        <v>103</v>
      </c>
      <c r="BG32" s="2" t="s">
        <v>154</v>
      </c>
      <c r="BH32" s="3"/>
      <c r="BI32" s="3"/>
      <c r="BJ32" s="2">
        <f>1/2</f>
        <v>0.5</v>
      </c>
      <c r="BK32" s="2" t="s">
        <v>121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2">
        <f>1/2</f>
        <v>0.5</v>
      </c>
      <c r="CD32" s="2" t="s">
        <v>126</v>
      </c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spans="1:103" ht="15.75" customHeight="1" x14ac:dyDescent="0.2">
      <c r="A33" s="2" t="s">
        <v>116</v>
      </c>
      <c r="B33" s="2" t="s">
        <v>111</v>
      </c>
      <c r="C33" s="2" t="s">
        <v>312</v>
      </c>
      <c r="D33" s="3"/>
      <c r="E33" s="2" t="s">
        <v>103</v>
      </c>
      <c r="F33" s="3"/>
      <c r="G33" s="3"/>
      <c r="H33" s="2" t="s">
        <v>111</v>
      </c>
      <c r="I33" s="2" t="s">
        <v>124</v>
      </c>
      <c r="J33" s="3"/>
      <c r="K33" s="3"/>
      <c r="L33" s="2" t="s">
        <v>106</v>
      </c>
      <c r="M33" s="2" t="s">
        <v>126</v>
      </c>
      <c r="N33" s="2" t="s">
        <v>130</v>
      </c>
      <c r="O33" s="3"/>
      <c r="P33" s="3"/>
      <c r="Q33" s="3"/>
      <c r="R33" s="3"/>
      <c r="S33" s="4" t="s">
        <v>171</v>
      </c>
      <c r="T33" s="2" t="s">
        <v>115</v>
      </c>
      <c r="U33" s="3"/>
      <c r="V33" s="2" t="s">
        <v>121</v>
      </c>
      <c r="W33" s="3"/>
      <c r="X33" s="3"/>
      <c r="Y33" s="2" t="s">
        <v>103</v>
      </c>
      <c r="Z33" s="3"/>
      <c r="AA33" s="3"/>
      <c r="AB33" s="2" t="s">
        <v>116</v>
      </c>
      <c r="AC33" s="2" t="s">
        <v>103</v>
      </c>
      <c r="AD33" s="2" t="s">
        <v>116</v>
      </c>
      <c r="AE33" s="3"/>
      <c r="AF33" s="2" t="s">
        <v>103</v>
      </c>
      <c r="AG33" s="3"/>
      <c r="AH33" s="3"/>
      <c r="AI33" s="3"/>
      <c r="AJ33" s="2" t="s">
        <v>112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2" t="s">
        <v>116</v>
      </c>
      <c r="AW33" s="2" t="s">
        <v>105</v>
      </c>
      <c r="AX33" s="2" t="s">
        <v>121</v>
      </c>
      <c r="AY33" s="2" t="s">
        <v>126</v>
      </c>
      <c r="AZ33" s="3"/>
      <c r="BA33" s="3"/>
      <c r="BB33" s="2" t="s">
        <v>103</v>
      </c>
      <c r="BC33" s="3"/>
      <c r="BD33" s="3"/>
      <c r="BE33" s="3"/>
      <c r="BF33" s="2" t="s">
        <v>103</v>
      </c>
      <c r="BG33" s="2" t="s">
        <v>167</v>
      </c>
      <c r="BH33" s="3"/>
      <c r="BI33" s="3"/>
      <c r="BJ33" s="2" t="s">
        <v>103</v>
      </c>
      <c r="BK33" s="2" t="s">
        <v>151</v>
      </c>
      <c r="BL33" s="2" t="s">
        <v>151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2" t="s">
        <v>103</v>
      </c>
      <c r="CD33" s="2" t="s">
        <v>172</v>
      </c>
      <c r="CE33" s="3"/>
      <c r="CF33" s="3"/>
      <c r="CG33" s="3"/>
      <c r="CH33" s="3"/>
      <c r="CI33" s="2" t="s">
        <v>103</v>
      </c>
      <c r="CJ33" s="2" t="s">
        <v>104</v>
      </c>
      <c r="CK33" s="2" t="s">
        <v>108</v>
      </c>
      <c r="CL33" s="3"/>
      <c r="CM33" s="3"/>
      <c r="CN33" s="3"/>
      <c r="CO33" s="2" t="s">
        <v>105</v>
      </c>
      <c r="CP33" s="3"/>
      <c r="CQ33" s="3"/>
      <c r="CR33" s="3"/>
      <c r="CS33" s="3"/>
      <c r="CT33" s="3"/>
      <c r="CU33" s="3"/>
      <c r="CV33" s="3"/>
      <c r="CW33" s="3"/>
      <c r="CX33" s="3"/>
      <c r="CY33" s="3"/>
    </row>
    <row r="34" spans="1:103" ht="15.75" customHeight="1" x14ac:dyDescent="0.2">
      <c r="A34" s="2" t="s">
        <v>117</v>
      </c>
      <c r="B34" s="2" t="s">
        <v>111</v>
      </c>
      <c r="C34" s="2" t="s">
        <v>312</v>
      </c>
      <c r="D34" s="3"/>
      <c r="E34" s="3"/>
      <c r="F34" s="2" t="s">
        <v>103</v>
      </c>
      <c r="G34" s="3"/>
      <c r="H34" s="2" t="s">
        <v>137</v>
      </c>
      <c r="I34" s="2" t="s">
        <v>173</v>
      </c>
      <c r="J34" s="2" t="s">
        <v>103</v>
      </c>
      <c r="K34" s="3"/>
      <c r="L34" s="2" t="s">
        <v>174</v>
      </c>
      <c r="M34" s="2" t="s">
        <v>109</v>
      </c>
      <c r="N34" s="2" t="s">
        <v>175</v>
      </c>
      <c r="O34" s="2" t="s">
        <v>105</v>
      </c>
      <c r="P34" s="3"/>
      <c r="Q34" s="2" t="s">
        <v>126</v>
      </c>
      <c r="R34" s="3"/>
      <c r="S34" s="2" t="s">
        <v>176</v>
      </c>
      <c r="T34" s="2" t="s">
        <v>139</v>
      </c>
      <c r="U34" s="3"/>
      <c r="V34" s="2" t="s">
        <v>124</v>
      </c>
      <c r="W34" s="3"/>
      <c r="X34" s="3"/>
      <c r="Y34" s="2" t="s">
        <v>103</v>
      </c>
      <c r="Z34" s="3"/>
      <c r="AA34" s="3"/>
      <c r="AB34" s="2" t="s">
        <v>115</v>
      </c>
      <c r="AC34" s="3"/>
      <c r="AD34" s="2" t="s">
        <v>118</v>
      </c>
      <c r="AE34" s="3"/>
      <c r="AF34" s="2" t="s">
        <v>115</v>
      </c>
      <c r="AG34" s="3"/>
      <c r="AH34" s="3"/>
      <c r="AI34" s="3"/>
      <c r="AJ34" s="2" t="s">
        <v>147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2" t="s">
        <v>141</v>
      </c>
      <c r="AX34" s="3"/>
      <c r="AY34" s="2" t="s">
        <v>109</v>
      </c>
      <c r="AZ34" s="3"/>
      <c r="BA34" s="3"/>
      <c r="BB34" s="3"/>
      <c r="BC34" s="3"/>
      <c r="BD34" s="2" t="s">
        <v>103</v>
      </c>
      <c r="BE34" s="2" t="s">
        <v>110</v>
      </c>
      <c r="BF34" s="2" t="s">
        <v>121</v>
      </c>
      <c r="BG34" s="2" t="s">
        <v>109</v>
      </c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2" t="s">
        <v>103</v>
      </c>
      <c r="CD34" s="2" t="s">
        <v>108</v>
      </c>
      <c r="CE34" s="3"/>
      <c r="CF34" s="3"/>
      <c r="CG34" s="3"/>
      <c r="CH34" s="3"/>
      <c r="CI34" s="2" t="s">
        <v>103</v>
      </c>
      <c r="CJ34" s="2" t="s">
        <v>110</v>
      </c>
      <c r="CK34" s="2" t="s">
        <v>110</v>
      </c>
      <c r="CL34" s="3"/>
      <c r="CM34" s="3"/>
      <c r="CN34" s="3"/>
      <c r="CO34" s="2" t="s">
        <v>137</v>
      </c>
      <c r="CP34" s="3"/>
      <c r="CQ34" s="3"/>
      <c r="CR34" s="3"/>
      <c r="CS34" s="3"/>
      <c r="CT34" s="3"/>
      <c r="CU34" s="3"/>
      <c r="CV34" s="3"/>
      <c r="CW34" s="3"/>
      <c r="CX34" s="2" t="s">
        <v>121</v>
      </c>
      <c r="CY34" s="2" t="s">
        <v>105</v>
      </c>
    </row>
    <row r="35" spans="1:103" ht="15.75" customHeight="1" x14ac:dyDescent="0.2">
      <c r="A35" s="2" t="s">
        <v>111</v>
      </c>
      <c r="B35" s="2" t="s">
        <v>111</v>
      </c>
      <c r="C35" s="2" t="s">
        <v>312</v>
      </c>
      <c r="D35" s="3"/>
      <c r="E35" s="2" t="s">
        <v>103</v>
      </c>
      <c r="F35" s="3"/>
      <c r="G35" s="3"/>
      <c r="H35" s="2" t="s">
        <v>113</v>
      </c>
      <c r="I35" s="2" t="s">
        <v>112</v>
      </c>
      <c r="J35" s="2" t="s">
        <v>123</v>
      </c>
      <c r="K35" s="3"/>
      <c r="L35" s="2" t="s">
        <v>144</v>
      </c>
      <c r="M35" s="2" t="s">
        <v>130</v>
      </c>
      <c r="N35" s="2" t="s">
        <v>177</v>
      </c>
      <c r="O35" s="2" t="s">
        <v>108</v>
      </c>
      <c r="P35" s="2" t="s">
        <v>105</v>
      </c>
      <c r="Q35" s="2" t="s">
        <v>145</v>
      </c>
      <c r="R35" s="3"/>
      <c r="S35" s="2" t="s">
        <v>178</v>
      </c>
      <c r="T35" s="2" t="s">
        <v>120</v>
      </c>
      <c r="U35" s="3"/>
      <c r="V35" s="2" t="s">
        <v>109</v>
      </c>
      <c r="W35" s="3"/>
      <c r="X35" s="3"/>
      <c r="Y35" s="2" t="s">
        <v>117</v>
      </c>
      <c r="Z35" s="3"/>
      <c r="AA35" s="3"/>
      <c r="AB35" s="2" t="s">
        <v>127</v>
      </c>
      <c r="AC35" s="2" t="s">
        <v>146</v>
      </c>
      <c r="AD35" s="2" t="s">
        <v>113</v>
      </c>
      <c r="AE35" s="3"/>
      <c r="AF35" s="2" t="s">
        <v>105</v>
      </c>
      <c r="AG35" s="2" t="s">
        <v>121</v>
      </c>
      <c r="AH35" s="2" t="s">
        <v>103</v>
      </c>
      <c r="AI35" s="3"/>
      <c r="AJ35" s="2" t="s">
        <v>128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2" t="s">
        <v>111</v>
      </c>
      <c r="AW35" s="2" t="s">
        <v>104</v>
      </c>
      <c r="AX35" s="3"/>
      <c r="AY35" s="2" t="s">
        <v>130</v>
      </c>
      <c r="AZ35" s="3"/>
      <c r="BA35" s="3"/>
      <c r="BB35" s="3"/>
      <c r="BC35" s="3"/>
      <c r="BD35" s="3"/>
      <c r="BE35" s="3"/>
      <c r="BF35" s="2" t="s">
        <v>111</v>
      </c>
      <c r="BG35" s="2" t="s">
        <v>109</v>
      </c>
      <c r="BH35" s="3"/>
      <c r="BI35" s="3"/>
      <c r="BJ35" s="2" t="s">
        <v>121</v>
      </c>
      <c r="BK35" s="2" t="s">
        <v>136</v>
      </c>
      <c r="BL35" s="2" t="s">
        <v>107</v>
      </c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" t="s">
        <v>103</v>
      </c>
      <c r="CD35" s="2" t="s">
        <v>109</v>
      </c>
      <c r="CE35" s="3"/>
      <c r="CF35" s="3"/>
      <c r="CG35" s="3"/>
      <c r="CH35" s="3"/>
      <c r="CI35" s="2" t="s">
        <v>117</v>
      </c>
      <c r="CJ35" s="2" t="s">
        <v>130</v>
      </c>
      <c r="CK35" s="2" t="s">
        <v>130</v>
      </c>
      <c r="CL35" s="3"/>
      <c r="CM35" s="3"/>
      <c r="CN35" s="3"/>
      <c r="CO35" s="2" t="s">
        <v>105</v>
      </c>
      <c r="CP35" s="3"/>
      <c r="CQ35" s="3"/>
      <c r="CR35" s="3"/>
      <c r="CS35" s="3"/>
      <c r="CT35" s="3"/>
      <c r="CU35" s="3"/>
      <c r="CV35" s="3"/>
      <c r="CW35" s="3"/>
      <c r="CX35" s="2" t="s">
        <v>105</v>
      </c>
      <c r="CY35" s="2" t="s">
        <v>113</v>
      </c>
    </row>
    <row r="36" spans="1:103" ht="15.75" customHeight="1" x14ac:dyDescent="0.2">
      <c r="A36" s="2" t="s">
        <v>121</v>
      </c>
      <c r="B36" s="2" t="s">
        <v>111</v>
      </c>
      <c r="C36" s="2" t="s">
        <v>312</v>
      </c>
      <c r="D36" s="3"/>
      <c r="E36" s="2" t="s">
        <v>103</v>
      </c>
      <c r="F36" s="3"/>
      <c r="G36" s="3"/>
      <c r="H36" s="2" t="s">
        <v>139</v>
      </c>
      <c r="I36" s="2" t="s">
        <v>179</v>
      </c>
      <c r="J36" s="3"/>
      <c r="K36" s="3"/>
      <c r="L36" s="2" t="s">
        <v>153</v>
      </c>
      <c r="M36" s="2" t="s">
        <v>109</v>
      </c>
      <c r="N36" s="2" t="s">
        <v>142</v>
      </c>
      <c r="O36" s="2" t="s">
        <v>110</v>
      </c>
      <c r="P36" s="3"/>
      <c r="Q36" s="2" t="s">
        <v>112</v>
      </c>
      <c r="R36" s="3"/>
      <c r="S36" s="2" t="s">
        <v>142</v>
      </c>
      <c r="T36" s="2" t="s">
        <v>180</v>
      </c>
      <c r="U36" s="3"/>
      <c r="V36" s="2" t="s">
        <v>107</v>
      </c>
      <c r="W36" s="3"/>
      <c r="X36" s="3"/>
      <c r="Y36" s="2" t="s">
        <v>117</v>
      </c>
      <c r="Z36" s="3"/>
      <c r="AA36" s="3"/>
      <c r="AB36" s="2" t="s">
        <v>122</v>
      </c>
      <c r="AC36" s="2" t="s">
        <v>154</v>
      </c>
      <c r="AD36" s="2" t="s">
        <v>122</v>
      </c>
      <c r="AE36" s="2" t="s">
        <v>103</v>
      </c>
      <c r="AF36" s="2" t="s">
        <v>117</v>
      </c>
      <c r="AG36" s="2" t="s">
        <v>117</v>
      </c>
      <c r="AH36" s="2" t="s">
        <v>103</v>
      </c>
      <c r="AI36" s="3"/>
      <c r="AJ36" s="2" t="s">
        <v>125</v>
      </c>
      <c r="AK36" s="3"/>
      <c r="AL36" s="2" t="s">
        <v>166</v>
      </c>
      <c r="AM36" s="2" t="s">
        <v>111</v>
      </c>
      <c r="AN36" s="3"/>
      <c r="AO36" s="3"/>
      <c r="AP36" s="3"/>
      <c r="AQ36" s="3"/>
      <c r="AR36" s="3"/>
      <c r="AS36" s="3"/>
      <c r="AT36" s="2" t="s">
        <v>124</v>
      </c>
      <c r="AU36" s="2" t="s">
        <v>181</v>
      </c>
      <c r="AV36" s="2" t="s">
        <v>116</v>
      </c>
      <c r="AW36" s="2" t="s">
        <v>160</v>
      </c>
      <c r="AX36" s="3"/>
      <c r="AY36" s="2" t="s">
        <v>182</v>
      </c>
      <c r="AZ36" s="2" t="s">
        <v>116</v>
      </c>
      <c r="BA36" s="4" t="s">
        <v>105</v>
      </c>
      <c r="BB36" s="3"/>
      <c r="BC36" s="3"/>
      <c r="BD36" s="2" t="s">
        <v>116</v>
      </c>
      <c r="BE36" s="2" t="s">
        <v>109</v>
      </c>
      <c r="BF36" s="2" t="s">
        <v>111</v>
      </c>
      <c r="BG36" s="2" t="s">
        <v>123</v>
      </c>
      <c r="BH36" s="3"/>
      <c r="BI36" s="3"/>
      <c r="BJ36" s="2" t="s">
        <v>111</v>
      </c>
      <c r="BK36" s="2" t="s">
        <v>107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2" t="s">
        <v>103</v>
      </c>
      <c r="CD36" s="2" t="s">
        <v>114</v>
      </c>
      <c r="CE36" s="3"/>
      <c r="CF36" s="3"/>
      <c r="CG36" s="3"/>
      <c r="CH36" s="3"/>
      <c r="CI36" s="2" t="s">
        <v>103</v>
      </c>
      <c r="CJ36" s="2" t="s">
        <v>126</v>
      </c>
      <c r="CK36" s="2" t="s">
        <v>126</v>
      </c>
      <c r="CL36" s="3"/>
      <c r="CM36" s="3"/>
      <c r="CN36" s="3"/>
      <c r="CO36" s="2" t="s">
        <v>110</v>
      </c>
      <c r="CP36" s="3"/>
      <c r="CQ36" s="3"/>
      <c r="CR36" s="3"/>
      <c r="CS36" s="3"/>
      <c r="CT36" s="3"/>
      <c r="CU36" s="2" t="s">
        <v>113</v>
      </c>
      <c r="CV36" s="3"/>
      <c r="CW36" s="3"/>
      <c r="CX36" s="3"/>
      <c r="CY36" s="3"/>
    </row>
    <row r="37" spans="1:103" ht="15.75" customHeight="1" x14ac:dyDescent="0.2">
      <c r="A37" s="2" t="s">
        <v>115</v>
      </c>
      <c r="B37" s="2" t="s">
        <v>111</v>
      </c>
      <c r="C37" s="2" t="s">
        <v>312</v>
      </c>
      <c r="D37" s="3"/>
      <c r="E37" s="2" t="s">
        <v>103</v>
      </c>
      <c r="F37" s="3"/>
      <c r="G37" s="3"/>
      <c r="H37" s="2" t="s">
        <v>115</v>
      </c>
      <c r="I37" s="2" t="s">
        <v>107</v>
      </c>
      <c r="J37" s="2" t="s">
        <v>107</v>
      </c>
      <c r="K37" s="3"/>
      <c r="L37" s="2" t="s">
        <v>174</v>
      </c>
      <c r="M37" s="2" t="s">
        <v>130</v>
      </c>
      <c r="N37" s="2" t="s">
        <v>135</v>
      </c>
      <c r="O37" s="2" t="s">
        <v>105</v>
      </c>
      <c r="P37" s="3"/>
      <c r="Q37" s="2" t="s">
        <v>108</v>
      </c>
      <c r="R37" s="3"/>
      <c r="S37" s="2" t="s">
        <v>134</v>
      </c>
      <c r="T37" s="2" t="s">
        <v>105</v>
      </c>
      <c r="U37" s="3"/>
      <c r="V37" s="2" t="s">
        <v>113</v>
      </c>
      <c r="W37" s="3"/>
      <c r="X37" s="3"/>
      <c r="Y37" s="2" t="s">
        <v>116</v>
      </c>
      <c r="Z37" s="3"/>
      <c r="AA37" s="3"/>
      <c r="AB37" s="2" t="s">
        <v>118</v>
      </c>
      <c r="AC37" s="2" t="s">
        <v>116</v>
      </c>
      <c r="AD37" s="2" t="s">
        <v>137</v>
      </c>
      <c r="AE37" s="2" t="s">
        <v>103</v>
      </c>
      <c r="AF37" s="2" t="s">
        <v>121</v>
      </c>
      <c r="AG37" s="2" t="s">
        <v>116</v>
      </c>
      <c r="AH37" s="3"/>
      <c r="AI37" s="3"/>
      <c r="AJ37" s="2" t="s">
        <v>183</v>
      </c>
      <c r="AK37" s="3"/>
      <c r="AL37" s="2" t="s">
        <v>137</v>
      </c>
      <c r="AM37" s="3"/>
      <c r="AN37" s="3"/>
      <c r="AO37" s="3"/>
      <c r="AP37" s="3"/>
      <c r="AQ37" s="3"/>
      <c r="AR37" s="3"/>
      <c r="AS37" s="3"/>
      <c r="AT37" s="2" t="s">
        <v>137</v>
      </c>
      <c r="AU37" s="2" t="s">
        <v>184</v>
      </c>
      <c r="AV37" s="2" t="s">
        <v>111</v>
      </c>
      <c r="AW37" s="2" t="s">
        <v>166</v>
      </c>
      <c r="AX37" s="3"/>
      <c r="AY37" s="2" t="s">
        <v>112</v>
      </c>
      <c r="AZ37" s="2" t="s">
        <v>103</v>
      </c>
      <c r="BA37" s="2" t="s">
        <v>185</v>
      </c>
      <c r="BB37" s="3"/>
      <c r="BC37" s="3"/>
      <c r="BD37" s="3"/>
      <c r="BE37" s="3"/>
      <c r="BF37" s="2" t="s">
        <v>116</v>
      </c>
      <c r="BG37" s="2" t="s">
        <v>132</v>
      </c>
      <c r="BH37" s="3"/>
      <c r="BI37" s="3"/>
      <c r="BJ37" s="2" t="s">
        <v>103</v>
      </c>
      <c r="BK37" s="2" t="s">
        <v>151</v>
      </c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2">
        <f>1/2</f>
        <v>0.5</v>
      </c>
      <c r="CD37" s="2" t="s">
        <v>156</v>
      </c>
      <c r="CE37" s="3"/>
      <c r="CF37" s="3"/>
      <c r="CG37" s="3"/>
      <c r="CH37" s="3"/>
      <c r="CI37" s="2">
        <f>1/2</f>
        <v>0.5</v>
      </c>
      <c r="CJ37" s="2" t="s">
        <v>146</v>
      </c>
      <c r="CK37" s="2" t="s">
        <v>105</v>
      </c>
      <c r="CL37" s="3"/>
      <c r="CM37" s="3"/>
      <c r="CN37" s="3"/>
      <c r="CO37" s="2" t="s">
        <v>121</v>
      </c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spans="1:103" ht="15.75" customHeight="1" x14ac:dyDescent="0.2">
      <c r="A38" s="2" t="s">
        <v>137</v>
      </c>
      <c r="B38" s="2" t="s">
        <v>111</v>
      </c>
      <c r="C38" s="2" t="s">
        <v>312</v>
      </c>
      <c r="D38" s="3"/>
      <c r="E38" s="2" t="s">
        <v>103</v>
      </c>
      <c r="F38" s="3"/>
      <c r="G38" s="3"/>
      <c r="H38" s="2" t="s">
        <v>168</v>
      </c>
      <c r="I38" s="2" t="s">
        <v>120</v>
      </c>
      <c r="J38" s="2" t="s">
        <v>140</v>
      </c>
      <c r="K38" s="3"/>
      <c r="L38" s="2" t="s">
        <v>144</v>
      </c>
      <c r="M38" s="4" t="s">
        <v>145</v>
      </c>
      <c r="N38" s="2" t="s">
        <v>106</v>
      </c>
      <c r="O38" s="2" t="s">
        <v>108</v>
      </c>
      <c r="P38" s="3"/>
      <c r="Q38" s="2" t="s">
        <v>130</v>
      </c>
      <c r="R38" s="3"/>
      <c r="S38" s="2" t="s">
        <v>147</v>
      </c>
      <c r="T38" s="2" t="s">
        <v>120</v>
      </c>
      <c r="U38" s="3"/>
      <c r="V38" s="2" t="s">
        <v>107</v>
      </c>
      <c r="W38" s="3"/>
      <c r="X38" s="3"/>
      <c r="Y38" s="2" t="s">
        <v>137</v>
      </c>
      <c r="Z38" s="3"/>
      <c r="AA38" s="3"/>
      <c r="AB38" s="2" t="s">
        <v>151</v>
      </c>
      <c r="AC38" s="2" t="s">
        <v>103</v>
      </c>
      <c r="AD38" s="2" t="s">
        <v>154</v>
      </c>
      <c r="AE38" s="2" t="s">
        <v>116</v>
      </c>
      <c r="AF38" s="2" t="s">
        <v>118</v>
      </c>
      <c r="AG38" s="2" t="s">
        <v>111</v>
      </c>
      <c r="AH38" s="3"/>
      <c r="AI38" s="3"/>
      <c r="AJ38" s="2" t="s">
        <v>183</v>
      </c>
      <c r="AK38" s="3"/>
      <c r="AL38" s="2" t="s">
        <v>172</v>
      </c>
      <c r="AM38" s="2" t="s">
        <v>104</v>
      </c>
      <c r="AN38" s="3"/>
      <c r="AO38" s="3"/>
      <c r="AP38" s="3"/>
      <c r="AQ38" s="3"/>
      <c r="AR38" s="3"/>
      <c r="AS38" s="3"/>
      <c r="AT38" s="2" t="s">
        <v>146</v>
      </c>
      <c r="AU38" s="2" t="s">
        <v>130</v>
      </c>
      <c r="AV38" s="2" t="s">
        <v>111</v>
      </c>
      <c r="AW38" s="2" t="s">
        <v>113</v>
      </c>
      <c r="AX38" s="3"/>
      <c r="AY38" s="2" t="s">
        <v>130</v>
      </c>
      <c r="AZ38" s="3"/>
      <c r="BA38" s="3"/>
      <c r="BB38" s="3"/>
      <c r="BC38" s="3"/>
      <c r="BD38" s="2" t="s">
        <v>154</v>
      </c>
      <c r="BE38" s="2" t="s">
        <v>142</v>
      </c>
      <c r="BF38" s="2" t="s">
        <v>110</v>
      </c>
      <c r="BG38" s="2" t="s">
        <v>130</v>
      </c>
      <c r="BH38" s="3"/>
      <c r="BI38" s="3"/>
      <c r="BJ38" s="2" t="s">
        <v>116</v>
      </c>
      <c r="BK38" s="2" t="s">
        <v>108</v>
      </c>
      <c r="BL38" s="2" t="s">
        <v>107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2" t="s">
        <v>117</v>
      </c>
      <c r="CD38" s="2" t="s">
        <v>186</v>
      </c>
      <c r="CE38" s="3"/>
      <c r="CF38" s="3"/>
      <c r="CG38" s="3"/>
      <c r="CH38" s="3"/>
      <c r="CI38" s="2" t="s">
        <v>111</v>
      </c>
      <c r="CJ38" s="2" t="s">
        <v>109</v>
      </c>
      <c r="CK38" s="2" t="s">
        <v>112</v>
      </c>
      <c r="CL38" s="3"/>
      <c r="CM38" s="3"/>
      <c r="CN38" s="3"/>
      <c r="CO38" s="2" t="s">
        <v>123</v>
      </c>
      <c r="CP38" s="3"/>
      <c r="CQ38" s="3"/>
      <c r="CR38" s="3"/>
      <c r="CS38" s="3"/>
      <c r="CT38" s="3"/>
      <c r="CU38" s="3"/>
      <c r="CV38" s="3"/>
      <c r="CW38" s="3"/>
      <c r="CX38" s="2" t="s">
        <v>107</v>
      </c>
      <c r="CY38" s="2" t="s">
        <v>109</v>
      </c>
    </row>
    <row r="39" spans="1:103" ht="15.75" customHeight="1" x14ac:dyDescent="0.2">
      <c r="A39" s="2" t="s">
        <v>118</v>
      </c>
      <c r="B39" s="2" t="s">
        <v>111</v>
      </c>
      <c r="C39" s="2" t="s">
        <v>312</v>
      </c>
      <c r="D39" s="3"/>
      <c r="E39" s="2" t="s">
        <v>103</v>
      </c>
      <c r="F39" s="3"/>
      <c r="G39" s="3"/>
      <c r="H39" s="2" t="s">
        <v>116</v>
      </c>
      <c r="I39" s="2" t="s">
        <v>116</v>
      </c>
      <c r="J39" s="3"/>
      <c r="K39" s="3"/>
      <c r="L39" s="2" t="s">
        <v>165</v>
      </c>
      <c r="M39" s="3"/>
      <c r="N39" s="2" t="s">
        <v>108</v>
      </c>
      <c r="O39" s="3"/>
      <c r="P39" s="3"/>
      <c r="Q39" s="2" t="s">
        <v>105</v>
      </c>
      <c r="R39" s="3"/>
      <c r="S39" s="2" t="s">
        <v>109</v>
      </c>
      <c r="T39" s="2" t="s">
        <v>116</v>
      </c>
      <c r="U39" s="3"/>
      <c r="V39" s="2" t="s">
        <v>116</v>
      </c>
      <c r="W39" s="3"/>
      <c r="X39" s="3"/>
      <c r="Y39" s="3"/>
      <c r="Z39" s="3"/>
      <c r="AA39" s="3"/>
      <c r="AB39" s="2" t="s">
        <v>103</v>
      </c>
      <c r="AC39" s="3"/>
      <c r="AD39" s="2" t="s">
        <v>103</v>
      </c>
      <c r="AE39" s="3"/>
      <c r="AF39" s="2" t="s">
        <v>103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2" t="s">
        <v>105</v>
      </c>
      <c r="AX39" s="3"/>
      <c r="AY39" s="2" t="s">
        <v>109</v>
      </c>
      <c r="AZ39" s="3"/>
      <c r="BA39" s="3"/>
      <c r="BB39" s="3"/>
      <c r="BC39" s="3"/>
      <c r="BD39" s="2" t="s">
        <v>103</v>
      </c>
      <c r="BE39" s="2" t="s">
        <v>105</v>
      </c>
      <c r="BF39" s="3"/>
      <c r="BG39" s="3"/>
      <c r="BH39" s="3"/>
      <c r="BI39" s="3"/>
      <c r="BJ39" s="2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2" t="s">
        <v>103</v>
      </c>
      <c r="CD39" s="2" t="s">
        <v>104</v>
      </c>
      <c r="CE39" s="3"/>
      <c r="CF39" s="3"/>
      <c r="CG39" s="3"/>
      <c r="CH39" s="3"/>
      <c r="CI39" s="2">
        <f>1/4</f>
        <v>0.25</v>
      </c>
      <c r="CJ39" s="4" t="s">
        <v>113</v>
      </c>
      <c r="CK39" s="2" t="s">
        <v>105</v>
      </c>
      <c r="CL39" s="3"/>
      <c r="CM39" s="3"/>
      <c r="CN39" s="3"/>
      <c r="CO39" s="2" t="s">
        <v>121</v>
      </c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spans="1:103" ht="15.75" customHeight="1" x14ac:dyDescent="0.2">
      <c r="A40" s="2" t="s">
        <v>154</v>
      </c>
      <c r="B40" s="2" t="s">
        <v>111</v>
      </c>
      <c r="C40" s="2" t="s">
        <v>312</v>
      </c>
      <c r="D40" s="3"/>
      <c r="E40" s="2" t="s">
        <v>103</v>
      </c>
      <c r="F40" s="3"/>
      <c r="G40" s="3"/>
      <c r="H40" s="2" t="s">
        <v>111</v>
      </c>
      <c r="I40" s="2" t="s">
        <v>103</v>
      </c>
      <c r="J40" s="3"/>
      <c r="K40" s="2" t="s">
        <v>116</v>
      </c>
      <c r="L40" s="4" t="s">
        <v>187</v>
      </c>
      <c r="M40" s="2" t="s">
        <v>109</v>
      </c>
      <c r="N40" s="2" t="s">
        <v>145</v>
      </c>
      <c r="O40" s="2" t="s">
        <v>105</v>
      </c>
      <c r="P40" s="3"/>
      <c r="Q40" s="3"/>
      <c r="R40" s="3"/>
      <c r="S40" s="3"/>
      <c r="T40" s="2" t="s">
        <v>103</v>
      </c>
      <c r="U40" s="3"/>
      <c r="V40" s="2" t="s">
        <v>103</v>
      </c>
      <c r="W40" s="3"/>
      <c r="X40" s="3"/>
      <c r="Y40" s="2" t="s">
        <v>111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2" t="s">
        <v>111</v>
      </c>
      <c r="AW40" s="3"/>
      <c r="AX40" s="3"/>
      <c r="AY40" s="3"/>
      <c r="AZ40" s="3"/>
      <c r="BA40" s="3"/>
      <c r="BB40" s="3"/>
      <c r="BC40" s="3"/>
      <c r="BD40" s="3"/>
      <c r="BE40" s="3"/>
      <c r="BF40" s="4">
        <f>2 +(1/2)</f>
        <v>2.5</v>
      </c>
      <c r="BG40" s="2" t="s">
        <v>188</v>
      </c>
      <c r="BH40" s="3"/>
      <c r="BI40" s="3"/>
      <c r="BJ40" s="4">
        <f>1 +(1/2)</f>
        <v>1.5</v>
      </c>
      <c r="BK40" s="2" t="s">
        <v>173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4">
        <f>1 +(1/2)</f>
        <v>1.5</v>
      </c>
      <c r="CD40" s="2" t="s">
        <v>130</v>
      </c>
      <c r="CE40" s="3"/>
      <c r="CF40" s="3"/>
      <c r="CG40" s="3"/>
      <c r="CH40" s="3"/>
      <c r="CI40" s="2" t="s">
        <v>103</v>
      </c>
      <c r="CJ40" s="2" t="s">
        <v>123</v>
      </c>
      <c r="CK40" s="2" t="s">
        <v>104</v>
      </c>
      <c r="CL40" s="3"/>
      <c r="CM40" s="3"/>
      <c r="CN40" s="3"/>
      <c r="CO40" s="2" t="s">
        <v>105</v>
      </c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spans="1:103" ht="15.75" customHeight="1" x14ac:dyDescent="0.2">
      <c r="A41" s="2" t="s">
        <v>105</v>
      </c>
      <c r="B41" s="2" t="s">
        <v>111</v>
      </c>
      <c r="C41" s="2" t="s">
        <v>312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2"/>
      <c r="BG41" s="3"/>
      <c r="BH41" s="3"/>
      <c r="BI41" s="3"/>
      <c r="BJ41" s="2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spans="1:103" ht="15.75" customHeight="1" x14ac:dyDescent="0.2">
      <c r="A42" s="2" t="s">
        <v>103</v>
      </c>
      <c r="B42" s="2" t="s">
        <v>121</v>
      </c>
      <c r="C42" s="2" t="s">
        <v>312</v>
      </c>
      <c r="D42" s="3"/>
      <c r="E42" s="2" t="s">
        <v>103</v>
      </c>
      <c r="F42" s="3"/>
      <c r="G42" s="3"/>
      <c r="H42" s="2" t="s">
        <v>118</v>
      </c>
      <c r="I42" s="2" t="s">
        <v>189</v>
      </c>
      <c r="J42" s="3"/>
      <c r="K42" s="3"/>
      <c r="L42" s="2" t="s">
        <v>119</v>
      </c>
      <c r="M42" s="2" t="s">
        <v>108</v>
      </c>
      <c r="N42" s="2" t="s">
        <v>145</v>
      </c>
      <c r="O42" s="3"/>
      <c r="P42" s="3"/>
      <c r="Q42" s="2" t="s">
        <v>123</v>
      </c>
      <c r="R42" s="2" t="s">
        <v>113</v>
      </c>
      <c r="S42" s="2" t="s">
        <v>129</v>
      </c>
      <c r="T42" s="2" t="s">
        <v>111</v>
      </c>
      <c r="U42" s="3"/>
      <c r="V42" s="2" t="s">
        <v>117</v>
      </c>
      <c r="W42" s="3"/>
      <c r="X42" s="3"/>
      <c r="Y42" s="2" t="s">
        <v>116</v>
      </c>
      <c r="Z42" s="3"/>
      <c r="AA42" s="3"/>
      <c r="AB42" s="2" t="s">
        <v>116</v>
      </c>
      <c r="AC42" s="3"/>
      <c r="AD42" s="2" t="s">
        <v>116</v>
      </c>
      <c r="AE42" s="3"/>
      <c r="AF42" s="2" t="s">
        <v>116</v>
      </c>
      <c r="AG42" s="3"/>
      <c r="AH42" s="3"/>
      <c r="AI42" s="3"/>
      <c r="AJ42" s="2" t="s">
        <v>142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2" t="s">
        <v>116</v>
      </c>
      <c r="AW42" s="2" t="s">
        <v>139</v>
      </c>
      <c r="AX42" s="3"/>
      <c r="AY42" s="2" t="s">
        <v>126</v>
      </c>
      <c r="AZ42" s="3"/>
      <c r="BA42" s="3"/>
      <c r="BB42" s="3"/>
      <c r="BC42" s="3"/>
      <c r="BD42" s="2" t="s">
        <v>121</v>
      </c>
      <c r="BE42" s="2" t="s">
        <v>110</v>
      </c>
      <c r="BF42" s="4">
        <f>1 +(1/2)</f>
        <v>1.5</v>
      </c>
      <c r="BG42" s="2" t="s">
        <v>105</v>
      </c>
      <c r="BH42" s="3"/>
      <c r="BI42" s="3"/>
      <c r="BJ42" s="2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 t="s">
        <v>121</v>
      </c>
      <c r="CD42" s="2" t="s">
        <v>130</v>
      </c>
      <c r="CE42" s="3"/>
      <c r="CF42" s="3"/>
      <c r="CG42" s="3"/>
      <c r="CH42" s="3"/>
      <c r="CI42" s="2" t="s">
        <v>103</v>
      </c>
      <c r="CJ42" s="2" t="s">
        <v>113</v>
      </c>
      <c r="CK42" s="2" t="s">
        <v>104</v>
      </c>
      <c r="CL42" s="3"/>
      <c r="CM42" s="3"/>
      <c r="CN42" s="3"/>
      <c r="CO42" s="2" t="s">
        <v>110</v>
      </c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spans="1:103" ht="15.75" customHeight="1" x14ac:dyDescent="0.2">
      <c r="A43" s="2" t="s">
        <v>116</v>
      </c>
      <c r="B43" s="2" t="s">
        <v>121</v>
      </c>
      <c r="C43" s="2" t="s">
        <v>312</v>
      </c>
      <c r="D43" s="3"/>
      <c r="E43" s="3"/>
      <c r="F43" s="3"/>
      <c r="G43" s="2" t="s">
        <v>103</v>
      </c>
      <c r="H43" s="2" t="s">
        <v>105</v>
      </c>
      <c r="I43" s="2" t="s">
        <v>108</v>
      </c>
      <c r="J43" s="3"/>
      <c r="K43" s="3"/>
      <c r="L43" s="2" t="s">
        <v>142</v>
      </c>
      <c r="M43" s="2" t="s">
        <v>108</v>
      </c>
      <c r="N43" s="2" t="s">
        <v>109</v>
      </c>
      <c r="O43" s="3"/>
      <c r="P43" s="3"/>
      <c r="Q43" s="3"/>
      <c r="R43" s="3"/>
      <c r="S43" s="2" t="s">
        <v>112</v>
      </c>
      <c r="T43" s="2" t="s">
        <v>111</v>
      </c>
      <c r="U43" s="3"/>
      <c r="V43" s="2" t="s">
        <v>111</v>
      </c>
      <c r="W43" s="3"/>
      <c r="X43" s="3"/>
      <c r="Y43" s="2" t="s">
        <v>103</v>
      </c>
      <c r="Z43" s="3"/>
      <c r="AA43" s="3"/>
      <c r="AB43" s="2" t="s">
        <v>103</v>
      </c>
      <c r="AC43" s="3"/>
      <c r="AD43" s="2" t="s">
        <v>103</v>
      </c>
      <c r="AE43" s="3"/>
      <c r="AF43" s="2" t="s">
        <v>103</v>
      </c>
      <c r="AG43" s="3"/>
      <c r="AH43" s="3"/>
      <c r="AI43" s="3"/>
      <c r="AJ43" s="2" t="s">
        <v>112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2" t="s">
        <v>170</v>
      </c>
      <c r="AX43" s="3"/>
      <c r="AY43" s="2" t="s">
        <v>126</v>
      </c>
      <c r="AZ43" s="3"/>
      <c r="BA43" s="3"/>
      <c r="BB43" s="2" t="s">
        <v>121</v>
      </c>
      <c r="BC43" s="2" t="s">
        <v>120</v>
      </c>
      <c r="BD43" s="2" t="s">
        <v>117</v>
      </c>
      <c r="BE43" s="2" t="s">
        <v>123</v>
      </c>
      <c r="BF43" s="2"/>
      <c r="BG43" s="3"/>
      <c r="BH43" s="3"/>
      <c r="BI43" s="3"/>
      <c r="BJ43" s="2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2" t="s">
        <v>121</v>
      </c>
      <c r="CD43" s="2" t="s">
        <v>112</v>
      </c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spans="1:103" ht="15.75" customHeight="1" x14ac:dyDescent="0.2">
      <c r="A44" s="2" t="s">
        <v>117</v>
      </c>
      <c r="B44" s="2" t="s">
        <v>121</v>
      </c>
      <c r="C44" s="2" t="s">
        <v>312</v>
      </c>
      <c r="D44" s="3"/>
      <c r="E44" s="2" t="s">
        <v>103</v>
      </c>
      <c r="F44" s="3"/>
      <c r="G44" s="3"/>
      <c r="H44" s="2" t="s">
        <v>104</v>
      </c>
      <c r="I44" s="2" t="s">
        <v>143</v>
      </c>
      <c r="J44" s="2" t="s">
        <v>156</v>
      </c>
      <c r="K44" s="3"/>
      <c r="L44" s="2" t="s">
        <v>144</v>
      </c>
      <c r="M44" s="2" t="s">
        <v>112</v>
      </c>
      <c r="N44" s="2" t="s">
        <v>165</v>
      </c>
      <c r="O44" s="3"/>
      <c r="P44" s="2" t="s">
        <v>105</v>
      </c>
      <c r="Q44" s="2" t="s">
        <v>145</v>
      </c>
      <c r="R44" s="2" t="s">
        <v>109</v>
      </c>
      <c r="S44" s="2" t="s">
        <v>106</v>
      </c>
      <c r="T44" s="2" t="s">
        <v>104</v>
      </c>
      <c r="U44" s="3"/>
      <c r="V44" s="2" t="s">
        <v>104</v>
      </c>
      <c r="W44" s="3"/>
      <c r="X44" s="3"/>
      <c r="Y44" s="2" t="s">
        <v>111</v>
      </c>
      <c r="Z44" s="3"/>
      <c r="AA44" s="3"/>
      <c r="AB44" s="2" t="s">
        <v>139</v>
      </c>
      <c r="AC44" s="2" t="s">
        <v>111</v>
      </c>
      <c r="AD44" s="2" t="s">
        <v>139</v>
      </c>
      <c r="AE44" s="2" t="s">
        <v>103</v>
      </c>
      <c r="AF44" s="2" t="s">
        <v>154</v>
      </c>
      <c r="AG44" s="3"/>
      <c r="AH44" s="2" t="s">
        <v>116</v>
      </c>
      <c r="AI44" s="3"/>
      <c r="AJ44" s="2" t="s">
        <v>125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2" t="s">
        <v>116</v>
      </c>
      <c r="AW44" s="2" t="s">
        <v>126</v>
      </c>
      <c r="AX44" s="3"/>
      <c r="AY44" s="2" t="s">
        <v>130</v>
      </c>
      <c r="AZ44" s="3"/>
      <c r="BA44" s="3"/>
      <c r="BB44" s="3"/>
      <c r="BC44" s="3"/>
      <c r="BD44" s="4">
        <f>3 +(1/2)</f>
        <v>3.5</v>
      </c>
      <c r="BE44" s="2" t="s">
        <v>112</v>
      </c>
      <c r="BF44" s="3"/>
      <c r="BG44" s="3"/>
      <c r="BH44" s="2" t="s">
        <v>115</v>
      </c>
      <c r="BI44" s="2" t="s">
        <v>113</v>
      </c>
      <c r="BJ44" s="2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2" t="s">
        <v>110</v>
      </c>
      <c r="CD44" s="2" t="s">
        <v>147</v>
      </c>
      <c r="CE44" s="3"/>
      <c r="CF44" s="3"/>
      <c r="CG44" s="3"/>
      <c r="CH44" s="3"/>
      <c r="CI44" s="2" t="s">
        <v>103</v>
      </c>
      <c r="CJ44" s="2" t="s">
        <v>104</v>
      </c>
      <c r="CK44" s="2" t="s">
        <v>105</v>
      </c>
      <c r="CL44" s="3"/>
      <c r="CM44" s="3"/>
      <c r="CN44" s="3"/>
      <c r="CO44" s="2" t="s">
        <v>121</v>
      </c>
      <c r="CP44" s="3"/>
      <c r="CQ44" s="3"/>
      <c r="CR44" s="3"/>
      <c r="CS44" s="3"/>
      <c r="CT44" s="3"/>
      <c r="CU44" s="3"/>
      <c r="CV44" s="3"/>
      <c r="CW44" s="3"/>
      <c r="CX44" s="2" t="s">
        <v>113</v>
      </c>
      <c r="CY44" s="2" t="s">
        <v>126</v>
      </c>
    </row>
    <row r="45" spans="1:103" ht="15.75" customHeight="1" x14ac:dyDescent="0.2">
      <c r="A45" s="2" t="s">
        <v>111</v>
      </c>
      <c r="B45" s="2" t="s">
        <v>121</v>
      </c>
      <c r="C45" s="2" t="s">
        <v>312</v>
      </c>
      <c r="D45" s="3"/>
      <c r="E45" s="2" t="s">
        <v>103</v>
      </c>
      <c r="F45" s="3"/>
      <c r="G45" s="3"/>
      <c r="H45" s="2" t="s">
        <v>151</v>
      </c>
      <c r="I45" s="2" t="s">
        <v>132</v>
      </c>
      <c r="J45" s="2" t="s">
        <v>113</v>
      </c>
      <c r="K45" s="3"/>
      <c r="L45" s="2" t="s">
        <v>190</v>
      </c>
      <c r="M45" s="2" t="s">
        <v>109</v>
      </c>
      <c r="N45" s="2" t="s">
        <v>165</v>
      </c>
      <c r="O45" s="3"/>
      <c r="P45" s="3"/>
      <c r="Q45" s="2" t="s">
        <v>126</v>
      </c>
      <c r="R45" s="2" t="s">
        <v>105</v>
      </c>
      <c r="S45" s="2" t="s">
        <v>149</v>
      </c>
      <c r="T45" s="2" t="s">
        <v>104</v>
      </c>
      <c r="U45" s="3"/>
      <c r="V45" s="2" t="s">
        <v>108</v>
      </c>
      <c r="W45" s="3"/>
      <c r="X45" s="3"/>
      <c r="Y45" s="2" t="s">
        <v>111</v>
      </c>
      <c r="Z45" s="3"/>
      <c r="AA45" s="3"/>
      <c r="AB45" s="2" t="s">
        <v>154</v>
      </c>
      <c r="AC45" s="2" t="s">
        <v>115</v>
      </c>
      <c r="AD45" s="2" t="s">
        <v>154</v>
      </c>
      <c r="AE45" s="3"/>
      <c r="AF45" s="2" t="s">
        <v>137</v>
      </c>
      <c r="AG45" s="2" t="s">
        <v>116</v>
      </c>
      <c r="AH45" s="3"/>
      <c r="AI45" s="3"/>
      <c r="AJ45" s="2" t="s">
        <v>119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2" t="s">
        <v>111</v>
      </c>
      <c r="AW45" s="2" t="s">
        <v>113</v>
      </c>
      <c r="AX45" s="3"/>
      <c r="AY45" s="2" t="s">
        <v>109</v>
      </c>
      <c r="AZ45" s="3"/>
      <c r="BA45" s="3"/>
      <c r="BB45" s="3"/>
      <c r="BC45" s="3"/>
      <c r="BD45" s="2" t="s">
        <v>117</v>
      </c>
      <c r="BE45" s="2" t="s">
        <v>112</v>
      </c>
      <c r="BF45" s="2" t="s">
        <v>116</v>
      </c>
      <c r="BG45" s="2" t="s">
        <v>120</v>
      </c>
      <c r="BH45" s="3"/>
      <c r="BI45" s="3"/>
      <c r="BJ45" s="2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2" t="s">
        <v>115</v>
      </c>
      <c r="CD45" s="2" t="s">
        <v>134</v>
      </c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2" t="s">
        <v>113</v>
      </c>
      <c r="CY45" s="2" t="s">
        <v>107</v>
      </c>
    </row>
    <row r="46" spans="1:103" ht="15.75" customHeight="1" x14ac:dyDescent="0.2">
      <c r="A46" s="2" t="s">
        <v>121</v>
      </c>
      <c r="B46" s="2" t="s">
        <v>121</v>
      </c>
      <c r="C46" s="2" t="s">
        <v>312</v>
      </c>
      <c r="D46" s="3"/>
      <c r="E46" s="2" t="s">
        <v>103</v>
      </c>
      <c r="F46" s="3"/>
      <c r="G46" s="3"/>
      <c r="H46" s="2" t="s">
        <v>113</v>
      </c>
      <c r="I46" s="2" t="s">
        <v>109</v>
      </c>
      <c r="J46" s="2" t="s">
        <v>108</v>
      </c>
      <c r="K46" s="3"/>
      <c r="L46" s="2" t="s">
        <v>128</v>
      </c>
      <c r="M46" s="2" t="s">
        <v>143</v>
      </c>
      <c r="N46" s="2" t="s">
        <v>134</v>
      </c>
      <c r="O46" s="2" t="s">
        <v>121</v>
      </c>
      <c r="P46" s="3"/>
      <c r="Q46" s="2" t="s">
        <v>130</v>
      </c>
      <c r="R46" s="2" t="s">
        <v>109</v>
      </c>
      <c r="S46" s="2" t="s">
        <v>142</v>
      </c>
      <c r="T46" s="2" t="s">
        <v>113</v>
      </c>
      <c r="U46" s="3"/>
      <c r="V46" s="2" t="s">
        <v>108</v>
      </c>
      <c r="W46" s="3"/>
      <c r="X46" s="3"/>
      <c r="Y46" s="2" t="s">
        <v>116</v>
      </c>
      <c r="Z46" s="3"/>
      <c r="AA46" s="3"/>
      <c r="AB46" s="2" t="s">
        <v>118</v>
      </c>
      <c r="AC46" s="2" t="s">
        <v>139</v>
      </c>
      <c r="AD46" s="2" t="s">
        <v>115</v>
      </c>
      <c r="AE46" s="2" t="s">
        <v>103</v>
      </c>
      <c r="AF46" s="2" t="s">
        <v>121</v>
      </c>
      <c r="AG46" s="3"/>
      <c r="AH46" s="3"/>
      <c r="AI46" s="3"/>
      <c r="AJ46" s="2" t="s">
        <v>147</v>
      </c>
      <c r="AK46" s="3"/>
      <c r="AL46" s="2" t="s">
        <v>122</v>
      </c>
      <c r="AM46" s="2" t="s">
        <v>111</v>
      </c>
      <c r="AN46" s="3"/>
      <c r="AO46" s="3"/>
      <c r="AP46" s="3"/>
      <c r="AQ46" s="3"/>
      <c r="AR46" s="3"/>
      <c r="AS46" s="3"/>
      <c r="AT46" s="2" t="s">
        <v>105</v>
      </c>
      <c r="AU46" s="2" t="s">
        <v>126</v>
      </c>
      <c r="AV46" s="2" t="s">
        <v>116</v>
      </c>
      <c r="AW46" s="2" t="s">
        <v>104</v>
      </c>
      <c r="AX46" s="3"/>
      <c r="AY46" s="2" t="s">
        <v>130</v>
      </c>
      <c r="AZ46" s="3"/>
      <c r="BA46" s="3"/>
      <c r="BB46" s="2" t="s">
        <v>116</v>
      </c>
      <c r="BC46" s="2" t="s">
        <v>146</v>
      </c>
      <c r="BD46" s="2" t="s">
        <v>154</v>
      </c>
      <c r="BE46" s="2" t="s">
        <v>129</v>
      </c>
      <c r="BF46" s="2" t="s">
        <v>115</v>
      </c>
      <c r="BG46" s="2" t="s">
        <v>159</v>
      </c>
      <c r="BH46" s="3"/>
      <c r="BI46" s="3"/>
      <c r="BJ46" s="2"/>
      <c r="BK46" s="3"/>
      <c r="BL46" s="3"/>
      <c r="BM46" s="2" t="s">
        <v>118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2">
        <f>1/2</f>
        <v>0.5</v>
      </c>
      <c r="CD46" s="2" t="s">
        <v>110</v>
      </c>
      <c r="CE46" s="3"/>
      <c r="CF46" s="3"/>
      <c r="CG46" s="3"/>
      <c r="CH46" s="3"/>
      <c r="CI46" s="2" t="s">
        <v>117</v>
      </c>
      <c r="CJ46" s="2" t="s">
        <v>130</v>
      </c>
      <c r="CK46" s="2" t="s">
        <v>145</v>
      </c>
      <c r="CL46" s="3"/>
      <c r="CM46" s="3"/>
      <c r="CN46" s="3"/>
      <c r="CO46" s="2" t="s">
        <v>126</v>
      </c>
      <c r="CP46" s="3"/>
      <c r="CQ46" s="3"/>
      <c r="CR46" s="3"/>
      <c r="CS46" s="3"/>
      <c r="CT46" s="3"/>
      <c r="CU46" s="3"/>
      <c r="CV46" s="3"/>
      <c r="CW46" s="3"/>
      <c r="CX46" s="2" t="s">
        <v>110</v>
      </c>
      <c r="CY46" s="2" t="s">
        <v>104</v>
      </c>
    </row>
    <row r="47" spans="1:103" ht="15.75" customHeight="1" x14ac:dyDescent="0.2">
      <c r="A47" s="2" t="s">
        <v>115</v>
      </c>
      <c r="B47" s="2" t="s">
        <v>121</v>
      </c>
      <c r="C47" s="2" t="s">
        <v>312</v>
      </c>
      <c r="D47" s="3"/>
      <c r="E47" s="2" t="s">
        <v>103</v>
      </c>
      <c r="F47" s="3"/>
      <c r="G47" s="3"/>
      <c r="H47" s="2" t="s">
        <v>138</v>
      </c>
      <c r="I47" s="2" t="s">
        <v>152</v>
      </c>
      <c r="J47" s="3"/>
      <c r="K47" s="3"/>
      <c r="L47" s="2" t="s">
        <v>144</v>
      </c>
      <c r="M47" s="2" t="s">
        <v>109</v>
      </c>
      <c r="N47" s="2" t="s">
        <v>142</v>
      </c>
      <c r="O47" s="2" t="s">
        <v>105</v>
      </c>
      <c r="P47" s="3"/>
      <c r="Q47" s="2" t="s">
        <v>130</v>
      </c>
      <c r="R47" s="2" t="s">
        <v>126</v>
      </c>
      <c r="S47" s="2" t="s">
        <v>165</v>
      </c>
      <c r="T47" s="2" t="s">
        <v>126</v>
      </c>
      <c r="U47" s="3"/>
      <c r="V47" s="2" t="s">
        <v>123</v>
      </c>
      <c r="W47" s="3"/>
      <c r="X47" s="3"/>
      <c r="Y47" s="2" t="s">
        <v>121</v>
      </c>
      <c r="Z47" s="3"/>
      <c r="AA47" s="3"/>
      <c r="AB47" s="2" t="s">
        <v>122</v>
      </c>
      <c r="AC47" s="2" t="s">
        <v>154</v>
      </c>
      <c r="AD47" s="2" t="s">
        <v>122</v>
      </c>
      <c r="AE47" s="2" t="s">
        <v>103</v>
      </c>
      <c r="AF47" s="2" t="s">
        <v>154</v>
      </c>
      <c r="AG47" s="2" t="s">
        <v>103</v>
      </c>
      <c r="AH47" s="3"/>
      <c r="AI47" s="3"/>
      <c r="AJ47" s="2" t="s">
        <v>183</v>
      </c>
      <c r="AK47" s="3"/>
      <c r="AL47" s="2" t="s">
        <v>113</v>
      </c>
      <c r="AM47" s="2" t="s">
        <v>121</v>
      </c>
      <c r="AN47" s="3"/>
      <c r="AO47" s="3"/>
      <c r="AP47" s="3"/>
      <c r="AQ47" s="3"/>
      <c r="AR47" s="3"/>
      <c r="AS47" s="3"/>
      <c r="AT47" s="2" t="s">
        <v>110</v>
      </c>
      <c r="AU47" s="2" t="s">
        <v>123</v>
      </c>
      <c r="AV47" s="2" t="s">
        <v>116</v>
      </c>
      <c r="AW47" s="2" t="s">
        <v>113</v>
      </c>
      <c r="AX47" s="3"/>
      <c r="AY47" s="2" t="s">
        <v>109</v>
      </c>
      <c r="AZ47" s="3"/>
      <c r="BA47" s="3"/>
      <c r="BB47" s="3"/>
      <c r="BC47" s="3"/>
      <c r="BD47" s="3"/>
      <c r="BE47" s="3"/>
      <c r="BF47" s="2" t="s">
        <v>151</v>
      </c>
      <c r="BG47" s="2" t="s">
        <v>126</v>
      </c>
      <c r="BH47" s="3"/>
      <c r="BI47" s="3"/>
      <c r="BJ47" s="4">
        <f>1 +(1/2)</f>
        <v>1.5</v>
      </c>
      <c r="BK47" s="2" t="s">
        <v>138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2" t="s">
        <v>124</v>
      </c>
      <c r="CD47" s="2" t="s">
        <v>191</v>
      </c>
      <c r="CE47" s="3"/>
      <c r="CF47" s="3"/>
      <c r="CG47" s="3"/>
      <c r="CH47" s="3"/>
      <c r="CI47" s="2" t="s">
        <v>116</v>
      </c>
      <c r="CJ47" s="2" t="s">
        <v>112</v>
      </c>
      <c r="CK47" s="2" t="s">
        <v>126</v>
      </c>
      <c r="CL47" s="3"/>
      <c r="CM47" s="3"/>
      <c r="CN47" s="3"/>
      <c r="CO47" s="2" t="s">
        <v>108</v>
      </c>
      <c r="CP47" s="3"/>
      <c r="CQ47" s="3"/>
      <c r="CR47" s="3"/>
      <c r="CS47" s="3"/>
      <c r="CT47" s="3"/>
      <c r="CU47" s="3"/>
      <c r="CV47" s="3"/>
      <c r="CW47" s="3"/>
      <c r="CX47" s="2" t="s">
        <v>105</v>
      </c>
      <c r="CY47" s="2" t="s">
        <v>113</v>
      </c>
    </row>
    <row r="48" spans="1:103" ht="15.75" customHeight="1" x14ac:dyDescent="0.2">
      <c r="A48" s="2" t="s">
        <v>137</v>
      </c>
      <c r="B48" s="2" t="s">
        <v>121</v>
      </c>
      <c r="C48" s="2" t="s">
        <v>312</v>
      </c>
      <c r="D48" s="3"/>
      <c r="E48" s="2" t="s">
        <v>103</v>
      </c>
      <c r="F48" s="3"/>
      <c r="G48" s="3"/>
      <c r="H48" s="2" t="s">
        <v>122</v>
      </c>
      <c r="I48" s="2" t="s">
        <v>192</v>
      </c>
      <c r="J48" s="2" t="s">
        <v>137</v>
      </c>
      <c r="K48" s="3"/>
      <c r="L48" s="2" t="s">
        <v>193</v>
      </c>
      <c r="M48" s="2" t="s">
        <v>112</v>
      </c>
      <c r="N48" s="2" t="s">
        <v>134</v>
      </c>
      <c r="O48" s="2" t="s">
        <v>121</v>
      </c>
      <c r="P48" s="3"/>
      <c r="Q48" s="2" t="s">
        <v>123</v>
      </c>
      <c r="R48" s="2" t="s">
        <v>113</v>
      </c>
      <c r="S48" s="2" t="s">
        <v>135</v>
      </c>
      <c r="T48" s="2" t="s">
        <v>113</v>
      </c>
      <c r="U48" s="3"/>
      <c r="V48" s="2" t="s">
        <v>108</v>
      </c>
      <c r="W48" s="3"/>
      <c r="X48" s="3"/>
      <c r="Y48" s="2" t="s">
        <v>117</v>
      </c>
      <c r="Z48" s="3"/>
      <c r="AA48" s="3"/>
      <c r="AB48" s="2" t="s">
        <v>137</v>
      </c>
      <c r="AC48" s="2" t="s">
        <v>111</v>
      </c>
      <c r="AD48" s="2" t="s">
        <v>137</v>
      </c>
      <c r="AE48" s="3"/>
      <c r="AF48" s="2" t="s">
        <v>115</v>
      </c>
      <c r="AG48" s="2" t="s">
        <v>117</v>
      </c>
      <c r="AH48" s="3"/>
      <c r="AI48" s="3"/>
      <c r="AJ48" s="2" t="s">
        <v>142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2" t="s">
        <v>154</v>
      </c>
      <c r="AW48" s="2" t="s">
        <v>113</v>
      </c>
      <c r="AX48" s="3"/>
      <c r="AY48" s="2" t="s">
        <v>109</v>
      </c>
      <c r="AZ48" s="3"/>
      <c r="BA48" s="3"/>
      <c r="BB48" s="2" t="s">
        <v>111</v>
      </c>
      <c r="BC48" s="2" t="s">
        <v>108</v>
      </c>
      <c r="BD48" s="3"/>
      <c r="BE48" s="3"/>
      <c r="BF48" s="3"/>
      <c r="BG48" s="3"/>
      <c r="BH48" s="3"/>
      <c r="BI48" s="3"/>
      <c r="BJ48" s="2" t="s">
        <v>103</v>
      </c>
      <c r="BK48" s="2" t="s">
        <v>113</v>
      </c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2" t="s">
        <v>107</v>
      </c>
      <c r="CY48" s="2" t="s">
        <v>120</v>
      </c>
    </row>
    <row r="49" spans="1:103" ht="15.75" customHeight="1" x14ac:dyDescent="0.2">
      <c r="A49" s="2" t="s">
        <v>118</v>
      </c>
      <c r="B49" s="2" t="s">
        <v>121</v>
      </c>
      <c r="C49" s="2" t="s">
        <v>312</v>
      </c>
      <c r="D49" s="3"/>
      <c r="E49" s="2" t="s">
        <v>103</v>
      </c>
      <c r="F49" s="3"/>
      <c r="G49" s="3"/>
      <c r="H49" s="2" t="s">
        <v>113</v>
      </c>
      <c r="I49" s="2" t="s">
        <v>132</v>
      </c>
      <c r="J49" s="3"/>
      <c r="K49" s="3"/>
      <c r="L49" s="2" t="s">
        <v>174</v>
      </c>
      <c r="M49" s="2" t="s">
        <v>109</v>
      </c>
      <c r="N49" s="2" t="s">
        <v>145</v>
      </c>
      <c r="O49" s="3"/>
      <c r="P49" s="3"/>
      <c r="Q49" s="2" t="s">
        <v>123</v>
      </c>
      <c r="R49" s="2" t="s">
        <v>120</v>
      </c>
      <c r="S49" s="2" t="s">
        <v>131</v>
      </c>
      <c r="T49" s="2" t="s">
        <v>104</v>
      </c>
      <c r="U49" s="3"/>
      <c r="V49" s="2" t="s">
        <v>104</v>
      </c>
      <c r="W49" s="3"/>
      <c r="X49" s="3"/>
      <c r="Y49" s="2" t="s">
        <v>116</v>
      </c>
      <c r="Z49" s="3"/>
      <c r="AA49" s="3"/>
      <c r="AB49" s="2" t="s">
        <v>111</v>
      </c>
      <c r="AC49" s="2" t="s">
        <v>116</v>
      </c>
      <c r="AD49" s="2" t="s">
        <v>117</v>
      </c>
      <c r="AE49" s="3"/>
      <c r="AF49" s="2" t="s">
        <v>117</v>
      </c>
      <c r="AG49" s="3"/>
      <c r="AH49" s="3"/>
      <c r="AI49" s="3"/>
      <c r="AJ49" s="2" t="s">
        <v>135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2" t="s">
        <v>103</v>
      </c>
      <c r="AW49" s="2" t="s">
        <v>113</v>
      </c>
      <c r="AX49" s="3"/>
      <c r="AY49" s="2" t="s">
        <v>109</v>
      </c>
      <c r="AZ49" s="3"/>
      <c r="BA49" s="3"/>
      <c r="BB49" s="3"/>
      <c r="BC49" s="3"/>
      <c r="BD49" s="2" t="s">
        <v>105</v>
      </c>
      <c r="BE49" s="2" t="s">
        <v>109</v>
      </c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2" t="s">
        <v>105</v>
      </c>
      <c r="CD49" s="2" t="s">
        <v>145</v>
      </c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2" t="s">
        <v>105</v>
      </c>
      <c r="CY49" s="2" t="s">
        <v>113</v>
      </c>
    </row>
    <row r="50" spans="1:103" ht="15.75" customHeight="1" x14ac:dyDescent="0.2">
      <c r="A50" s="2" t="s">
        <v>154</v>
      </c>
      <c r="B50" s="2" t="s">
        <v>121</v>
      </c>
      <c r="C50" s="2" t="s">
        <v>312</v>
      </c>
      <c r="D50" s="3"/>
      <c r="E50" s="2" t="s">
        <v>103</v>
      </c>
      <c r="F50" s="3"/>
      <c r="G50" s="3"/>
      <c r="H50" s="2" t="s">
        <v>110</v>
      </c>
      <c r="I50" s="2" t="s">
        <v>194</v>
      </c>
      <c r="J50" s="3"/>
      <c r="K50" s="3"/>
      <c r="L50" s="2" t="s">
        <v>128</v>
      </c>
      <c r="M50" s="2" t="s">
        <v>121</v>
      </c>
      <c r="N50" s="2" t="s">
        <v>145</v>
      </c>
      <c r="O50" s="3"/>
      <c r="P50" s="3"/>
      <c r="Q50" s="2" t="s">
        <v>112</v>
      </c>
      <c r="R50" s="2" t="s">
        <v>107</v>
      </c>
      <c r="S50" s="2" t="s">
        <v>131</v>
      </c>
      <c r="T50" s="2" t="s">
        <v>172</v>
      </c>
      <c r="U50" s="3"/>
      <c r="V50" s="2" t="s">
        <v>120</v>
      </c>
      <c r="W50" s="3"/>
      <c r="X50" s="3"/>
      <c r="Y50" s="2" t="s">
        <v>117</v>
      </c>
      <c r="Z50" s="3"/>
      <c r="AA50" s="3"/>
      <c r="AB50" s="2" t="s">
        <v>117</v>
      </c>
      <c r="AC50" s="2" t="s">
        <v>137</v>
      </c>
      <c r="AD50" s="2" t="s">
        <v>117</v>
      </c>
      <c r="AE50" s="3"/>
      <c r="AF50" s="3"/>
      <c r="AG50" s="3"/>
      <c r="AH50" s="2" t="s">
        <v>103</v>
      </c>
      <c r="AI50" s="3"/>
      <c r="AJ50" s="2" t="s">
        <v>131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" t="s">
        <v>103</v>
      </c>
      <c r="BC50" s="2" t="s">
        <v>110</v>
      </c>
      <c r="BD50" s="3"/>
      <c r="BE50" s="3"/>
      <c r="BF50" s="2" t="s">
        <v>118</v>
      </c>
      <c r="BG50" s="2" t="s">
        <v>130</v>
      </c>
      <c r="BH50" s="3"/>
      <c r="BI50" s="3"/>
      <c r="BJ50" s="2" t="s">
        <v>103</v>
      </c>
      <c r="BK50" s="2" t="s">
        <v>113</v>
      </c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2" t="s">
        <v>103</v>
      </c>
      <c r="CD50" s="2" t="s">
        <v>104</v>
      </c>
      <c r="CE50" s="3"/>
      <c r="CF50" s="3"/>
      <c r="CG50" s="3"/>
      <c r="CH50" s="3"/>
      <c r="CI50" s="2" t="s">
        <v>116</v>
      </c>
      <c r="CJ50" s="2" t="s">
        <v>109</v>
      </c>
      <c r="CK50" s="4" t="s">
        <v>103</v>
      </c>
      <c r="CL50" s="3"/>
      <c r="CM50" s="3"/>
      <c r="CN50" s="3"/>
      <c r="CO50" s="2" t="s">
        <v>126</v>
      </c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 spans="1:103" ht="15.75" customHeight="1" x14ac:dyDescent="0.2">
      <c r="A51" s="2" t="s">
        <v>105</v>
      </c>
      <c r="B51" s="2" t="s">
        <v>121</v>
      </c>
      <c r="C51" s="2" t="s">
        <v>312</v>
      </c>
      <c r="D51" s="3"/>
      <c r="E51" s="2" t="s">
        <v>103</v>
      </c>
      <c r="F51" s="3"/>
      <c r="G51" s="3"/>
      <c r="H51" s="2" t="s">
        <v>110</v>
      </c>
      <c r="I51" s="2" t="s">
        <v>114</v>
      </c>
      <c r="J51" s="2" t="s">
        <v>108</v>
      </c>
      <c r="K51" s="3"/>
      <c r="L51" s="2" t="s">
        <v>195</v>
      </c>
      <c r="M51" s="2" t="s">
        <v>112</v>
      </c>
      <c r="N51" s="2" t="s">
        <v>106</v>
      </c>
      <c r="O51" s="2" t="s">
        <v>108</v>
      </c>
      <c r="P51" s="3"/>
      <c r="Q51" s="2" t="s">
        <v>112</v>
      </c>
      <c r="R51" s="2" t="s">
        <v>126</v>
      </c>
      <c r="S51" s="2" t="s">
        <v>142</v>
      </c>
      <c r="T51" s="2" t="s">
        <v>136</v>
      </c>
      <c r="U51" s="3"/>
      <c r="V51" s="2" t="s">
        <v>136</v>
      </c>
      <c r="W51" s="3"/>
      <c r="X51" s="3"/>
      <c r="Y51" s="2" t="s">
        <v>121</v>
      </c>
      <c r="Z51" s="3"/>
      <c r="AA51" s="3"/>
      <c r="AB51" s="2" t="s">
        <v>196</v>
      </c>
      <c r="AC51" s="2" t="s">
        <v>139</v>
      </c>
      <c r="AD51" s="2" t="s">
        <v>139</v>
      </c>
      <c r="AE51" s="3"/>
      <c r="AF51" s="2" t="s">
        <v>121</v>
      </c>
      <c r="AG51" s="2" t="s">
        <v>117</v>
      </c>
      <c r="AH51" s="3"/>
      <c r="AI51" s="3"/>
      <c r="AJ51" s="2" t="s">
        <v>155</v>
      </c>
      <c r="AK51" s="3"/>
      <c r="AL51" s="2" t="s">
        <v>154</v>
      </c>
      <c r="AM51" s="2" t="s">
        <v>111</v>
      </c>
      <c r="AN51" s="3"/>
      <c r="AO51" s="3"/>
      <c r="AP51" s="3"/>
      <c r="AQ51" s="3"/>
      <c r="AR51" s="3"/>
      <c r="AS51" s="3"/>
      <c r="AT51" s="2" t="s">
        <v>121</v>
      </c>
      <c r="AU51" s="2" t="s">
        <v>108</v>
      </c>
      <c r="AV51" s="2" t="s">
        <v>116</v>
      </c>
      <c r="AW51" s="3"/>
      <c r="AX51" s="3"/>
      <c r="AY51" s="3"/>
      <c r="AZ51" s="3"/>
      <c r="BA51" s="3"/>
      <c r="BB51" s="3"/>
      <c r="BC51" s="3"/>
      <c r="BD51" s="2" t="s">
        <v>103</v>
      </c>
      <c r="BE51" s="2" t="s">
        <v>105</v>
      </c>
      <c r="BF51" s="2" t="s">
        <v>139</v>
      </c>
      <c r="BG51" s="2" t="s">
        <v>131</v>
      </c>
      <c r="BH51" s="3"/>
      <c r="BI51" s="3"/>
      <c r="BJ51" s="2" t="s">
        <v>103</v>
      </c>
      <c r="BK51" s="2" t="s">
        <v>124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4">
        <f>1 +(1/2)</f>
        <v>1.5</v>
      </c>
      <c r="CD51" s="2" t="s">
        <v>140</v>
      </c>
      <c r="CE51" s="3"/>
      <c r="CF51" s="3"/>
      <c r="CG51" s="3"/>
      <c r="CH51" s="3"/>
      <c r="CI51" s="2" t="s">
        <v>103</v>
      </c>
      <c r="CJ51" s="2" t="s">
        <v>104</v>
      </c>
      <c r="CK51" s="2" t="s">
        <v>139</v>
      </c>
      <c r="CL51" s="3"/>
      <c r="CM51" s="3"/>
      <c r="CN51" s="3"/>
      <c r="CO51" s="2" t="s">
        <v>121</v>
      </c>
      <c r="CP51" s="3"/>
      <c r="CQ51" s="3"/>
      <c r="CR51" s="3"/>
      <c r="CS51" s="3"/>
      <c r="CT51" s="3"/>
      <c r="CU51" s="3"/>
      <c r="CV51" s="3"/>
      <c r="CW51" s="3"/>
      <c r="CX51" s="2" t="s">
        <v>105</v>
      </c>
      <c r="CY51" s="2" t="s">
        <v>113</v>
      </c>
    </row>
    <row r="52" spans="1:103" ht="15.75" customHeight="1" x14ac:dyDescent="0.2">
      <c r="A52" s="2" t="s">
        <v>103</v>
      </c>
      <c r="B52" s="2" t="s">
        <v>115</v>
      </c>
      <c r="C52" s="2" t="s">
        <v>312</v>
      </c>
      <c r="D52" s="3"/>
      <c r="E52" s="2" t="s">
        <v>103</v>
      </c>
      <c r="F52" s="3"/>
      <c r="G52" s="3"/>
      <c r="H52" s="2" t="s">
        <v>113</v>
      </c>
      <c r="I52" s="2" t="s">
        <v>120</v>
      </c>
      <c r="J52" s="3"/>
      <c r="K52" s="3"/>
      <c r="L52" s="2" t="s">
        <v>190</v>
      </c>
      <c r="M52" s="2" t="s">
        <v>112</v>
      </c>
      <c r="N52" s="2" t="s">
        <v>135</v>
      </c>
      <c r="O52" s="3"/>
      <c r="P52" s="3"/>
      <c r="Q52" s="2" t="s">
        <v>112</v>
      </c>
      <c r="R52" s="2" t="s">
        <v>107</v>
      </c>
      <c r="S52" s="2" t="s">
        <v>134</v>
      </c>
      <c r="T52" s="2" t="s">
        <v>136</v>
      </c>
      <c r="U52" s="3"/>
      <c r="V52" s="2" t="s">
        <v>132</v>
      </c>
      <c r="W52" s="3"/>
      <c r="X52" s="3"/>
      <c r="Y52" s="2" t="s">
        <v>117</v>
      </c>
      <c r="Z52" s="3"/>
      <c r="AA52" s="3"/>
      <c r="AB52" s="2" t="s">
        <v>137</v>
      </c>
      <c r="AC52" s="2" t="s">
        <v>105</v>
      </c>
      <c r="AD52" s="2" t="s">
        <v>137</v>
      </c>
      <c r="AE52" s="3"/>
      <c r="AF52" s="2" t="s">
        <v>116</v>
      </c>
      <c r="AG52" s="2" t="s">
        <v>116</v>
      </c>
      <c r="AH52" s="3"/>
      <c r="AI52" s="3"/>
      <c r="AJ52" s="2" t="s">
        <v>147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2" t="s">
        <v>116</v>
      </c>
      <c r="AW52" s="2" t="s">
        <v>104</v>
      </c>
      <c r="AX52" s="3"/>
      <c r="AY52" s="2" t="s">
        <v>116</v>
      </c>
      <c r="AZ52" s="3"/>
      <c r="BA52" s="3"/>
      <c r="BB52" s="2" t="s">
        <v>116</v>
      </c>
      <c r="BC52" s="2" t="s">
        <v>113</v>
      </c>
      <c r="BD52" s="3"/>
      <c r="BE52" s="3"/>
      <c r="BF52" s="2" t="s">
        <v>139</v>
      </c>
      <c r="BG52" s="2" t="s">
        <v>197</v>
      </c>
      <c r="BH52" s="3"/>
      <c r="BI52" s="3"/>
      <c r="BJ52" s="2" t="s">
        <v>117</v>
      </c>
      <c r="BK52" s="2" t="s">
        <v>198</v>
      </c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2">
        <f>1/2</f>
        <v>0.5</v>
      </c>
      <c r="CD52" s="2" t="s">
        <v>109</v>
      </c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</row>
    <row r="53" spans="1:103" ht="15.75" customHeight="1" x14ac:dyDescent="0.2">
      <c r="A53" s="2" t="s">
        <v>116</v>
      </c>
      <c r="B53" s="2" t="s">
        <v>115</v>
      </c>
      <c r="C53" s="2" t="s">
        <v>312</v>
      </c>
      <c r="D53" s="3"/>
      <c r="E53" s="2" t="s">
        <v>103</v>
      </c>
      <c r="F53" s="3"/>
      <c r="G53" s="3"/>
      <c r="H53" s="2" t="s">
        <v>104</v>
      </c>
      <c r="I53" s="2" t="s">
        <v>112</v>
      </c>
      <c r="J53" s="2" t="s">
        <v>114</v>
      </c>
      <c r="K53" s="3"/>
      <c r="L53" s="2" t="s">
        <v>144</v>
      </c>
      <c r="M53" s="2" t="s">
        <v>112</v>
      </c>
      <c r="N53" s="2" t="s">
        <v>106</v>
      </c>
      <c r="O53" s="2" t="s">
        <v>113</v>
      </c>
      <c r="P53" s="3"/>
      <c r="Q53" s="2" t="s">
        <v>112</v>
      </c>
      <c r="R53" s="2" t="s">
        <v>107</v>
      </c>
      <c r="S53" s="2" t="s">
        <v>165</v>
      </c>
      <c r="T53" s="2" t="s">
        <v>109</v>
      </c>
      <c r="U53" s="3"/>
      <c r="V53" s="2" t="s">
        <v>126</v>
      </c>
      <c r="W53" s="3"/>
      <c r="X53" s="3"/>
      <c r="Y53" s="2" t="s">
        <v>115</v>
      </c>
      <c r="Z53" s="3"/>
      <c r="AA53" s="3"/>
      <c r="AB53" s="2" t="s">
        <v>118</v>
      </c>
      <c r="AC53" s="2" t="s">
        <v>139</v>
      </c>
      <c r="AD53" s="2" t="s">
        <v>118</v>
      </c>
      <c r="AE53" s="3"/>
      <c r="AF53" s="2" t="s">
        <v>105</v>
      </c>
      <c r="AG53" s="3"/>
      <c r="AH53" s="3"/>
      <c r="AI53" s="3"/>
      <c r="AJ53" s="2" t="s">
        <v>147</v>
      </c>
      <c r="AK53" s="3"/>
      <c r="AL53" s="2" t="s">
        <v>151</v>
      </c>
      <c r="AM53" s="2" t="s">
        <v>121</v>
      </c>
      <c r="AN53" s="3"/>
      <c r="AO53" s="3"/>
      <c r="AP53" s="3"/>
      <c r="AQ53" s="3"/>
      <c r="AR53" s="2" t="s">
        <v>103</v>
      </c>
      <c r="AS53" s="3"/>
      <c r="AT53" s="2" t="s">
        <v>115</v>
      </c>
      <c r="AU53" s="2" t="s">
        <v>107</v>
      </c>
      <c r="AV53" s="2" t="s">
        <v>116</v>
      </c>
      <c r="AW53" s="2" t="s">
        <v>104</v>
      </c>
      <c r="AX53" s="3"/>
      <c r="AY53" s="2" t="s">
        <v>116</v>
      </c>
      <c r="AZ53" s="3"/>
      <c r="BA53" s="3"/>
      <c r="BB53" s="2" t="s">
        <v>115</v>
      </c>
      <c r="BC53" s="2" t="s">
        <v>199</v>
      </c>
      <c r="BD53" s="2" t="s">
        <v>111</v>
      </c>
      <c r="BE53" s="2" t="s">
        <v>104</v>
      </c>
      <c r="BF53" s="2" t="s">
        <v>110</v>
      </c>
      <c r="BG53" s="2" t="s">
        <v>145</v>
      </c>
      <c r="BH53" s="3"/>
      <c r="BI53" s="3"/>
      <c r="BJ53" s="2" t="s">
        <v>111</v>
      </c>
      <c r="BK53" s="2" t="s">
        <v>126</v>
      </c>
      <c r="BL53" s="3"/>
      <c r="BM53" s="2" t="s">
        <v>111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2" t="s">
        <v>103</v>
      </c>
      <c r="CD53" s="2" t="s">
        <v>107</v>
      </c>
      <c r="CE53" s="3"/>
      <c r="CF53" s="3"/>
      <c r="CG53" s="3"/>
      <c r="CH53" s="3"/>
      <c r="CI53" s="2" t="s">
        <v>103</v>
      </c>
      <c r="CJ53" s="2" t="s">
        <v>113</v>
      </c>
      <c r="CK53" s="2" t="s">
        <v>126</v>
      </c>
      <c r="CL53" s="3"/>
      <c r="CM53" s="3"/>
      <c r="CN53" s="3"/>
      <c r="CO53" s="2" t="s">
        <v>113</v>
      </c>
      <c r="CP53" s="3"/>
      <c r="CQ53" s="3"/>
      <c r="CR53" s="3"/>
      <c r="CS53" s="3"/>
      <c r="CT53" s="3"/>
      <c r="CU53" s="3"/>
      <c r="CV53" s="3"/>
      <c r="CW53" s="3"/>
      <c r="CX53" s="2" t="s">
        <v>110</v>
      </c>
      <c r="CY53" s="4" t="s">
        <v>116</v>
      </c>
    </row>
    <row r="54" spans="1:103" ht="15.75" customHeight="1" x14ac:dyDescent="0.2">
      <c r="A54" s="2" t="s">
        <v>117</v>
      </c>
      <c r="B54" s="2" t="s">
        <v>115</v>
      </c>
      <c r="C54" s="2" t="s">
        <v>312</v>
      </c>
      <c r="D54" s="3"/>
      <c r="E54" s="2" t="s">
        <v>103</v>
      </c>
      <c r="F54" s="3"/>
      <c r="G54" s="3"/>
      <c r="H54" s="2" t="s">
        <v>107</v>
      </c>
      <c r="I54" s="2" t="s">
        <v>132</v>
      </c>
      <c r="J54" s="2" t="s">
        <v>113</v>
      </c>
      <c r="K54" s="3"/>
      <c r="L54" s="2" t="s">
        <v>133</v>
      </c>
      <c r="M54" s="2" t="s">
        <v>130</v>
      </c>
      <c r="N54" s="2" t="s">
        <v>165</v>
      </c>
      <c r="O54" s="2" t="s">
        <v>105</v>
      </c>
      <c r="P54" s="3"/>
      <c r="Q54" s="2" t="s">
        <v>112</v>
      </c>
      <c r="R54" s="2" t="s">
        <v>107</v>
      </c>
      <c r="S54" s="2" t="s">
        <v>134</v>
      </c>
      <c r="T54" s="2" t="s">
        <v>146</v>
      </c>
      <c r="U54" s="3"/>
      <c r="V54" s="2" t="s">
        <v>146</v>
      </c>
      <c r="W54" s="3"/>
      <c r="X54" s="3"/>
      <c r="Y54" s="2" t="s">
        <v>117</v>
      </c>
      <c r="Z54" s="3"/>
      <c r="AA54" s="3"/>
      <c r="AB54" s="2" t="s">
        <v>139</v>
      </c>
      <c r="AC54" s="2" t="s">
        <v>122</v>
      </c>
      <c r="AD54" s="2" t="s">
        <v>105</v>
      </c>
      <c r="AE54" s="3"/>
      <c r="AF54" s="2" t="s">
        <v>103</v>
      </c>
      <c r="AG54" s="2" t="s">
        <v>137</v>
      </c>
      <c r="AH54" s="3"/>
      <c r="AI54" s="3"/>
      <c r="AJ54" s="2" t="s">
        <v>155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2" t="s">
        <v>111</v>
      </c>
      <c r="AW54" s="2" t="s">
        <v>104</v>
      </c>
      <c r="AX54" s="3"/>
      <c r="AY54" s="2" t="s">
        <v>116</v>
      </c>
      <c r="AZ54" s="3"/>
      <c r="BA54" s="3"/>
      <c r="BB54" s="2" t="s">
        <v>103</v>
      </c>
      <c r="BC54" s="2" t="s">
        <v>151</v>
      </c>
      <c r="BD54" s="2" t="s">
        <v>116</v>
      </c>
      <c r="BE54" s="2" t="s">
        <v>146</v>
      </c>
      <c r="BF54" s="2" t="s">
        <v>168</v>
      </c>
      <c r="BG54" s="2" t="s">
        <v>145</v>
      </c>
      <c r="BH54" s="2" t="s">
        <v>115</v>
      </c>
      <c r="BI54" s="2" t="s">
        <v>124</v>
      </c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2" t="s">
        <v>103</v>
      </c>
      <c r="CD54" s="2" t="s">
        <v>172</v>
      </c>
      <c r="CE54" s="3"/>
      <c r="CF54" s="3"/>
      <c r="CG54" s="3"/>
      <c r="CH54" s="3"/>
      <c r="CI54" s="2" t="s">
        <v>115</v>
      </c>
      <c r="CJ54" s="2" t="s">
        <v>130</v>
      </c>
      <c r="CK54" s="2" t="s">
        <v>129</v>
      </c>
      <c r="CL54" s="3"/>
      <c r="CM54" s="3"/>
      <c r="CN54" s="3"/>
      <c r="CO54" s="2" t="s">
        <v>136</v>
      </c>
      <c r="CP54" s="3"/>
      <c r="CQ54" s="3"/>
      <c r="CR54" s="3"/>
      <c r="CS54" s="3"/>
      <c r="CT54" s="3"/>
      <c r="CU54" s="3"/>
      <c r="CV54" s="3"/>
      <c r="CW54" s="3"/>
      <c r="CX54" s="2" t="s">
        <v>113</v>
      </c>
      <c r="CY54" s="4" t="s">
        <v>111</v>
      </c>
    </row>
    <row r="55" spans="1:103" ht="15.75" customHeight="1" x14ac:dyDescent="0.2">
      <c r="A55" s="2" t="s">
        <v>111</v>
      </c>
      <c r="B55" s="2" t="s">
        <v>115</v>
      </c>
      <c r="C55" s="2" t="s">
        <v>312</v>
      </c>
      <c r="D55" s="3"/>
      <c r="E55" s="2" t="s">
        <v>103</v>
      </c>
      <c r="F55" s="3"/>
      <c r="G55" s="3"/>
      <c r="H55" s="2" t="s">
        <v>136</v>
      </c>
      <c r="I55" s="2" t="s">
        <v>200</v>
      </c>
      <c r="J55" s="3"/>
      <c r="K55" s="3"/>
      <c r="L55" s="2" t="s">
        <v>201</v>
      </c>
      <c r="M55" s="2" t="s">
        <v>135</v>
      </c>
      <c r="N55" s="2" t="s">
        <v>183</v>
      </c>
      <c r="O55" s="2" t="s">
        <v>109</v>
      </c>
      <c r="P55" s="2" t="s">
        <v>105</v>
      </c>
      <c r="Q55" s="2" t="s">
        <v>135</v>
      </c>
      <c r="R55" s="2" t="s">
        <v>109</v>
      </c>
      <c r="S55" s="2" t="s">
        <v>125</v>
      </c>
      <c r="T55" s="2" t="s">
        <v>143</v>
      </c>
      <c r="U55" s="3"/>
      <c r="V55" s="2" t="s">
        <v>143</v>
      </c>
      <c r="W55" s="3"/>
      <c r="X55" s="3"/>
      <c r="Y55" s="2" t="s">
        <v>111</v>
      </c>
      <c r="Z55" s="3"/>
      <c r="AA55" s="3"/>
      <c r="AB55" s="2" t="s">
        <v>108</v>
      </c>
      <c r="AC55" s="2" t="s">
        <v>124</v>
      </c>
      <c r="AD55" s="2" t="s">
        <v>113</v>
      </c>
      <c r="AE55" s="3"/>
      <c r="AF55" s="2" t="s">
        <v>137</v>
      </c>
      <c r="AG55" s="2" t="s">
        <v>111</v>
      </c>
      <c r="AH55" s="2" t="s">
        <v>103</v>
      </c>
      <c r="AI55" s="3"/>
      <c r="AJ55" s="2" t="s">
        <v>195</v>
      </c>
      <c r="AK55" s="3"/>
      <c r="AL55" s="2" t="s">
        <v>202</v>
      </c>
      <c r="AM55" s="2" t="s">
        <v>196</v>
      </c>
      <c r="AN55" s="2" t="s">
        <v>103</v>
      </c>
      <c r="AO55" s="3"/>
      <c r="AP55" s="3"/>
      <c r="AQ55" s="3"/>
      <c r="AR55" s="3"/>
      <c r="AS55" s="3"/>
      <c r="AT55" s="2" t="s">
        <v>198</v>
      </c>
      <c r="AU55" s="2" t="s">
        <v>203</v>
      </c>
      <c r="AV55" s="2" t="s">
        <v>111</v>
      </c>
      <c r="AW55" s="2" t="s">
        <v>108</v>
      </c>
      <c r="AX55" s="3"/>
      <c r="AY55" s="2" t="s">
        <v>116</v>
      </c>
      <c r="AZ55" s="3"/>
      <c r="BA55" s="3"/>
      <c r="BB55" s="3"/>
      <c r="BC55" s="3"/>
      <c r="BD55" s="2" t="s">
        <v>116</v>
      </c>
      <c r="BE55" s="2" t="s">
        <v>123</v>
      </c>
      <c r="BF55" s="2" t="s">
        <v>158</v>
      </c>
      <c r="BG55" s="2" t="s">
        <v>147</v>
      </c>
      <c r="BH55" s="3"/>
      <c r="BI55" s="3"/>
      <c r="BJ55" s="2" t="s">
        <v>115</v>
      </c>
      <c r="BK55" s="2" t="s">
        <v>132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2" t="s">
        <v>116</v>
      </c>
      <c r="CD55" s="2" t="s">
        <v>109</v>
      </c>
      <c r="CE55" s="3"/>
      <c r="CF55" s="3"/>
      <c r="CG55" s="3"/>
      <c r="CH55" s="3"/>
      <c r="CI55" s="2" t="s">
        <v>116</v>
      </c>
      <c r="CJ55" s="2" t="s">
        <v>109</v>
      </c>
      <c r="CK55" s="2" t="s">
        <v>109</v>
      </c>
      <c r="CL55" s="3"/>
      <c r="CM55" s="3"/>
      <c r="CN55" s="3"/>
      <c r="CO55" s="2" t="s">
        <v>110</v>
      </c>
      <c r="CP55" s="3"/>
      <c r="CQ55" s="3"/>
      <c r="CR55" s="3"/>
      <c r="CS55" s="3"/>
      <c r="CT55" s="3"/>
      <c r="CU55" s="3"/>
      <c r="CV55" s="3"/>
      <c r="CW55" s="3"/>
      <c r="CX55" s="2" t="s">
        <v>113</v>
      </c>
      <c r="CY55" s="4" t="s">
        <v>111</v>
      </c>
    </row>
    <row r="56" spans="1:103" ht="15.75" customHeight="1" x14ac:dyDescent="0.2">
      <c r="A56" s="2" t="s">
        <v>121</v>
      </c>
      <c r="B56" s="2" t="s">
        <v>115</v>
      </c>
      <c r="C56" s="2" t="s">
        <v>312</v>
      </c>
      <c r="D56" s="3"/>
      <c r="E56" s="2" t="s">
        <v>103</v>
      </c>
      <c r="F56" s="3"/>
      <c r="G56" s="3"/>
      <c r="H56" s="2" t="s">
        <v>139</v>
      </c>
      <c r="I56" s="2" t="s">
        <v>112</v>
      </c>
      <c r="J56" s="2" t="s">
        <v>126</v>
      </c>
      <c r="K56" s="2" t="s">
        <v>113</v>
      </c>
      <c r="L56" s="2" t="s">
        <v>133</v>
      </c>
      <c r="M56" s="2" t="s">
        <v>129</v>
      </c>
      <c r="N56" s="2" t="s">
        <v>142</v>
      </c>
      <c r="O56" s="3"/>
      <c r="P56" s="3"/>
      <c r="Q56" s="2" t="s">
        <v>109</v>
      </c>
      <c r="R56" s="2" t="s">
        <v>108</v>
      </c>
      <c r="S56" s="2" t="s">
        <v>147</v>
      </c>
      <c r="T56" s="2" t="s">
        <v>204</v>
      </c>
      <c r="U56" s="3"/>
      <c r="V56" s="2" t="s">
        <v>126</v>
      </c>
      <c r="W56" s="3"/>
      <c r="X56" s="3"/>
      <c r="Y56" s="2" t="s">
        <v>117</v>
      </c>
      <c r="Z56" s="3"/>
      <c r="AA56" s="3"/>
      <c r="AB56" s="2" t="s">
        <v>113</v>
      </c>
      <c r="AC56" s="2" t="s">
        <v>205</v>
      </c>
      <c r="AD56" s="2" t="s">
        <v>113</v>
      </c>
      <c r="AE56" s="2" t="s">
        <v>137</v>
      </c>
      <c r="AF56" s="2" t="s">
        <v>116</v>
      </c>
      <c r="AG56" s="2" t="s">
        <v>105</v>
      </c>
      <c r="AH56" s="2" t="s">
        <v>103</v>
      </c>
      <c r="AI56" s="3"/>
      <c r="AJ56" s="2" t="s">
        <v>174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2" t="s">
        <v>110</v>
      </c>
      <c r="AW56" s="2" t="s">
        <v>108</v>
      </c>
      <c r="AX56" s="2" t="s">
        <v>117</v>
      </c>
      <c r="AY56" s="2" t="s">
        <v>116</v>
      </c>
      <c r="AZ56" s="3"/>
      <c r="BA56" s="3"/>
      <c r="BB56" s="3"/>
      <c r="BC56" s="3"/>
      <c r="BD56" s="2" t="s">
        <v>116</v>
      </c>
      <c r="BE56" s="2" t="s">
        <v>172</v>
      </c>
      <c r="BF56" s="2" t="s">
        <v>105</v>
      </c>
      <c r="BG56" s="2" t="s">
        <v>206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2">
        <f>1/4</f>
        <v>0.25</v>
      </c>
      <c r="CD56" s="2" t="s">
        <v>105</v>
      </c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2" t="s">
        <v>107</v>
      </c>
      <c r="CY56" s="4" t="s">
        <v>118</v>
      </c>
    </row>
    <row r="57" spans="1:103" ht="15.75" customHeight="1" x14ac:dyDescent="0.2">
      <c r="A57" s="2" t="s">
        <v>115</v>
      </c>
      <c r="B57" s="2" t="s">
        <v>115</v>
      </c>
      <c r="C57" s="2" t="s">
        <v>312</v>
      </c>
      <c r="D57" s="3"/>
      <c r="E57" s="2" t="s">
        <v>103</v>
      </c>
      <c r="F57" s="3"/>
      <c r="G57" s="3"/>
      <c r="H57" s="2" t="s">
        <v>111</v>
      </c>
      <c r="I57" s="2" t="s">
        <v>137</v>
      </c>
      <c r="J57" s="3"/>
      <c r="K57" s="3"/>
      <c r="L57" s="2" t="s">
        <v>174</v>
      </c>
      <c r="M57" s="2" t="s">
        <v>126</v>
      </c>
      <c r="N57" s="2" t="s">
        <v>145</v>
      </c>
      <c r="O57" s="3"/>
      <c r="P57" s="2" t="s">
        <v>105</v>
      </c>
      <c r="Q57" s="2" t="s">
        <v>108</v>
      </c>
      <c r="R57" s="2" t="s">
        <v>115</v>
      </c>
      <c r="S57" s="2" t="s">
        <v>145</v>
      </c>
      <c r="T57" s="2" t="s">
        <v>111</v>
      </c>
      <c r="U57" s="3"/>
      <c r="V57" s="2" t="s">
        <v>118</v>
      </c>
      <c r="W57" s="3"/>
      <c r="X57" s="3"/>
      <c r="Y57" s="2" t="s">
        <v>116</v>
      </c>
      <c r="Z57" s="3"/>
      <c r="AA57" s="3"/>
      <c r="AB57" s="2" t="s">
        <v>116</v>
      </c>
      <c r="AC57" s="3"/>
      <c r="AD57" s="2" t="s">
        <v>116</v>
      </c>
      <c r="AE57" s="3"/>
      <c r="AF57" s="2" t="s">
        <v>116</v>
      </c>
      <c r="AG57" s="3"/>
      <c r="AH57" s="3"/>
      <c r="AI57" s="3"/>
      <c r="AJ57" s="2" t="s">
        <v>145</v>
      </c>
      <c r="AK57" s="3"/>
      <c r="AL57" s="2" t="s">
        <v>121</v>
      </c>
      <c r="AM57" s="3"/>
      <c r="AN57" s="3"/>
      <c r="AO57" s="3"/>
      <c r="AP57" s="3"/>
      <c r="AQ57" s="3"/>
      <c r="AR57" s="2" t="s">
        <v>103</v>
      </c>
      <c r="AS57" s="3"/>
      <c r="AT57" s="2" t="s">
        <v>121</v>
      </c>
      <c r="AU57" s="2" t="s">
        <v>156</v>
      </c>
      <c r="AV57" s="2" t="s">
        <v>116</v>
      </c>
      <c r="AW57" s="2" t="s">
        <v>110</v>
      </c>
      <c r="AX57" s="3"/>
      <c r="AY57" s="2" t="s">
        <v>103</v>
      </c>
      <c r="AZ57" s="3"/>
      <c r="BA57" s="3"/>
      <c r="BB57" s="3"/>
      <c r="BC57" s="3"/>
      <c r="BD57" s="4">
        <f>2 +(1/4)</f>
        <v>2.25</v>
      </c>
      <c r="BE57" s="2" t="s">
        <v>143</v>
      </c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2">
        <f>1/2</f>
        <v>0.5</v>
      </c>
      <c r="CD57" s="2" t="s">
        <v>136</v>
      </c>
      <c r="CE57" s="3"/>
      <c r="CF57" s="3"/>
      <c r="CG57" s="3"/>
      <c r="CH57" s="3"/>
      <c r="CI57" s="2" t="s">
        <v>116</v>
      </c>
      <c r="CJ57" s="2" t="s">
        <v>109</v>
      </c>
      <c r="CK57" s="2" t="s">
        <v>108</v>
      </c>
      <c r="CL57" s="3"/>
      <c r="CM57" s="3"/>
      <c r="CN57" s="3"/>
      <c r="CO57" s="2" t="s">
        <v>126</v>
      </c>
      <c r="CP57" s="3"/>
      <c r="CQ57" s="3"/>
      <c r="CR57" s="3"/>
      <c r="CS57" s="3"/>
      <c r="CT57" s="3"/>
      <c r="CU57" s="3"/>
      <c r="CV57" s="3"/>
      <c r="CW57" s="3"/>
      <c r="CX57" s="3"/>
      <c r="CY57" s="4"/>
    </row>
    <row r="58" spans="1:103" ht="15.75" customHeight="1" x14ac:dyDescent="0.2">
      <c r="A58" s="2" t="s">
        <v>137</v>
      </c>
      <c r="B58" s="2" t="s">
        <v>115</v>
      </c>
      <c r="C58" s="2" t="s">
        <v>312</v>
      </c>
      <c r="D58" s="3"/>
      <c r="E58" s="3"/>
      <c r="F58" s="2" t="s">
        <v>103</v>
      </c>
      <c r="G58" s="3"/>
      <c r="H58" s="2" t="s">
        <v>170</v>
      </c>
      <c r="I58" s="2" t="s">
        <v>112</v>
      </c>
      <c r="J58" s="2" t="s">
        <v>136</v>
      </c>
      <c r="K58" s="3"/>
      <c r="L58" s="2" t="s">
        <v>157</v>
      </c>
      <c r="M58" s="2" t="s">
        <v>131</v>
      </c>
      <c r="N58" s="2" t="s">
        <v>177</v>
      </c>
      <c r="O58" s="2" t="s">
        <v>107</v>
      </c>
      <c r="P58" s="3"/>
      <c r="Q58" s="2" t="s">
        <v>129</v>
      </c>
      <c r="R58" s="2" t="s">
        <v>132</v>
      </c>
      <c r="S58" s="2" t="s">
        <v>155</v>
      </c>
      <c r="T58" s="2" t="s">
        <v>126</v>
      </c>
      <c r="U58" s="3"/>
      <c r="V58" s="2" t="s">
        <v>126</v>
      </c>
      <c r="W58" s="3"/>
      <c r="X58" s="3"/>
      <c r="Y58" s="2" t="s">
        <v>115</v>
      </c>
      <c r="Z58" s="3"/>
      <c r="AA58" s="3"/>
      <c r="AB58" s="2" t="s">
        <v>104</v>
      </c>
      <c r="AC58" s="2" t="s">
        <v>104</v>
      </c>
      <c r="AD58" s="3"/>
      <c r="AE58" s="3"/>
      <c r="AF58" s="3"/>
      <c r="AG58" s="2" t="s">
        <v>113</v>
      </c>
      <c r="AH58" s="3"/>
      <c r="AI58" s="3"/>
      <c r="AJ58" s="2" t="s">
        <v>207</v>
      </c>
      <c r="AK58" s="3"/>
      <c r="AL58" s="2" t="s">
        <v>103</v>
      </c>
      <c r="AM58" s="3"/>
      <c r="AN58" s="3"/>
      <c r="AO58" s="3"/>
      <c r="AP58" s="3"/>
      <c r="AQ58" s="3"/>
      <c r="AR58" s="3"/>
      <c r="AS58" s="3"/>
      <c r="AT58" s="2" t="s">
        <v>103</v>
      </c>
      <c r="AU58" s="2" t="s">
        <v>105</v>
      </c>
      <c r="AV58" s="2" t="s">
        <v>115</v>
      </c>
      <c r="AW58" s="2" t="s">
        <v>124</v>
      </c>
      <c r="AX58" s="3"/>
      <c r="AY58" s="2" t="s">
        <v>116</v>
      </c>
      <c r="AZ58" s="2" t="s">
        <v>121</v>
      </c>
      <c r="BA58" s="2" t="s">
        <v>208</v>
      </c>
      <c r="BB58" s="3"/>
      <c r="BC58" s="3"/>
      <c r="BD58" s="4">
        <f>1 +(1/2)</f>
        <v>1.5</v>
      </c>
      <c r="BE58" s="2" t="s">
        <v>108</v>
      </c>
      <c r="BF58" s="2" t="s">
        <v>105</v>
      </c>
      <c r="BG58" s="2" t="s">
        <v>145</v>
      </c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2" t="s">
        <v>103</v>
      </c>
      <c r="CD58" s="2" t="s">
        <v>109</v>
      </c>
      <c r="CE58" s="3"/>
      <c r="CF58" s="3"/>
      <c r="CG58" s="3"/>
      <c r="CH58" s="3"/>
      <c r="CI58" s="2">
        <f>1/2</f>
        <v>0.5</v>
      </c>
      <c r="CJ58" s="2" t="s">
        <v>115</v>
      </c>
      <c r="CK58" s="2" t="s">
        <v>104</v>
      </c>
      <c r="CL58" s="3"/>
      <c r="CM58" s="3"/>
      <c r="CN58" s="3"/>
      <c r="CO58" s="2" t="s">
        <v>111</v>
      </c>
      <c r="CP58" s="3"/>
      <c r="CQ58" s="3"/>
      <c r="CR58" s="3"/>
      <c r="CS58" s="3"/>
      <c r="CT58" s="3"/>
      <c r="CU58" s="3"/>
      <c r="CV58" s="3"/>
      <c r="CW58" s="3"/>
      <c r="CX58" s="2" t="s">
        <v>110</v>
      </c>
      <c r="CY58" s="4" t="s">
        <v>117</v>
      </c>
    </row>
    <row r="59" spans="1:103" ht="15.75" customHeight="1" x14ac:dyDescent="0.2">
      <c r="A59" s="2" t="s">
        <v>118</v>
      </c>
      <c r="B59" s="2" t="s">
        <v>115</v>
      </c>
      <c r="C59" s="2" t="s">
        <v>312</v>
      </c>
      <c r="D59" s="3"/>
      <c r="E59" s="2" t="s">
        <v>103</v>
      </c>
      <c r="F59" s="3"/>
      <c r="G59" s="3"/>
      <c r="H59" s="2" t="s">
        <v>126</v>
      </c>
      <c r="I59" s="2" t="s">
        <v>182</v>
      </c>
      <c r="J59" s="2" t="s">
        <v>109</v>
      </c>
      <c r="K59" s="3"/>
      <c r="L59" s="2" t="s">
        <v>209</v>
      </c>
      <c r="M59" s="2" t="s">
        <v>165</v>
      </c>
      <c r="N59" s="2" t="s">
        <v>125</v>
      </c>
      <c r="O59" s="2" t="s">
        <v>126</v>
      </c>
      <c r="P59" s="3"/>
      <c r="Q59" s="2" t="s">
        <v>135</v>
      </c>
      <c r="R59" s="2" t="s">
        <v>109</v>
      </c>
      <c r="S59" s="2" t="s">
        <v>174</v>
      </c>
      <c r="T59" s="2" t="s">
        <v>126</v>
      </c>
      <c r="U59" s="3"/>
      <c r="V59" s="2" t="s">
        <v>123</v>
      </c>
      <c r="W59" s="3"/>
      <c r="X59" s="3"/>
      <c r="Y59" s="2" t="s">
        <v>118</v>
      </c>
      <c r="Z59" s="3"/>
      <c r="AA59" s="3"/>
      <c r="AB59" s="2" t="s">
        <v>146</v>
      </c>
      <c r="AC59" s="2" t="s">
        <v>108</v>
      </c>
      <c r="AD59" s="2" t="s">
        <v>104</v>
      </c>
      <c r="AE59" s="3"/>
      <c r="AF59" s="2" t="s">
        <v>104</v>
      </c>
      <c r="AG59" s="2" t="s">
        <v>137</v>
      </c>
      <c r="AH59" s="3"/>
      <c r="AI59" s="3"/>
      <c r="AJ59" s="2" t="s">
        <v>133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" t="s">
        <v>113</v>
      </c>
      <c r="AW59" s="2" t="s">
        <v>126</v>
      </c>
      <c r="AX59" s="2" t="s">
        <v>115</v>
      </c>
      <c r="AY59" s="2" t="s">
        <v>117</v>
      </c>
      <c r="AZ59" s="3"/>
      <c r="BA59" s="3"/>
      <c r="BB59" s="2" t="s">
        <v>103</v>
      </c>
      <c r="BC59" s="2" t="s">
        <v>113</v>
      </c>
      <c r="BD59" s="2" t="s">
        <v>103</v>
      </c>
      <c r="BE59" s="2" t="s">
        <v>126</v>
      </c>
      <c r="BF59" s="2" t="s">
        <v>139</v>
      </c>
      <c r="BG59" s="2" t="s">
        <v>210</v>
      </c>
      <c r="BH59" s="3"/>
      <c r="BI59" s="3"/>
      <c r="BJ59" s="2" t="s">
        <v>111</v>
      </c>
      <c r="BK59" s="2" t="s">
        <v>123</v>
      </c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2" t="s">
        <v>116</v>
      </c>
      <c r="CD59" s="2" t="s">
        <v>109</v>
      </c>
      <c r="CE59" s="3"/>
      <c r="CF59" s="3"/>
      <c r="CG59" s="3"/>
      <c r="CH59" s="3"/>
      <c r="CI59" s="2" t="s">
        <v>137</v>
      </c>
      <c r="CJ59" s="2" t="s">
        <v>134</v>
      </c>
      <c r="CK59" s="2" t="s">
        <v>211</v>
      </c>
      <c r="CL59" s="3"/>
      <c r="CM59" s="3"/>
      <c r="CN59" s="3"/>
      <c r="CO59" s="2" t="s">
        <v>149</v>
      </c>
      <c r="CP59" s="3"/>
      <c r="CQ59" s="3"/>
      <c r="CR59" s="3"/>
      <c r="CS59" s="3"/>
      <c r="CT59" s="3"/>
      <c r="CU59" s="3"/>
      <c r="CV59" s="3"/>
      <c r="CW59" s="3"/>
      <c r="CX59" s="2" t="s">
        <v>107</v>
      </c>
      <c r="CY59" s="4" t="s">
        <v>118</v>
      </c>
    </row>
    <row r="60" spans="1:103" ht="15.75" customHeight="1" x14ac:dyDescent="0.2">
      <c r="A60" s="2" t="s">
        <v>154</v>
      </c>
      <c r="B60" s="2" t="s">
        <v>115</v>
      </c>
      <c r="C60" s="2" t="s">
        <v>312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</row>
    <row r="61" spans="1:103" ht="15.75" customHeight="1" x14ac:dyDescent="0.2">
      <c r="A61" s="2" t="s">
        <v>105</v>
      </c>
      <c r="B61" s="2" t="s">
        <v>115</v>
      </c>
      <c r="C61" s="2" t="s">
        <v>312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spans="1:103" ht="15.75" customHeight="1" x14ac:dyDescent="0.2">
      <c r="A62" s="2" t="s">
        <v>103</v>
      </c>
      <c r="B62" s="2" t="s">
        <v>137</v>
      </c>
      <c r="C62" s="2" t="s">
        <v>312</v>
      </c>
      <c r="D62" s="3"/>
      <c r="E62" s="2" t="s">
        <v>103</v>
      </c>
      <c r="F62" s="3"/>
      <c r="G62" s="3"/>
      <c r="H62" s="2" t="s">
        <v>116</v>
      </c>
      <c r="I62" s="2" t="s">
        <v>116</v>
      </c>
      <c r="J62" s="3"/>
      <c r="K62" s="3"/>
      <c r="L62" s="2" t="s">
        <v>165</v>
      </c>
      <c r="M62" s="2" t="s">
        <v>105</v>
      </c>
      <c r="N62" s="2" t="s">
        <v>109</v>
      </c>
      <c r="O62" s="3"/>
      <c r="P62" s="3"/>
      <c r="Q62" s="2" t="s">
        <v>113</v>
      </c>
      <c r="R62" s="2" t="s">
        <v>111</v>
      </c>
      <c r="S62" s="2" t="s">
        <v>143</v>
      </c>
      <c r="T62" s="2" t="s">
        <v>116</v>
      </c>
      <c r="U62" s="3"/>
      <c r="V62" s="2" t="s">
        <v>117</v>
      </c>
      <c r="W62" s="3"/>
      <c r="X62" s="3"/>
      <c r="Y62" s="2" t="s">
        <v>103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2" t="s">
        <v>103</v>
      </c>
      <c r="BE62" s="2" t="s">
        <v>136</v>
      </c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2" t="s">
        <v>103</v>
      </c>
      <c r="CD62" s="2" t="s">
        <v>109</v>
      </c>
      <c r="CE62" s="3"/>
      <c r="CF62" s="3"/>
      <c r="CG62" s="3"/>
      <c r="CH62" s="3"/>
      <c r="CI62" s="2" t="s">
        <v>103</v>
      </c>
      <c r="CJ62" s="2" t="s">
        <v>151</v>
      </c>
      <c r="CK62" s="2" t="s">
        <v>105</v>
      </c>
      <c r="CL62" s="3"/>
      <c r="CM62" s="3"/>
      <c r="CN62" s="3"/>
      <c r="CO62" s="2" t="s">
        <v>117</v>
      </c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spans="1:103" ht="15.75" customHeight="1" x14ac:dyDescent="0.2">
      <c r="A63" s="2" t="s">
        <v>116</v>
      </c>
      <c r="B63" s="2" t="s">
        <v>137</v>
      </c>
      <c r="C63" s="2" t="s">
        <v>312</v>
      </c>
      <c r="D63" s="3"/>
      <c r="E63" s="2" t="s">
        <v>103</v>
      </c>
      <c r="F63" s="3"/>
      <c r="G63" s="3"/>
      <c r="H63" s="2" t="s">
        <v>212</v>
      </c>
      <c r="I63" s="2" t="s">
        <v>213</v>
      </c>
      <c r="J63" s="2" t="s">
        <v>113</v>
      </c>
      <c r="K63" s="3"/>
      <c r="L63" s="2" t="s">
        <v>214</v>
      </c>
      <c r="M63" s="2" t="s">
        <v>131</v>
      </c>
      <c r="N63" s="2" t="s">
        <v>125</v>
      </c>
      <c r="O63" s="2" t="s">
        <v>105</v>
      </c>
      <c r="P63" s="2" t="s">
        <v>110</v>
      </c>
      <c r="Q63" s="2" t="s">
        <v>135</v>
      </c>
      <c r="R63" s="2" t="s">
        <v>109</v>
      </c>
      <c r="S63" s="2" t="s">
        <v>215</v>
      </c>
      <c r="T63" s="2" t="s">
        <v>114</v>
      </c>
      <c r="U63" s="3"/>
      <c r="V63" s="2" t="s">
        <v>112</v>
      </c>
      <c r="W63" s="3"/>
      <c r="X63" s="3"/>
      <c r="Y63" s="2" t="s">
        <v>121</v>
      </c>
      <c r="Z63" s="3"/>
      <c r="AA63" s="3"/>
      <c r="AB63" s="2" t="s">
        <v>216</v>
      </c>
      <c r="AC63" s="2" t="s">
        <v>217</v>
      </c>
      <c r="AD63" s="2" t="s">
        <v>216</v>
      </c>
      <c r="AE63" s="2" t="s">
        <v>139</v>
      </c>
      <c r="AF63" s="2" t="s">
        <v>196</v>
      </c>
      <c r="AG63" s="2" t="s">
        <v>103</v>
      </c>
      <c r="AH63" s="2" t="s">
        <v>103</v>
      </c>
      <c r="AI63" s="3"/>
      <c r="AJ63" s="2" t="s">
        <v>153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2" t="s">
        <v>154</v>
      </c>
      <c r="AW63" s="2" t="s">
        <v>104</v>
      </c>
      <c r="AX63" s="2" t="s">
        <v>137</v>
      </c>
      <c r="AY63" s="2" t="s">
        <v>130</v>
      </c>
      <c r="AZ63" s="3"/>
      <c r="BA63" s="3"/>
      <c r="BB63" s="3"/>
      <c r="BC63" s="3"/>
      <c r="BD63" s="2" t="s">
        <v>121</v>
      </c>
      <c r="BE63" s="2" t="s">
        <v>130</v>
      </c>
      <c r="BF63" s="2" t="s">
        <v>139</v>
      </c>
      <c r="BG63" s="2" t="s">
        <v>182</v>
      </c>
      <c r="BH63" s="2" t="s">
        <v>116</v>
      </c>
      <c r="BI63" s="2" t="s">
        <v>113</v>
      </c>
      <c r="BJ63" s="2" t="s">
        <v>116</v>
      </c>
      <c r="BK63" s="2" t="s">
        <v>107</v>
      </c>
      <c r="BL63" s="3"/>
      <c r="BM63" s="2" t="s">
        <v>111</v>
      </c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2" t="s">
        <v>117</v>
      </c>
      <c r="CD63" s="2" t="s">
        <v>112</v>
      </c>
      <c r="CE63" s="3"/>
      <c r="CF63" s="3"/>
      <c r="CG63" s="3"/>
      <c r="CH63" s="3"/>
      <c r="CI63" s="2" t="s">
        <v>121</v>
      </c>
      <c r="CJ63" s="2" t="s">
        <v>130</v>
      </c>
      <c r="CK63" s="2" t="s">
        <v>112</v>
      </c>
      <c r="CL63" s="3"/>
      <c r="CM63" s="3"/>
      <c r="CN63" s="3"/>
      <c r="CO63" s="2" t="s">
        <v>136</v>
      </c>
      <c r="CP63" s="3"/>
      <c r="CQ63" s="3"/>
      <c r="CR63" s="3"/>
      <c r="CS63" s="3"/>
      <c r="CT63" s="3"/>
      <c r="CU63" s="2" t="s">
        <v>139</v>
      </c>
      <c r="CV63" s="3"/>
      <c r="CW63" s="3"/>
      <c r="CX63" s="2" t="s">
        <v>139</v>
      </c>
      <c r="CY63" s="2" t="s">
        <v>161</v>
      </c>
    </row>
    <row r="64" spans="1:103" ht="15.75" customHeight="1" x14ac:dyDescent="0.2">
      <c r="A64" s="2" t="s">
        <v>117</v>
      </c>
      <c r="B64" s="2" t="s">
        <v>137</v>
      </c>
      <c r="C64" s="2" t="s">
        <v>312</v>
      </c>
      <c r="D64" s="3"/>
      <c r="E64" s="2" t="s">
        <v>103</v>
      </c>
      <c r="F64" s="3"/>
      <c r="G64" s="3"/>
      <c r="H64" s="2" t="s">
        <v>113</v>
      </c>
      <c r="I64" s="2" t="s">
        <v>140</v>
      </c>
      <c r="J64" s="2" t="s">
        <v>104</v>
      </c>
      <c r="K64" s="2" t="s">
        <v>105</v>
      </c>
      <c r="L64" s="2" t="s">
        <v>201</v>
      </c>
      <c r="M64" s="2" t="s">
        <v>135</v>
      </c>
      <c r="N64" s="2" t="s">
        <v>178</v>
      </c>
      <c r="O64" s="2" t="s">
        <v>123</v>
      </c>
      <c r="P64" s="2" t="s">
        <v>105</v>
      </c>
      <c r="Q64" s="2" t="s">
        <v>131</v>
      </c>
      <c r="R64" s="2" t="s">
        <v>109</v>
      </c>
      <c r="S64" s="2" t="s">
        <v>125</v>
      </c>
      <c r="T64" s="2" t="s">
        <v>136</v>
      </c>
      <c r="U64" s="3"/>
      <c r="V64" s="2" t="s">
        <v>120</v>
      </c>
      <c r="W64" s="3"/>
      <c r="X64" s="3"/>
      <c r="Y64" s="2" t="s">
        <v>117</v>
      </c>
      <c r="Z64" s="3"/>
      <c r="AA64" s="3"/>
      <c r="AB64" s="2" t="s">
        <v>216</v>
      </c>
      <c r="AC64" s="2" t="s">
        <v>170</v>
      </c>
      <c r="AD64" s="2" t="s">
        <v>216</v>
      </c>
      <c r="AE64" s="2" t="s">
        <v>116</v>
      </c>
      <c r="AF64" s="2" t="s">
        <v>118</v>
      </c>
      <c r="AG64" s="2" t="s">
        <v>151</v>
      </c>
      <c r="AH64" s="3"/>
      <c r="AI64" s="3"/>
      <c r="AJ64" s="2" t="s">
        <v>207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" t="s">
        <v>111</v>
      </c>
      <c r="AW64" s="2" t="s">
        <v>113</v>
      </c>
      <c r="AX64" s="3"/>
      <c r="AY64" s="2" t="s">
        <v>112</v>
      </c>
      <c r="AZ64" s="2" t="s">
        <v>117</v>
      </c>
      <c r="BA64" s="2" t="s">
        <v>126</v>
      </c>
      <c r="BB64" s="3"/>
      <c r="BC64" s="3"/>
      <c r="BD64" s="2" t="s">
        <v>121</v>
      </c>
      <c r="BE64" s="2" t="s">
        <v>129</v>
      </c>
      <c r="BF64" s="2" t="s">
        <v>118</v>
      </c>
      <c r="BG64" s="2" t="s">
        <v>129</v>
      </c>
      <c r="BH64" s="3"/>
      <c r="BI64" s="3"/>
      <c r="BJ64" s="2" t="s">
        <v>116</v>
      </c>
      <c r="BK64" s="2" t="s">
        <v>121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2" t="s">
        <v>103</v>
      </c>
      <c r="CD64" s="2" t="s">
        <v>112</v>
      </c>
      <c r="CE64" s="3"/>
      <c r="CF64" s="3"/>
      <c r="CG64" s="3"/>
      <c r="CH64" s="3"/>
      <c r="CI64" s="2" t="s">
        <v>103</v>
      </c>
      <c r="CJ64" s="2" t="s">
        <v>109</v>
      </c>
      <c r="CK64" s="2" t="s">
        <v>109</v>
      </c>
      <c r="CL64" s="3"/>
      <c r="CM64" s="3"/>
      <c r="CN64" s="3"/>
      <c r="CO64" s="2" t="s">
        <v>108</v>
      </c>
      <c r="CP64" s="3"/>
      <c r="CQ64" s="3"/>
      <c r="CR64" s="3"/>
      <c r="CS64" s="3"/>
      <c r="CT64" s="3"/>
      <c r="CU64" s="2" t="s">
        <v>175</v>
      </c>
      <c r="CV64" s="2" t="s">
        <v>126</v>
      </c>
      <c r="CW64" s="3"/>
      <c r="CX64" s="2" t="s">
        <v>126</v>
      </c>
      <c r="CY64" s="2" t="s">
        <v>143</v>
      </c>
    </row>
    <row r="65" spans="1:103" ht="15.75" customHeight="1" x14ac:dyDescent="0.2">
      <c r="A65" s="2" t="s">
        <v>111</v>
      </c>
      <c r="B65" s="2" t="s">
        <v>137</v>
      </c>
      <c r="C65" s="2" t="s">
        <v>312</v>
      </c>
      <c r="D65" s="3"/>
      <c r="E65" s="2" t="s">
        <v>103</v>
      </c>
      <c r="F65" s="3"/>
      <c r="G65" s="3"/>
      <c r="H65" s="2" t="s">
        <v>118</v>
      </c>
      <c r="I65" s="2" t="s">
        <v>113</v>
      </c>
      <c r="J65" s="3"/>
      <c r="K65" s="3"/>
      <c r="L65" s="2" t="s">
        <v>195</v>
      </c>
      <c r="M65" s="2" t="s">
        <v>109</v>
      </c>
      <c r="N65" s="2" t="s">
        <v>135</v>
      </c>
      <c r="O65" s="3"/>
      <c r="P65" s="3"/>
      <c r="Q65" s="3"/>
      <c r="R65" s="3"/>
      <c r="S65" s="2" t="s">
        <v>131</v>
      </c>
      <c r="T65" s="2" t="s">
        <v>105</v>
      </c>
      <c r="U65" s="3"/>
      <c r="V65" s="2" t="s">
        <v>110</v>
      </c>
      <c r="W65" s="3"/>
      <c r="X65" s="3"/>
      <c r="Y65" s="2" t="s">
        <v>117</v>
      </c>
      <c r="Z65" s="3"/>
      <c r="AA65" s="3"/>
      <c r="AB65" s="2" t="s">
        <v>117</v>
      </c>
      <c r="AC65" s="2" t="s">
        <v>103</v>
      </c>
      <c r="AD65" s="2" t="s">
        <v>117</v>
      </c>
      <c r="AE65" s="3"/>
      <c r="AF65" s="2" t="s">
        <v>116</v>
      </c>
      <c r="AG65" s="3"/>
      <c r="AH65" s="3"/>
      <c r="AI65" s="3"/>
      <c r="AJ65" s="2" t="s">
        <v>131</v>
      </c>
      <c r="AK65" s="3"/>
      <c r="AL65" s="2" t="s">
        <v>218</v>
      </c>
      <c r="AM65" s="2" t="s">
        <v>122</v>
      </c>
      <c r="AN65" s="3"/>
      <c r="AO65" s="2" t="s">
        <v>117</v>
      </c>
      <c r="AP65" s="3"/>
      <c r="AQ65" s="3"/>
      <c r="AR65" s="3"/>
      <c r="AS65" s="3"/>
      <c r="AT65" s="2" t="s">
        <v>141</v>
      </c>
      <c r="AU65" s="2" t="s">
        <v>219</v>
      </c>
      <c r="AV65" s="2" t="s">
        <v>116</v>
      </c>
      <c r="AW65" s="2" t="s">
        <v>110</v>
      </c>
      <c r="AX65" s="3"/>
      <c r="AY65" s="2" t="s">
        <v>140</v>
      </c>
      <c r="AZ65" s="3"/>
      <c r="BA65" s="3"/>
      <c r="BB65" s="3"/>
      <c r="BC65" s="3"/>
      <c r="BD65" s="2" t="s">
        <v>116</v>
      </c>
      <c r="BE65" s="2" t="s">
        <v>126</v>
      </c>
      <c r="BF65" s="2" t="s">
        <v>117</v>
      </c>
      <c r="BG65" s="2" t="s">
        <v>130</v>
      </c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4">
        <f>1 +(1/2)</f>
        <v>1.5</v>
      </c>
      <c r="CD65" s="2" t="s">
        <v>220</v>
      </c>
      <c r="CE65" s="3"/>
      <c r="CF65" s="3"/>
      <c r="CG65" s="3"/>
      <c r="CH65" s="3"/>
      <c r="CI65" s="2" t="s">
        <v>103</v>
      </c>
      <c r="CJ65" s="2" t="s">
        <v>110</v>
      </c>
      <c r="CK65" s="2" t="s">
        <v>126</v>
      </c>
      <c r="CL65" s="3"/>
      <c r="CM65" s="3"/>
      <c r="CN65" s="3"/>
      <c r="CO65" s="2" t="s">
        <v>108</v>
      </c>
      <c r="CP65" s="3"/>
      <c r="CQ65" s="3"/>
      <c r="CR65" s="3"/>
      <c r="CS65" s="3"/>
      <c r="CT65" s="3"/>
      <c r="CU65" s="3"/>
      <c r="CV65" s="3"/>
      <c r="CW65" s="3"/>
      <c r="CX65" s="3"/>
      <c r="CY65" s="3"/>
    </row>
    <row r="66" spans="1:103" ht="15.75" customHeight="1" x14ac:dyDescent="0.2">
      <c r="A66" s="2" t="s">
        <v>121</v>
      </c>
      <c r="B66" s="2" t="s">
        <v>137</v>
      </c>
      <c r="C66" s="2" t="s">
        <v>312</v>
      </c>
      <c r="D66" s="3"/>
      <c r="E66" s="2" t="s">
        <v>103</v>
      </c>
      <c r="F66" s="3"/>
      <c r="G66" s="3"/>
      <c r="H66" s="2" t="s">
        <v>105</v>
      </c>
      <c r="I66" s="2" t="s">
        <v>109</v>
      </c>
      <c r="J66" s="2" t="s">
        <v>108</v>
      </c>
      <c r="K66" s="3"/>
      <c r="L66" s="2" t="s">
        <v>133</v>
      </c>
      <c r="M66" s="2" t="s">
        <v>130</v>
      </c>
      <c r="N66" s="2" t="s">
        <v>142</v>
      </c>
      <c r="O66" s="3"/>
      <c r="P66" s="3"/>
      <c r="Q66" s="2" t="s">
        <v>112</v>
      </c>
      <c r="R66" s="2" t="s">
        <v>107</v>
      </c>
      <c r="S66" s="2" t="s">
        <v>142</v>
      </c>
      <c r="T66" s="2" t="s">
        <v>107</v>
      </c>
      <c r="U66" s="3"/>
      <c r="V66" s="2" t="s">
        <v>107</v>
      </c>
      <c r="W66" s="3"/>
      <c r="X66" s="3"/>
      <c r="Y66" s="2" t="s">
        <v>116</v>
      </c>
      <c r="Z66" s="3"/>
      <c r="AA66" s="3"/>
      <c r="AB66" s="2" t="s">
        <v>139</v>
      </c>
      <c r="AC66" s="2" t="s">
        <v>121</v>
      </c>
      <c r="AD66" s="2" t="s">
        <v>170</v>
      </c>
      <c r="AE66" s="2" t="s">
        <v>118</v>
      </c>
      <c r="AF66" s="2" t="s">
        <v>105</v>
      </c>
      <c r="AG66" s="2" t="s">
        <v>116</v>
      </c>
      <c r="AH66" s="3"/>
      <c r="AI66" s="3"/>
      <c r="AJ66" s="2" t="s">
        <v>119</v>
      </c>
      <c r="AK66" s="3"/>
      <c r="AL66" s="2" t="s">
        <v>103</v>
      </c>
      <c r="AM66" s="3"/>
      <c r="AN66" s="3"/>
      <c r="AO66" s="3"/>
      <c r="AP66" s="3"/>
      <c r="AQ66" s="3"/>
      <c r="AR66" s="3"/>
      <c r="AS66" s="3"/>
      <c r="AT66" s="2" t="s">
        <v>103</v>
      </c>
      <c r="AU66" s="2" t="s">
        <v>115</v>
      </c>
      <c r="AV66" s="2" t="s">
        <v>121</v>
      </c>
      <c r="AW66" s="2" t="s">
        <v>107</v>
      </c>
      <c r="AX66" s="3"/>
      <c r="AY66" s="2" t="s">
        <v>145</v>
      </c>
      <c r="AZ66" s="2" t="s">
        <v>103</v>
      </c>
      <c r="BA66" s="2" t="s">
        <v>105</v>
      </c>
      <c r="BB66" s="3"/>
      <c r="BC66" s="3"/>
      <c r="BD66" s="2" t="s">
        <v>111</v>
      </c>
      <c r="BE66" s="2" t="s">
        <v>171</v>
      </c>
      <c r="BF66" s="2" t="s">
        <v>111</v>
      </c>
      <c r="BG66" s="2" t="s">
        <v>221</v>
      </c>
      <c r="BH66" s="3"/>
      <c r="BI66" s="3"/>
      <c r="BJ66" s="2" t="s">
        <v>103</v>
      </c>
      <c r="BK66" s="2" t="s">
        <v>117</v>
      </c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 t="s">
        <v>116</v>
      </c>
      <c r="CD66" s="2" t="s">
        <v>130</v>
      </c>
      <c r="CE66" s="3"/>
      <c r="CF66" s="3"/>
      <c r="CG66" s="3"/>
      <c r="CH66" s="3"/>
      <c r="CI66" s="2" t="s">
        <v>103</v>
      </c>
      <c r="CJ66" s="2" t="s">
        <v>139</v>
      </c>
      <c r="CK66" s="2" t="s">
        <v>108</v>
      </c>
      <c r="CL66" s="3"/>
      <c r="CM66" s="3"/>
      <c r="CN66" s="3"/>
      <c r="CO66" s="2" t="s">
        <v>117</v>
      </c>
      <c r="CP66" s="3"/>
      <c r="CQ66" s="3"/>
      <c r="CR66" s="3"/>
      <c r="CS66" s="3"/>
      <c r="CT66" s="3"/>
      <c r="CU66" s="3"/>
      <c r="CV66" s="3"/>
      <c r="CW66" s="3"/>
      <c r="CX66" s="2" t="s">
        <v>108</v>
      </c>
      <c r="CY66" s="2" t="s">
        <v>123</v>
      </c>
    </row>
    <row r="67" spans="1:103" ht="15.75" customHeight="1" x14ac:dyDescent="0.2">
      <c r="A67" s="2" t="s">
        <v>115</v>
      </c>
      <c r="B67" s="2" t="s">
        <v>137</v>
      </c>
      <c r="C67" s="2" t="s">
        <v>312</v>
      </c>
      <c r="D67" s="3"/>
      <c r="E67" s="2" t="s">
        <v>103</v>
      </c>
      <c r="F67" s="3"/>
      <c r="G67" s="3"/>
      <c r="H67" s="2" t="s">
        <v>121</v>
      </c>
      <c r="I67" s="2" t="s">
        <v>170</v>
      </c>
      <c r="J67" s="2" t="s">
        <v>137</v>
      </c>
      <c r="K67" s="3"/>
      <c r="L67" s="2" t="s">
        <v>128</v>
      </c>
      <c r="M67" s="2" t="s">
        <v>109</v>
      </c>
      <c r="N67" s="2" t="s">
        <v>131</v>
      </c>
      <c r="O67" s="3"/>
      <c r="P67" s="3"/>
      <c r="Q67" s="2" t="s">
        <v>143</v>
      </c>
      <c r="R67" s="2" t="s">
        <v>104</v>
      </c>
      <c r="S67" s="2" t="s">
        <v>145</v>
      </c>
      <c r="T67" s="2" t="s">
        <v>105</v>
      </c>
      <c r="U67" s="3"/>
      <c r="V67" s="2" t="s">
        <v>110</v>
      </c>
      <c r="W67" s="3"/>
      <c r="X67" s="3"/>
      <c r="Y67" s="2" t="s">
        <v>117</v>
      </c>
      <c r="Z67" s="3"/>
      <c r="AA67" s="3"/>
      <c r="AB67" s="2" t="s">
        <v>117</v>
      </c>
      <c r="AC67" s="2" t="s">
        <v>116</v>
      </c>
      <c r="AD67" s="3"/>
      <c r="AE67" s="3"/>
      <c r="AF67" s="3"/>
      <c r="AG67" s="2" t="s">
        <v>103</v>
      </c>
      <c r="AH67" s="3"/>
      <c r="AI67" s="3"/>
      <c r="AJ67" s="2" t="s">
        <v>176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2" t="s">
        <v>116</v>
      </c>
      <c r="AW67" s="2" t="s">
        <v>104</v>
      </c>
      <c r="AX67" s="3"/>
      <c r="AY67" s="2" t="s">
        <v>130</v>
      </c>
      <c r="AZ67" s="3"/>
      <c r="BA67" s="3"/>
      <c r="BB67" s="3"/>
      <c r="BC67" s="3"/>
      <c r="BD67" s="4">
        <f>1 +(1/4)</f>
        <v>1.25</v>
      </c>
      <c r="BE67" s="2" t="s">
        <v>107</v>
      </c>
      <c r="BF67" s="2" t="s">
        <v>103</v>
      </c>
      <c r="BG67" s="2" t="s">
        <v>108</v>
      </c>
      <c r="BH67" s="3"/>
      <c r="BI67" s="3"/>
      <c r="BJ67" s="2" t="s">
        <v>116</v>
      </c>
      <c r="BK67" s="2" t="s">
        <v>108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>
        <f>1/2</f>
        <v>0.5</v>
      </c>
      <c r="CD67" s="2" t="s">
        <v>132</v>
      </c>
      <c r="CE67" s="3"/>
      <c r="CF67" s="3"/>
      <c r="CG67" s="3"/>
      <c r="CH67" s="3"/>
      <c r="CI67" s="2">
        <f>1/4</f>
        <v>0.25</v>
      </c>
      <c r="CJ67" s="2" t="s">
        <v>105</v>
      </c>
      <c r="CK67" s="2" t="s">
        <v>110</v>
      </c>
      <c r="CL67" s="3"/>
      <c r="CM67" s="3"/>
      <c r="CN67" s="3"/>
      <c r="CO67" s="2" t="s">
        <v>137</v>
      </c>
      <c r="CP67" s="3"/>
      <c r="CQ67" s="3"/>
      <c r="CR67" s="3"/>
      <c r="CS67" s="3"/>
      <c r="CT67" s="3"/>
      <c r="CU67" s="3"/>
      <c r="CV67" s="3"/>
      <c r="CW67" s="3"/>
      <c r="CX67" s="2" t="s">
        <v>105</v>
      </c>
      <c r="CY67" s="2" t="s">
        <v>104</v>
      </c>
    </row>
    <row r="68" spans="1:103" ht="15.75" customHeight="1" x14ac:dyDescent="0.2">
      <c r="A68" s="2" t="s">
        <v>137</v>
      </c>
      <c r="B68" s="2" t="s">
        <v>137</v>
      </c>
      <c r="C68" s="2" t="s">
        <v>312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</row>
    <row r="69" spans="1:103" ht="15.75" customHeight="1" x14ac:dyDescent="0.2">
      <c r="A69" s="2" t="s">
        <v>118</v>
      </c>
      <c r="B69" s="2" t="s">
        <v>137</v>
      </c>
      <c r="C69" s="2" t="s">
        <v>312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spans="1:103" ht="15.75" customHeight="1" x14ac:dyDescent="0.2">
      <c r="A70" s="2" t="s">
        <v>154</v>
      </c>
      <c r="B70" s="2" t="s">
        <v>137</v>
      </c>
      <c r="C70" s="2" t="s">
        <v>312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spans="1:103" ht="15.75" customHeight="1" x14ac:dyDescent="0.2">
      <c r="A71" s="2" t="s">
        <v>105</v>
      </c>
      <c r="B71" s="2" t="s">
        <v>137</v>
      </c>
      <c r="C71" s="2" t="s">
        <v>312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</row>
    <row r="72" spans="1:103" ht="15.75" customHeight="1" x14ac:dyDescent="0.2">
      <c r="A72" s="2" t="s">
        <v>103</v>
      </c>
      <c r="B72" s="2" t="s">
        <v>118</v>
      </c>
      <c r="C72" s="2" t="s">
        <v>312</v>
      </c>
      <c r="D72" s="3"/>
      <c r="E72" s="2" t="s">
        <v>103</v>
      </c>
      <c r="F72" s="3"/>
      <c r="G72" s="3"/>
      <c r="H72" s="2" t="s">
        <v>116</v>
      </c>
      <c r="I72" s="2" t="s">
        <v>116</v>
      </c>
      <c r="J72" s="3"/>
      <c r="K72" s="3"/>
      <c r="L72" s="2" t="s">
        <v>135</v>
      </c>
      <c r="M72" s="2" t="s">
        <v>105</v>
      </c>
      <c r="N72" s="2" t="s">
        <v>126</v>
      </c>
      <c r="O72" s="3"/>
      <c r="P72" s="3"/>
      <c r="Q72" s="3"/>
      <c r="R72" s="3"/>
      <c r="S72" s="2" t="s">
        <v>109</v>
      </c>
      <c r="T72" s="2" t="s">
        <v>116</v>
      </c>
      <c r="U72" s="3"/>
      <c r="V72" s="2" t="s">
        <v>116</v>
      </c>
      <c r="W72" s="3"/>
      <c r="X72" s="3"/>
      <c r="Y72" s="3"/>
      <c r="Z72" s="3"/>
      <c r="AA72" s="3"/>
      <c r="AB72" s="2" t="s">
        <v>103</v>
      </c>
      <c r="AC72" s="2" t="s">
        <v>103</v>
      </c>
      <c r="AD72" s="2" t="s">
        <v>103</v>
      </c>
      <c r="AE72" s="3"/>
      <c r="AF72" s="3"/>
      <c r="AG72" s="3"/>
      <c r="AH72" s="3"/>
      <c r="AI72" s="3"/>
      <c r="AJ72" s="2" t="s">
        <v>112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2" t="s">
        <v>103</v>
      </c>
      <c r="AW72" s="2" t="s">
        <v>110</v>
      </c>
      <c r="AX72" s="3"/>
      <c r="AY72" s="2" t="s">
        <v>109</v>
      </c>
      <c r="AZ72" s="3"/>
      <c r="BA72" s="3"/>
      <c r="BB72" s="3"/>
      <c r="BC72" s="3"/>
      <c r="BD72" s="2" t="s">
        <v>103</v>
      </c>
      <c r="BE72" s="2" t="s">
        <v>107</v>
      </c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2" t="s">
        <v>103</v>
      </c>
      <c r="CD72" s="2" t="s">
        <v>109</v>
      </c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2" t="s">
        <v>105</v>
      </c>
      <c r="CY72" s="2" t="s">
        <v>104</v>
      </c>
    </row>
    <row r="73" spans="1:103" ht="15.75" customHeight="1" x14ac:dyDescent="0.2">
      <c r="A73" s="2" t="s">
        <v>116</v>
      </c>
      <c r="B73" s="2" t="s">
        <v>118</v>
      </c>
      <c r="C73" s="2" t="s">
        <v>312</v>
      </c>
      <c r="D73" s="3"/>
      <c r="E73" s="2" t="s">
        <v>103</v>
      </c>
      <c r="F73" s="3"/>
      <c r="G73" s="3"/>
      <c r="H73" s="2" t="s">
        <v>115</v>
      </c>
      <c r="I73" s="2" t="s">
        <v>123</v>
      </c>
      <c r="J73" s="3"/>
      <c r="K73" s="3"/>
      <c r="L73" s="2" t="s">
        <v>207</v>
      </c>
      <c r="M73" s="2" t="s">
        <v>123</v>
      </c>
      <c r="N73" s="2" t="s">
        <v>135</v>
      </c>
      <c r="O73" s="3"/>
      <c r="P73" s="3"/>
      <c r="Q73" s="2" t="s">
        <v>126</v>
      </c>
      <c r="R73" s="2" t="s">
        <v>105</v>
      </c>
      <c r="S73" s="2" t="s">
        <v>206</v>
      </c>
      <c r="T73" s="2" t="s">
        <v>104</v>
      </c>
      <c r="U73" s="3"/>
      <c r="V73" s="2" t="s">
        <v>108</v>
      </c>
      <c r="W73" s="3"/>
      <c r="X73" s="3"/>
      <c r="Y73" s="2" t="s">
        <v>103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2" t="s">
        <v>111</v>
      </c>
      <c r="BG73" s="2" t="s">
        <v>126</v>
      </c>
      <c r="BH73" s="3"/>
      <c r="BI73" s="3"/>
      <c r="BJ73" s="2" t="s">
        <v>116</v>
      </c>
      <c r="BK73" s="2" t="s">
        <v>105</v>
      </c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</row>
    <row r="74" spans="1:103" ht="15.75" customHeight="1" x14ac:dyDescent="0.2">
      <c r="A74" s="2" t="s">
        <v>117</v>
      </c>
      <c r="B74" s="2" t="s">
        <v>118</v>
      </c>
      <c r="C74" s="2" t="s">
        <v>312</v>
      </c>
      <c r="D74" s="3"/>
      <c r="E74" s="2" t="s">
        <v>103</v>
      </c>
      <c r="F74" s="3"/>
      <c r="G74" s="3"/>
      <c r="H74" s="2" t="s">
        <v>105</v>
      </c>
      <c r="I74" s="2" t="s">
        <v>171</v>
      </c>
      <c r="J74" s="3"/>
      <c r="K74" s="3"/>
      <c r="L74" s="2" t="s">
        <v>144</v>
      </c>
      <c r="M74" s="2" t="s">
        <v>109</v>
      </c>
      <c r="N74" s="2" t="s">
        <v>165</v>
      </c>
      <c r="O74" s="2" t="s">
        <v>109</v>
      </c>
      <c r="P74" s="3"/>
      <c r="Q74" s="2" t="s">
        <v>112</v>
      </c>
      <c r="R74" s="2" t="s">
        <v>126</v>
      </c>
      <c r="S74" s="2" t="s">
        <v>142</v>
      </c>
      <c r="T74" s="2" t="s">
        <v>126</v>
      </c>
      <c r="U74" s="3"/>
      <c r="V74" s="2" t="s">
        <v>107</v>
      </c>
      <c r="W74" s="3"/>
      <c r="X74" s="3"/>
      <c r="Y74" s="2" t="s">
        <v>116</v>
      </c>
      <c r="Z74" s="3"/>
      <c r="AA74" s="3"/>
      <c r="AB74" s="2" t="s">
        <v>110</v>
      </c>
      <c r="AC74" s="2" t="s">
        <v>156</v>
      </c>
      <c r="AD74" s="2" t="s">
        <v>110</v>
      </c>
      <c r="AE74" s="3"/>
      <c r="AF74" s="3"/>
      <c r="AG74" s="3"/>
      <c r="AH74" s="3"/>
      <c r="AI74" s="3"/>
      <c r="AJ74" s="2" t="s">
        <v>174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2" t="s">
        <v>105</v>
      </c>
      <c r="AW74" s="2" t="s">
        <v>110</v>
      </c>
      <c r="AX74" s="3"/>
      <c r="AY74" s="2" t="s">
        <v>109</v>
      </c>
      <c r="AZ74" s="3"/>
      <c r="BA74" s="3"/>
      <c r="BB74" s="2" t="s">
        <v>103</v>
      </c>
      <c r="BC74" s="2" t="s">
        <v>117</v>
      </c>
      <c r="BD74" s="2" t="s">
        <v>103</v>
      </c>
      <c r="BE74" s="3"/>
      <c r="BF74" s="2" t="s">
        <v>116</v>
      </c>
      <c r="BG74" s="2" t="s">
        <v>107</v>
      </c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2" t="s">
        <v>103</v>
      </c>
      <c r="CD74" s="2" t="s">
        <v>126</v>
      </c>
      <c r="CE74" s="3"/>
      <c r="CF74" s="3"/>
      <c r="CG74" s="3"/>
      <c r="CH74" s="3"/>
      <c r="CI74" s="2" t="s">
        <v>105</v>
      </c>
      <c r="CJ74" s="2" t="s">
        <v>130</v>
      </c>
      <c r="CK74" s="2" t="s">
        <v>145</v>
      </c>
      <c r="CL74" s="3"/>
      <c r="CM74" s="3"/>
      <c r="CN74" s="3"/>
      <c r="CO74" s="2" t="s">
        <v>126</v>
      </c>
      <c r="CP74" s="3"/>
      <c r="CQ74" s="3"/>
      <c r="CR74" s="3"/>
      <c r="CS74" s="3"/>
      <c r="CT74" s="3"/>
      <c r="CU74" s="3"/>
      <c r="CV74" s="3"/>
      <c r="CW74" s="3"/>
      <c r="CX74" s="2" t="s">
        <v>105</v>
      </c>
      <c r="CY74" s="2" t="s">
        <v>113</v>
      </c>
    </row>
    <row r="75" spans="1:103" ht="15.75" customHeight="1" x14ac:dyDescent="0.2">
      <c r="A75" s="2" t="s">
        <v>111</v>
      </c>
      <c r="B75" s="2" t="s">
        <v>118</v>
      </c>
      <c r="C75" s="2" t="s">
        <v>312</v>
      </c>
      <c r="D75" s="3"/>
      <c r="E75" s="3"/>
      <c r="F75" s="2" t="s">
        <v>103</v>
      </c>
      <c r="G75" s="3"/>
      <c r="H75" s="2" t="s">
        <v>115</v>
      </c>
      <c r="I75" s="2" t="s">
        <v>107</v>
      </c>
      <c r="J75" s="2" t="s">
        <v>126</v>
      </c>
      <c r="K75" s="2" t="s">
        <v>109</v>
      </c>
      <c r="L75" s="2" t="s">
        <v>128</v>
      </c>
      <c r="M75" s="2" t="s">
        <v>126</v>
      </c>
      <c r="N75" s="2" t="s">
        <v>109</v>
      </c>
      <c r="O75" s="3"/>
      <c r="P75" s="3"/>
      <c r="Q75" s="2" t="s">
        <v>126</v>
      </c>
      <c r="R75" s="2" t="s">
        <v>105</v>
      </c>
      <c r="S75" s="2" t="s">
        <v>130</v>
      </c>
      <c r="T75" s="3"/>
      <c r="U75" s="3"/>
      <c r="V75" s="3"/>
      <c r="W75" s="3"/>
      <c r="X75" s="3"/>
      <c r="Y75" s="2" t="s">
        <v>103</v>
      </c>
      <c r="Z75" s="3"/>
      <c r="AA75" s="3"/>
      <c r="AB75" s="2" t="s">
        <v>103</v>
      </c>
      <c r="AC75" s="3"/>
      <c r="AD75" s="2" t="s">
        <v>103</v>
      </c>
      <c r="AE75" s="3"/>
      <c r="AF75" s="2" t="s">
        <v>103</v>
      </c>
      <c r="AG75" s="3"/>
      <c r="AH75" s="3"/>
      <c r="AI75" s="3"/>
      <c r="AJ75" s="2" t="s">
        <v>112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2" t="s">
        <v>116</v>
      </c>
      <c r="AW75" s="3"/>
      <c r="AX75" s="3"/>
      <c r="AY75" s="3"/>
      <c r="AZ75" s="3"/>
      <c r="BA75" s="3"/>
      <c r="BB75" s="2" t="s">
        <v>117</v>
      </c>
      <c r="BC75" s="2" t="s">
        <v>104</v>
      </c>
      <c r="BD75" s="2">
        <f>1/2</f>
        <v>0.5</v>
      </c>
      <c r="BE75" s="2" t="s">
        <v>105</v>
      </c>
      <c r="BF75" s="3"/>
      <c r="BG75" s="3"/>
      <c r="BH75" s="3"/>
      <c r="BI75" s="3"/>
      <c r="BJ75" s="2" t="s">
        <v>117</v>
      </c>
      <c r="BK75" s="2" t="s">
        <v>104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2">
        <f>1/2</f>
        <v>0.5</v>
      </c>
      <c r="CD75" s="2" t="s">
        <v>121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2" t="s">
        <v>113</v>
      </c>
      <c r="CY75" s="2" t="s">
        <v>107</v>
      </c>
    </row>
    <row r="76" spans="1:103" ht="15.75" customHeight="1" x14ac:dyDescent="0.2">
      <c r="A76" s="2" t="s">
        <v>121</v>
      </c>
      <c r="B76" s="2" t="s">
        <v>118</v>
      </c>
      <c r="C76" s="2" t="s">
        <v>312</v>
      </c>
      <c r="D76" s="3"/>
      <c r="E76" s="2" t="s">
        <v>103</v>
      </c>
      <c r="F76" s="3"/>
      <c r="G76" s="3"/>
      <c r="H76" s="2" t="s">
        <v>108</v>
      </c>
      <c r="I76" s="2" t="s">
        <v>194</v>
      </c>
      <c r="J76" s="2" t="s">
        <v>113</v>
      </c>
      <c r="K76" s="2" t="s">
        <v>180</v>
      </c>
      <c r="L76" s="2" t="s">
        <v>148</v>
      </c>
      <c r="M76" s="2" t="s">
        <v>130</v>
      </c>
      <c r="N76" s="2" t="s">
        <v>142</v>
      </c>
      <c r="O76" s="2" t="s">
        <v>110</v>
      </c>
      <c r="P76" s="3"/>
      <c r="Q76" s="2" t="s">
        <v>109</v>
      </c>
      <c r="R76" s="4" t="s">
        <v>107</v>
      </c>
      <c r="S76" s="2" t="s">
        <v>106</v>
      </c>
      <c r="T76" s="2" t="s">
        <v>107</v>
      </c>
      <c r="U76" s="3"/>
      <c r="V76" s="2" t="s">
        <v>126</v>
      </c>
      <c r="W76" s="3"/>
      <c r="X76" s="3"/>
      <c r="Y76" s="2" t="s">
        <v>117</v>
      </c>
      <c r="Z76" s="3"/>
      <c r="AA76" s="2" t="s">
        <v>116</v>
      </c>
      <c r="AB76" s="2" t="s">
        <v>151</v>
      </c>
      <c r="AC76" s="2" t="s">
        <v>141</v>
      </c>
      <c r="AD76" s="2" t="s">
        <v>151</v>
      </c>
      <c r="AE76" s="3"/>
      <c r="AF76" s="2" t="s">
        <v>115</v>
      </c>
      <c r="AG76" s="2" t="s">
        <v>103</v>
      </c>
      <c r="AH76" s="3"/>
      <c r="AI76" s="3"/>
      <c r="AJ76" s="2" t="s">
        <v>119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2" t="s">
        <v>111</v>
      </c>
      <c r="AW76" s="2" t="s">
        <v>108</v>
      </c>
      <c r="AX76" s="2" t="s">
        <v>115</v>
      </c>
      <c r="AY76" s="2" t="s">
        <v>130</v>
      </c>
      <c r="AZ76" s="3"/>
      <c r="BA76" s="3"/>
      <c r="BB76" s="2" t="s">
        <v>116</v>
      </c>
      <c r="BC76" s="2" t="s">
        <v>146</v>
      </c>
      <c r="BD76" s="2" t="s">
        <v>103</v>
      </c>
      <c r="BE76" s="2" t="s">
        <v>126</v>
      </c>
      <c r="BF76" s="2" t="s">
        <v>121</v>
      </c>
      <c r="BG76" s="2" t="s">
        <v>112</v>
      </c>
      <c r="BH76" s="3"/>
      <c r="BI76" s="3"/>
      <c r="BJ76" s="2" t="s">
        <v>111</v>
      </c>
      <c r="BK76" s="2" t="s">
        <v>136</v>
      </c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2" t="s">
        <v>151</v>
      </c>
      <c r="CD76" s="2" t="s">
        <v>222</v>
      </c>
      <c r="CE76" s="3"/>
      <c r="CF76" s="3"/>
      <c r="CG76" s="3"/>
      <c r="CH76" s="3"/>
      <c r="CI76" s="2" t="s">
        <v>116</v>
      </c>
      <c r="CJ76" s="2" t="s">
        <v>130</v>
      </c>
      <c r="CK76" s="2" t="s">
        <v>130</v>
      </c>
      <c r="CL76" s="3"/>
      <c r="CM76" s="3"/>
      <c r="CN76" s="3"/>
      <c r="CO76" s="2" t="s">
        <v>107</v>
      </c>
      <c r="CP76" s="3"/>
      <c r="CQ76" s="3"/>
      <c r="CR76" s="3"/>
      <c r="CS76" s="3"/>
      <c r="CT76" s="3"/>
      <c r="CU76" s="3"/>
      <c r="CV76" s="3"/>
      <c r="CW76" s="3"/>
      <c r="CX76" s="2" t="s">
        <v>110</v>
      </c>
      <c r="CY76" s="2" t="s">
        <v>104</v>
      </c>
    </row>
    <row r="77" spans="1:103" ht="15.75" customHeight="1" x14ac:dyDescent="0.2">
      <c r="A77" s="2" t="s">
        <v>115</v>
      </c>
      <c r="B77" s="2" t="s">
        <v>118</v>
      </c>
      <c r="C77" s="2" t="s">
        <v>312</v>
      </c>
      <c r="D77" s="3"/>
      <c r="E77" s="2" t="s">
        <v>103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spans="1:103" ht="15.75" customHeight="1" x14ac:dyDescent="0.2">
      <c r="A78" s="2" t="s">
        <v>137</v>
      </c>
      <c r="B78" s="2" t="s">
        <v>118</v>
      </c>
      <c r="C78" s="2" t="s">
        <v>312</v>
      </c>
      <c r="D78" s="3"/>
      <c r="E78" s="2" t="s">
        <v>103</v>
      </c>
      <c r="F78" s="3"/>
      <c r="G78" s="3"/>
      <c r="H78" s="2" t="s">
        <v>105</v>
      </c>
      <c r="I78" s="2" t="s">
        <v>136</v>
      </c>
      <c r="J78" s="2" t="s">
        <v>137</v>
      </c>
      <c r="K78" s="3"/>
      <c r="L78" s="2" t="s">
        <v>128</v>
      </c>
      <c r="M78" s="2" t="s">
        <v>112</v>
      </c>
      <c r="N78" s="2" t="s">
        <v>134</v>
      </c>
      <c r="O78" s="2" t="s">
        <v>113</v>
      </c>
      <c r="P78" s="3"/>
      <c r="Q78" s="2" t="s">
        <v>126</v>
      </c>
      <c r="R78" s="2" t="s">
        <v>105</v>
      </c>
      <c r="S78" s="2" t="s">
        <v>165</v>
      </c>
      <c r="T78" s="2" t="s">
        <v>110</v>
      </c>
      <c r="U78" s="3"/>
      <c r="V78" s="2" t="s">
        <v>104</v>
      </c>
      <c r="W78" s="3"/>
      <c r="X78" s="3"/>
      <c r="Y78" s="2" t="s">
        <v>116</v>
      </c>
      <c r="Z78" s="3"/>
      <c r="AA78" s="3"/>
      <c r="AB78" s="2" t="s">
        <v>151</v>
      </c>
      <c r="AC78" s="2" t="s">
        <v>116</v>
      </c>
      <c r="AD78" s="2" t="s">
        <v>151</v>
      </c>
      <c r="AE78" s="3"/>
      <c r="AF78" s="2" t="s">
        <v>154</v>
      </c>
      <c r="AG78" s="3"/>
      <c r="AH78" s="3"/>
      <c r="AI78" s="3"/>
      <c r="AJ78" s="2" t="s">
        <v>183</v>
      </c>
      <c r="AK78" s="3"/>
      <c r="AL78" s="2" t="s">
        <v>110</v>
      </c>
      <c r="AM78" s="2" t="s">
        <v>154</v>
      </c>
      <c r="AN78" s="3"/>
      <c r="AO78" s="2" t="s">
        <v>115</v>
      </c>
      <c r="AP78" s="3"/>
      <c r="AQ78" s="3"/>
      <c r="AR78" s="3"/>
      <c r="AS78" s="3"/>
      <c r="AT78" s="4" t="s">
        <v>115</v>
      </c>
      <c r="AU78" s="2" t="s">
        <v>104</v>
      </c>
      <c r="AV78" s="2" t="s">
        <v>116</v>
      </c>
      <c r="AW78" s="2" t="s">
        <v>108</v>
      </c>
      <c r="AX78" s="2" t="s">
        <v>111</v>
      </c>
      <c r="AY78" s="2" t="s">
        <v>130</v>
      </c>
      <c r="AZ78" s="3"/>
      <c r="BA78" s="3"/>
      <c r="BB78" s="2" t="s">
        <v>103</v>
      </c>
      <c r="BC78" s="2" t="s">
        <v>113</v>
      </c>
      <c r="BD78" s="4">
        <f>1 +(1/2)</f>
        <v>1.5</v>
      </c>
      <c r="BE78" s="2" t="s">
        <v>105</v>
      </c>
      <c r="BF78" s="2" t="s">
        <v>111</v>
      </c>
      <c r="BG78" s="2" t="s">
        <v>112</v>
      </c>
      <c r="BH78" s="3"/>
      <c r="BI78" s="3"/>
      <c r="BJ78" s="4">
        <f>1 +(1/2)</f>
        <v>1.5</v>
      </c>
      <c r="BK78" s="2" t="s">
        <v>113</v>
      </c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2" t="s">
        <v>103</v>
      </c>
      <c r="CD78" s="2" t="s">
        <v>130</v>
      </c>
      <c r="CE78" s="3"/>
      <c r="CF78" s="3"/>
      <c r="CG78" s="3"/>
      <c r="CH78" s="3"/>
      <c r="CI78" s="2" t="s">
        <v>111</v>
      </c>
      <c r="CJ78" s="2" t="s">
        <v>145</v>
      </c>
      <c r="CK78" s="2" t="s">
        <v>130</v>
      </c>
      <c r="CL78" s="3"/>
      <c r="CM78" s="3"/>
      <c r="CN78" s="3"/>
      <c r="CO78" s="2" t="s">
        <v>109</v>
      </c>
      <c r="CP78" s="3"/>
      <c r="CQ78" s="3"/>
      <c r="CR78" s="3"/>
      <c r="CS78" s="3"/>
      <c r="CT78" s="3"/>
      <c r="CU78" s="3"/>
      <c r="CV78" s="3"/>
      <c r="CW78" s="3"/>
      <c r="CX78" s="2" t="s">
        <v>110</v>
      </c>
      <c r="CY78" s="2" t="s">
        <v>107</v>
      </c>
    </row>
    <row r="79" spans="1:103" ht="15.75" customHeight="1" x14ac:dyDescent="0.2">
      <c r="A79" s="2" t="s">
        <v>118</v>
      </c>
      <c r="B79" s="2" t="s">
        <v>118</v>
      </c>
      <c r="C79" s="2" t="s">
        <v>312</v>
      </c>
      <c r="D79" s="3"/>
      <c r="E79" s="2" t="s">
        <v>103</v>
      </c>
      <c r="F79" s="3"/>
      <c r="G79" s="3"/>
      <c r="H79" s="2" t="s">
        <v>116</v>
      </c>
      <c r="I79" s="2" t="s">
        <v>124</v>
      </c>
      <c r="J79" s="3"/>
      <c r="K79" s="3"/>
      <c r="L79" s="2" t="s">
        <v>106</v>
      </c>
      <c r="M79" s="3"/>
      <c r="N79" s="3"/>
      <c r="O79" s="3"/>
      <c r="P79" s="3"/>
      <c r="Q79" s="2" t="s">
        <v>108</v>
      </c>
      <c r="R79" s="2" t="s">
        <v>111</v>
      </c>
      <c r="S79" s="2" t="s">
        <v>145</v>
      </c>
      <c r="T79" s="2" t="s">
        <v>124</v>
      </c>
      <c r="U79" s="3"/>
      <c r="V79" s="2" t="s">
        <v>107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2" t="s">
        <v>103</v>
      </c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spans="1:103" ht="15.75" customHeight="1" x14ac:dyDescent="0.2">
      <c r="A80" s="2" t="s">
        <v>154</v>
      </c>
      <c r="B80" s="2" t="s">
        <v>118</v>
      </c>
      <c r="C80" s="2" t="s">
        <v>312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spans="1:103" ht="15.75" customHeight="1" x14ac:dyDescent="0.2">
      <c r="A81" s="2" t="s">
        <v>105</v>
      </c>
      <c r="B81" s="2" t="s">
        <v>118</v>
      </c>
      <c r="C81" s="2" t="s">
        <v>312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spans="1:103" ht="15.75" customHeight="1" x14ac:dyDescent="0.2">
      <c r="A82" s="2" t="s">
        <v>103</v>
      </c>
      <c r="B82" s="2" t="s">
        <v>154</v>
      </c>
      <c r="C82" s="2" t="s">
        <v>312</v>
      </c>
      <c r="D82" s="3"/>
      <c r="E82" s="2" t="s">
        <v>103</v>
      </c>
      <c r="F82" s="3"/>
      <c r="G82" s="3"/>
      <c r="H82" s="2" t="s">
        <v>108</v>
      </c>
      <c r="I82" s="2" t="s">
        <v>143</v>
      </c>
      <c r="J82" s="2" t="s">
        <v>126</v>
      </c>
      <c r="K82" s="3"/>
      <c r="L82" s="2" t="s">
        <v>223</v>
      </c>
      <c r="M82" s="2" t="s">
        <v>145</v>
      </c>
      <c r="N82" s="2" t="s">
        <v>211</v>
      </c>
      <c r="O82" s="2" t="s">
        <v>108</v>
      </c>
      <c r="P82" s="3"/>
      <c r="Q82" s="2" t="s">
        <v>130</v>
      </c>
      <c r="R82" s="2" t="s">
        <v>126</v>
      </c>
      <c r="S82" s="2" t="s">
        <v>106</v>
      </c>
      <c r="T82" s="2" t="s">
        <v>123</v>
      </c>
      <c r="U82" s="4" t="s">
        <v>120</v>
      </c>
      <c r="V82" s="2" t="s">
        <v>126</v>
      </c>
      <c r="W82" s="3"/>
      <c r="X82" s="3"/>
      <c r="Y82" s="2" t="s">
        <v>111</v>
      </c>
      <c r="Z82" s="3"/>
      <c r="AA82" s="3"/>
      <c r="AB82" s="2" t="s">
        <v>124</v>
      </c>
      <c r="AC82" s="2" t="s">
        <v>113</v>
      </c>
      <c r="AD82" s="2" t="s">
        <v>124</v>
      </c>
      <c r="AE82" s="2" t="s">
        <v>118</v>
      </c>
      <c r="AF82" s="2" t="s">
        <v>113</v>
      </c>
      <c r="AG82" s="2" t="s">
        <v>103</v>
      </c>
      <c r="AH82" s="3"/>
      <c r="AI82" s="3"/>
      <c r="AJ82" s="2" t="s">
        <v>174</v>
      </c>
      <c r="AK82" s="2" t="s">
        <v>106</v>
      </c>
      <c r="AL82" s="2" t="s">
        <v>122</v>
      </c>
      <c r="AM82" s="2" t="s">
        <v>137</v>
      </c>
      <c r="AN82" s="3"/>
      <c r="AO82" s="3"/>
      <c r="AP82" s="3"/>
      <c r="AQ82" s="3"/>
      <c r="AR82" s="3"/>
      <c r="AS82" s="3"/>
      <c r="AT82" s="2" t="s">
        <v>137</v>
      </c>
      <c r="AU82" s="2" t="s">
        <v>173</v>
      </c>
      <c r="AV82" s="2" t="s">
        <v>115</v>
      </c>
      <c r="AW82" s="2" t="s">
        <v>108</v>
      </c>
      <c r="AX82" s="3"/>
      <c r="AY82" s="2" t="s">
        <v>130</v>
      </c>
      <c r="AZ82" s="3"/>
      <c r="BA82" s="3"/>
      <c r="BB82" s="2" t="s">
        <v>116</v>
      </c>
      <c r="BC82" s="3"/>
      <c r="BD82" s="2" t="s">
        <v>116</v>
      </c>
      <c r="BE82" s="2" t="s">
        <v>113</v>
      </c>
      <c r="BF82" s="2" t="s">
        <v>121</v>
      </c>
      <c r="BG82" s="2" t="s">
        <v>130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4" t="s">
        <v>103</v>
      </c>
      <c r="CD82" s="4"/>
      <c r="CE82" s="3"/>
      <c r="CF82" s="3"/>
      <c r="CG82" s="3"/>
      <c r="CH82" s="3"/>
      <c r="CI82" s="2" t="s">
        <v>103</v>
      </c>
      <c r="CJ82" s="2" t="s">
        <v>113</v>
      </c>
      <c r="CK82" s="2" t="s">
        <v>130</v>
      </c>
      <c r="CL82" s="3"/>
      <c r="CM82" s="3"/>
      <c r="CN82" s="3"/>
      <c r="CO82" s="2" t="s">
        <v>136</v>
      </c>
      <c r="CP82" s="3"/>
      <c r="CQ82" s="3"/>
      <c r="CR82" s="3"/>
      <c r="CS82" s="3"/>
      <c r="CT82" s="3"/>
      <c r="CU82" s="3"/>
      <c r="CV82" s="3"/>
      <c r="CW82" s="3"/>
      <c r="CX82" s="2" t="s">
        <v>104</v>
      </c>
      <c r="CY82" s="2" t="s">
        <v>123</v>
      </c>
    </row>
    <row r="83" spans="1:103" ht="15.75" customHeight="1" x14ac:dyDescent="0.2">
      <c r="A83" s="2" t="s">
        <v>116</v>
      </c>
      <c r="B83" s="2" t="s">
        <v>154</v>
      </c>
      <c r="C83" s="2" t="s">
        <v>312</v>
      </c>
      <c r="D83" s="3"/>
      <c r="E83" s="3"/>
      <c r="F83" s="2" t="s">
        <v>103</v>
      </c>
      <c r="G83" s="3"/>
      <c r="H83" s="2" t="s">
        <v>218</v>
      </c>
      <c r="I83" s="2" t="s">
        <v>152</v>
      </c>
      <c r="J83" s="2" t="s">
        <v>156</v>
      </c>
      <c r="K83" s="3"/>
      <c r="L83" s="2" t="s">
        <v>144</v>
      </c>
      <c r="M83" s="2" t="s">
        <v>145</v>
      </c>
      <c r="N83" s="2" t="s">
        <v>222</v>
      </c>
      <c r="O83" s="3"/>
      <c r="P83" s="3"/>
      <c r="Q83" s="2" t="s">
        <v>107</v>
      </c>
      <c r="R83" s="3"/>
      <c r="S83" s="2" t="s">
        <v>106</v>
      </c>
      <c r="T83" s="2" t="s">
        <v>104</v>
      </c>
      <c r="U83" s="3"/>
      <c r="V83" s="2" t="s">
        <v>104</v>
      </c>
      <c r="W83" s="3"/>
      <c r="X83" s="3"/>
      <c r="Y83" s="2" t="s">
        <v>117</v>
      </c>
      <c r="Z83" s="3"/>
      <c r="AA83" s="3"/>
      <c r="AB83" s="2" t="s">
        <v>224</v>
      </c>
      <c r="AC83" s="2" t="s">
        <v>110</v>
      </c>
      <c r="AD83" s="2" t="s">
        <v>216</v>
      </c>
      <c r="AE83" s="2" t="s">
        <v>118</v>
      </c>
      <c r="AF83" s="2" t="s">
        <v>170</v>
      </c>
      <c r="AG83" s="2" t="s">
        <v>118</v>
      </c>
      <c r="AH83" s="3"/>
      <c r="AI83" s="3"/>
      <c r="AJ83" s="2" t="s">
        <v>153</v>
      </c>
      <c r="AK83" s="3"/>
      <c r="AL83" s="2" t="s">
        <v>167</v>
      </c>
      <c r="AM83" s="2" t="s">
        <v>139</v>
      </c>
      <c r="AN83" s="3"/>
      <c r="AO83" s="3"/>
      <c r="AP83" s="3"/>
      <c r="AQ83" s="3"/>
      <c r="AR83" s="3"/>
      <c r="AS83" s="3"/>
      <c r="AT83" s="2" t="s">
        <v>108</v>
      </c>
      <c r="AU83" s="2" t="s">
        <v>143</v>
      </c>
      <c r="AV83" s="2" t="s">
        <v>154</v>
      </c>
      <c r="AW83" s="2" t="s">
        <v>108</v>
      </c>
      <c r="AX83" s="3"/>
      <c r="AY83" s="2" t="s">
        <v>130</v>
      </c>
      <c r="AZ83" s="3"/>
      <c r="BA83" s="3"/>
      <c r="BB83" s="3"/>
      <c r="BC83" s="3"/>
      <c r="BD83" s="2" t="s">
        <v>115</v>
      </c>
      <c r="BE83" s="2" t="s">
        <v>109</v>
      </c>
      <c r="BF83" s="2" t="s">
        <v>113</v>
      </c>
      <c r="BG83" s="2" t="s">
        <v>131</v>
      </c>
      <c r="BH83" s="3"/>
      <c r="BI83" s="3"/>
      <c r="BJ83" s="2" t="s">
        <v>117</v>
      </c>
      <c r="BK83" s="2" t="s">
        <v>108</v>
      </c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4" t="s">
        <v>116</v>
      </c>
      <c r="CD83" s="4" t="s">
        <v>143</v>
      </c>
      <c r="CE83" s="3"/>
      <c r="CF83" s="3"/>
      <c r="CG83" s="3"/>
      <c r="CH83" s="3"/>
      <c r="CI83" s="2" t="s">
        <v>103</v>
      </c>
      <c r="CJ83" s="2" t="s">
        <v>104</v>
      </c>
      <c r="CK83" s="2" t="s">
        <v>136</v>
      </c>
      <c r="CL83" s="3"/>
      <c r="CM83" s="3"/>
      <c r="CN83" s="3"/>
      <c r="CO83" s="2" t="s">
        <v>104</v>
      </c>
      <c r="CP83" s="3"/>
      <c r="CQ83" s="3"/>
      <c r="CR83" s="3"/>
      <c r="CS83" s="3"/>
      <c r="CT83" s="3"/>
      <c r="CU83" s="3"/>
      <c r="CV83" s="2" t="s">
        <v>123</v>
      </c>
      <c r="CW83" s="3"/>
      <c r="CX83" s="2" t="s">
        <v>196</v>
      </c>
      <c r="CY83" s="2" t="s">
        <v>107</v>
      </c>
    </row>
    <row r="84" spans="1:103" ht="15.75" customHeight="1" x14ac:dyDescent="0.2">
      <c r="A84" s="2" t="s">
        <v>117</v>
      </c>
      <c r="B84" s="2" t="s">
        <v>154</v>
      </c>
      <c r="C84" s="2" t="s">
        <v>312</v>
      </c>
      <c r="D84" s="3"/>
      <c r="E84" s="2" t="s">
        <v>103</v>
      </c>
      <c r="F84" s="3"/>
      <c r="G84" s="3"/>
      <c r="H84" s="2" t="s">
        <v>110</v>
      </c>
      <c r="I84" s="2" t="s">
        <v>164</v>
      </c>
      <c r="J84" s="2" t="s">
        <v>194</v>
      </c>
      <c r="K84" s="3"/>
      <c r="L84" s="2" t="s">
        <v>225</v>
      </c>
      <c r="M84" s="2" t="s">
        <v>145</v>
      </c>
      <c r="N84" s="2" t="s">
        <v>125</v>
      </c>
      <c r="O84" s="2" t="s">
        <v>108</v>
      </c>
      <c r="P84" s="3"/>
      <c r="Q84" s="2" t="s">
        <v>130</v>
      </c>
      <c r="R84" s="2" t="s">
        <v>126</v>
      </c>
      <c r="S84" s="2" t="s">
        <v>155</v>
      </c>
      <c r="T84" s="2" t="s">
        <v>109</v>
      </c>
      <c r="U84" s="4" t="s">
        <v>226</v>
      </c>
      <c r="V84" s="2" t="s">
        <v>143</v>
      </c>
      <c r="W84" s="3"/>
      <c r="X84" s="3"/>
      <c r="Y84" s="2" t="s">
        <v>137</v>
      </c>
      <c r="Z84" s="3"/>
      <c r="AA84" s="3"/>
      <c r="AB84" s="2" t="s">
        <v>168</v>
      </c>
      <c r="AC84" s="2" t="s">
        <v>104</v>
      </c>
      <c r="AD84" s="2" t="s">
        <v>212</v>
      </c>
      <c r="AE84" s="3"/>
      <c r="AF84" s="2" t="s">
        <v>118</v>
      </c>
      <c r="AG84" s="2" t="s">
        <v>115</v>
      </c>
      <c r="AH84" s="3"/>
      <c r="AI84" s="3"/>
      <c r="AJ84" s="2" t="s">
        <v>207</v>
      </c>
      <c r="AK84" s="3"/>
      <c r="AL84" s="2" t="s">
        <v>216</v>
      </c>
      <c r="AM84" s="2" t="s">
        <v>154</v>
      </c>
      <c r="AN84" s="3"/>
      <c r="AO84" s="3"/>
      <c r="AP84" s="3"/>
      <c r="AQ84" s="3"/>
      <c r="AR84" s="3"/>
      <c r="AS84" s="3"/>
      <c r="AT84" s="2" t="s">
        <v>141</v>
      </c>
      <c r="AU84" s="2" t="s">
        <v>109</v>
      </c>
      <c r="AV84" s="2" t="s">
        <v>137</v>
      </c>
      <c r="AW84" s="2" t="s">
        <v>107</v>
      </c>
      <c r="AX84" s="3"/>
      <c r="AY84" s="2" t="s">
        <v>145</v>
      </c>
      <c r="AZ84" s="3"/>
      <c r="BA84" s="3"/>
      <c r="BB84" s="2" t="s">
        <v>103</v>
      </c>
      <c r="BC84" s="2" t="s">
        <v>139</v>
      </c>
      <c r="BD84" s="2" t="s">
        <v>103</v>
      </c>
      <c r="BE84" s="2" t="s">
        <v>108</v>
      </c>
      <c r="BF84" s="2" t="s">
        <v>118</v>
      </c>
      <c r="BG84" s="2" t="s">
        <v>145</v>
      </c>
      <c r="BH84" s="3"/>
      <c r="BI84" s="3"/>
      <c r="BJ84" s="2" t="s">
        <v>117</v>
      </c>
      <c r="BK84" s="4" t="s">
        <v>227</v>
      </c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4" t="s">
        <v>103</v>
      </c>
      <c r="CD84" s="4" t="s">
        <v>123</v>
      </c>
      <c r="CE84" s="3"/>
      <c r="CF84" s="3"/>
      <c r="CG84" s="3"/>
      <c r="CH84" s="3"/>
      <c r="CI84" s="2" t="s">
        <v>103</v>
      </c>
      <c r="CJ84" s="2" t="s">
        <v>109</v>
      </c>
      <c r="CK84" s="2" t="s">
        <v>145</v>
      </c>
      <c r="CL84" s="3"/>
      <c r="CM84" s="3"/>
      <c r="CN84" s="3"/>
      <c r="CO84" s="2" t="s">
        <v>123</v>
      </c>
      <c r="CP84" s="3"/>
      <c r="CQ84" s="3"/>
      <c r="CR84" s="3"/>
      <c r="CS84" s="3"/>
      <c r="CT84" s="3"/>
      <c r="CU84" s="3"/>
      <c r="CV84" s="3"/>
      <c r="CW84" s="3"/>
      <c r="CX84" s="2" t="s">
        <v>113</v>
      </c>
      <c r="CY84" s="2" t="s">
        <v>136</v>
      </c>
    </row>
    <row r="85" spans="1:103" ht="15.75" customHeight="1" x14ac:dyDescent="0.2">
      <c r="A85" s="2" t="s">
        <v>111</v>
      </c>
      <c r="B85" s="2" t="s">
        <v>154</v>
      </c>
      <c r="C85" s="2" t="s">
        <v>312</v>
      </c>
      <c r="D85" s="3"/>
      <c r="E85" s="2" t="s">
        <v>103</v>
      </c>
      <c r="F85" s="3"/>
      <c r="G85" s="3"/>
      <c r="H85" s="2" t="s">
        <v>110</v>
      </c>
      <c r="I85" s="2" t="s">
        <v>208</v>
      </c>
      <c r="J85" s="3"/>
      <c r="K85" s="3"/>
      <c r="L85" s="2" t="s">
        <v>207</v>
      </c>
      <c r="M85" s="2" t="s">
        <v>130</v>
      </c>
      <c r="N85" s="2" t="s">
        <v>112</v>
      </c>
      <c r="O85" s="2" t="s">
        <v>110</v>
      </c>
      <c r="P85" s="3"/>
      <c r="Q85" s="2" t="s">
        <v>131</v>
      </c>
      <c r="R85" s="2" t="s">
        <v>109</v>
      </c>
      <c r="S85" s="2" t="s">
        <v>134</v>
      </c>
      <c r="T85" s="2" t="s">
        <v>108</v>
      </c>
      <c r="U85" s="3"/>
      <c r="V85" s="2" t="s">
        <v>120</v>
      </c>
      <c r="W85" s="3"/>
      <c r="X85" s="3"/>
      <c r="Y85" s="2" t="s">
        <v>117</v>
      </c>
      <c r="Z85" s="3"/>
      <c r="AA85" s="3"/>
      <c r="AB85" s="2" t="s">
        <v>105</v>
      </c>
      <c r="AC85" s="2" t="s">
        <v>170</v>
      </c>
      <c r="AD85" s="2" t="s">
        <v>196</v>
      </c>
      <c r="AE85" s="2" t="s">
        <v>117</v>
      </c>
      <c r="AF85" s="2" t="s">
        <v>154</v>
      </c>
      <c r="AG85" s="2" t="s">
        <v>116</v>
      </c>
      <c r="AH85" s="3"/>
      <c r="AI85" s="3"/>
      <c r="AJ85" s="2" t="s">
        <v>183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2" t="s">
        <v>117</v>
      </c>
      <c r="AW85" s="2" t="s">
        <v>107</v>
      </c>
      <c r="AX85" s="3"/>
      <c r="AY85" s="2" t="s">
        <v>145</v>
      </c>
      <c r="AZ85" s="3"/>
      <c r="BA85" s="3"/>
      <c r="BB85" s="3"/>
      <c r="BC85" s="3"/>
      <c r="BD85" s="2" t="s">
        <v>111</v>
      </c>
      <c r="BE85" s="2" t="s">
        <v>109</v>
      </c>
      <c r="BF85" s="2" t="s">
        <v>115</v>
      </c>
      <c r="BG85" s="2" t="s">
        <v>145</v>
      </c>
      <c r="BH85" s="3"/>
      <c r="BI85" s="3"/>
      <c r="BJ85" s="2" t="s">
        <v>111</v>
      </c>
      <c r="BK85" s="2" t="s">
        <v>126</v>
      </c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4" t="s">
        <v>103</v>
      </c>
      <c r="CD85" s="4" t="s">
        <v>109</v>
      </c>
      <c r="CE85" s="3"/>
      <c r="CF85" s="3"/>
      <c r="CG85" s="3"/>
      <c r="CH85" s="3"/>
      <c r="CI85" s="2" t="s">
        <v>103</v>
      </c>
      <c r="CJ85" s="2" t="s">
        <v>123</v>
      </c>
      <c r="CK85" s="2" t="s">
        <v>130</v>
      </c>
      <c r="CL85" s="3"/>
      <c r="CM85" s="3"/>
      <c r="CN85" s="3"/>
      <c r="CO85" s="2" t="s">
        <v>120</v>
      </c>
      <c r="CP85" s="3"/>
      <c r="CQ85" s="3"/>
      <c r="CR85" s="3"/>
      <c r="CS85" s="3"/>
      <c r="CT85" s="3"/>
      <c r="CU85" s="3"/>
      <c r="CV85" s="3"/>
      <c r="CW85" s="3"/>
      <c r="CX85" s="3"/>
      <c r="CY85" s="3"/>
    </row>
    <row r="86" spans="1:103" ht="15.75" customHeight="1" x14ac:dyDescent="0.2">
      <c r="A86" s="2" t="s">
        <v>121</v>
      </c>
      <c r="B86" s="2" t="s">
        <v>154</v>
      </c>
      <c r="C86" s="2" t="s">
        <v>312</v>
      </c>
      <c r="D86" s="3"/>
      <c r="E86" s="2" t="s">
        <v>103</v>
      </c>
      <c r="F86" s="3"/>
      <c r="G86" s="3"/>
      <c r="H86" s="2" t="s">
        <v>141</v>
      </c>
      <c r="I86" s="2" t="s">
        <v>112</v>
      </c>
      <c r="J86" s="3"/>
      <c r="K86" s="2" t="s">
        <v>104</v>
      </c>
      <c r="L86" s="2" t="s">
        <v>144</v>
      </c>
      <c r="M86" s="2" t="s">
        <v>130</v>
      </c>
      <c r="N86" s="2" t="s">
        <v>134</v>
      </c>
      <c r="O86" s="3"/>
      <c r="P86" s="3"/>
      <c r="Q86" s="2" t="s">
        <v>129</v>
      </c>
      <c r="R86" s="2" t="s">
        <v>126</v>
      </c>
      <c r="S86" s="2" t="s">
        <v>142</v>
      </c>
      <c r="T86" s="2" t="s">
        <v>126</v>
      </c>
      <c r="U86" s="3"/>
      <c r="V86" s="2" t="s">
        <v>126</v>
      </c>
      <c r="W86" s="3"/>
      <c r="X86" s="3"/>
      <c r="Y86" s="2" t="s">
        <v>103</v>
      </c>
      <c r="Z86" s="3"/>
      <c r="AA86" s="3"/>
      <c r="AB86" s="2" t="s">
        <v>121</v>
      </c>
      <c r="AC86" s="2" t="s">
        <v>116</v>
      </c>
      <c r="AD86" s="2" t="s">
        <v>121</v>
      </c>
      <c r="AE86" s="3"/>
      <c r="AF86" s="2" t="s">
        <v>116</v>
      </c>
      <c r="AG86" s="2" t="s">
        <v>116</v>
      </c>
      <c r="AH86" s="3"/>
      <c r="AI86" s="3"/>
      <c r="AJ86" s="2" t="s">
        <v>142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2" t="s">
        <v>117</v>
      </c>
      <c r="AW86" s="2" t="s">
        <v>107</v>
      </c>
      <c r="AX86" s="3"/>
      <c r="AY86" s="2" t="s">
        <v>130</v>
      </c>
      <c r="AZ86" s="3"/>
      <c r="BA86" s="3"/>
      <c r="BB86" s="2" t="s">
        <v>116</v>
      </c>
      <c r="BC86" s="4" t="s">
        <v>104</v>
      </c>
      <c r="BD86" s="2" t="s">
        <v>111</v>
      </c>
      <c r="BE86" s="2" t="s">
        <v>107</v>
      </c>
      <c r="BF86" s="2" t="s">
        <v>118</v>
      </c>
      <c r="BG86" s="2" t="s">
        <v>109</v>
      </c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4" t="s">
        <v>117</v>
      </c>
      <c r="CD86" s="4" t="s">
        <v>130</v>
      </c>
      <c r="CE86" s="3"/>
      <c r="CF86" s="3"/>
      <c r="CG86" s="3"/>
      <c r="CH86" s="3"/>
      <c r="CI86" s="2" t="s">
        <v>116</v>
      </c>
      <c r="CJ86" s="2" t="s">
        <v>109</v>
      </c>
      <c r="CK86" s="2" t="s">
        <v>112</v>
      </c>
      <c r="CL86" s="3"/>
      <c r="CM86" s="3"/>
      <c r="CN86" s="3"/>
      <c r="CO86" s="2" t="s">
        <v>123</v>
      </c>
      <c r="CP86" s="3"/>
      <c r="CQ86" s="3"/>
      <c r="CR86" s="3"/>
      <c r="CS86" s="3"/>
      <c r="CT86" s="3"/>
      <c r="CU86" s="3"/>
      <c r="CV86" s="2" t="s">
        <v>107</v>
      </c>
      <c r="CW86" s="3"/>
      <c r="CX86" s="3"/>
      <c r="CY86" s="3"/>
    </row>
    <row r="87" spans="1:103" ht="15.75" customHeight="1" x14ac:dyDescent="0.2">
      <c r="A87" s="2" t="s">
        <v>115</v>
      </c>
      <c r="B87" s="2" t="s">
        <v>154</v>
      </c>
      <c r="C87" s="2" t="s">
        <v>312</v>
      </c>
      <c r="D87" s="3"/>
      <c r="E87" s="2" t="s">
        <v>103</v>
      </c>
      <c r="F87" s="3"/>
      <c r="G87" s="3"/>
      <c r="H87" s="2" t="s">
        <v>146</v>
      </c>
      <c r="I87" s="2" t="s">
        <v>228</v>
      </c>
      <c r="J87" s="3"/>
      <c r="K87" s="2" t="s">
        <v>130</v>
      </c>
      <c r="L87" s="2" t="s">
        <v>229</v>
      </c>
      <c r="M87" s="2" t="s">
        <v>135</v>
      </c>
      <c r="N87" s="2" t="s">
        <v>222</v>
      </c>
      <c r="O87" s="2" t="s">
        <v>145</v>
      </c>
      <c r="P87" s="3"/>
      <c r="Q87" s="2" t="s">
        <v>142</v>
      </c>
      <c r="R87" s="2" t="s">
        <v>130</v>
      </c>
      <c r="S87" s="2" t="s">
        <v>230</v>
      </c>
      <c r="T87" s="2" t="s">
        <v>130</v>
      </c>
      <c r="U87" s="3"/>
      <c r="V87" s="2" t="s">
        <v>231</v>
      </c>
      <c r="W87" s="3"/>
      <c r="X87" s="3"/>
      <c r="Y87" s="2" t="s">
        <v>111</v>
      </c>
      <c r="Z87" s="3"/>
      <c r="AA87" s="3"/>
      <c r="AB87" s="2" t="s">
        <v>139</v>
      </c>
      <c r="AC87" s="2" t="s">
        <v>166</v>
      </c>
      <c r="AD87" s="2" t="s">
        <v>105</v>
      </c>
      <c r="AE87" s="3"/>
      <c r="AF87" s="3"/>
      <c r="AG87" s="3"/>
      <c r="AH87" s="2" t="s">
        <v>103</v>
      </c>
      <c r="AI87" s="3"/>
      <c r="AJ87" s="2" t="s">
        <v>125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2" t="s">
        <v>111</v>
      </c>
      <c r="AW87" s="2" t="s">
        <v>139</v>
      </c>
      <c r="AX87" s="3"/>
      <c r="AY87" s="2" t="s">
        <v>109</v>
      </c>
      <c r="AZ87" s="3"/>
      <c r="BA87" s="3"/>
      <c r="BB87" s="3"/>
      <c r="BC87" s="3"/>
      <c r="BD87" s="2" t="s">
        <v>118</v>
      </c>
      <c r="BE87" s="2" t="s">
        <v>120</v>
      </c>
      <c r="BF87" s="2" t="s">
        <v>113</v>
      </c>
      <c r="BG87" s="2" t="s">
        <v>129</v>
      </c>
      <c r="BH87" s="3"/>
      <c r="BI87" s="3"/>
      <c r="BJ87" s="3"/>
      <c r="BK87" s="3"/>
      <c r="BL87" s="2" t="s">
        <v>116</v>
      </c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4" t="s">
        <v>117</v>
      </c>
      <c r="CD87" s="4" t="s">
        <v>126</v>
      </c>
      <c r="CE87" s="3"/>
      <c r="CF87" s="3"/>
      <c r="CG87" s="3"/>
      <c r="CH87" s="3"/>
      <c r="CI87" s="2" t="s">
        <v>121</v>
      </c>
      <c r="CJ87" s="2" t="s">
        <v>131</v>
      </c>
      <c r="CK87" s="2" t="s">
        <v>131</v>
      </c>
      <c r="CL87" s="3"/>
      <c r="CM87" s="3"/>
      <c r="CN87" s="3"/>
      <c r="CO87" s="2" t="s">
        <v>171</v>
      </c>
      <c r="CP87" s="3"/>
      <c r="CQ87" s="3"/>
      <c r="CR87" s="3"/>
      <c r="CS87" s="3"/>
      <c r="CT87" s="3"/>
      <c r="CU87" s="3"/>
      <c r="CV87" s="3"/>
      <c r="CW87" s="3"/>
      <c r="CX87" s="2" t="s">
        <v>113</v>
      </c>
      <c r="CY87" s="2" t="s">
        <v>126</v>
      </c>
    </row>
    <row r="88" spans="1:103" ht="15.75" customHeight="1" x14ac:dyDescent="0.2">
      <c r="A88" s="2" t="s">
        <v>137</v>
      </c>
      <c r="B88" s="2" t="s">
        <v>154</v>
      </c>
      <c r="C88" s="2" t="s">
        <v>312</v>
      </c>
      <c r="D88" s="3"/>
      <c r="E88" s="2" t="s">
        <v>103</v>
      </c>
      <c r="F88" s="3"/>
      <c r="G88" s="3"/>
      <c r="H88" s="2" t="s">
        <v>121</v>
      </c>
      <c r="I88" s="2" t="s">
        <v>110</v>
      </c>
      <c r="J88" s="2" t="s">
        <v>111</v>
      </c>
      <c r="K88" s="3"/>
      <c r="L88" s="2" t="s">
        <v>147</v>
      </c>
      <c r="M88" s="2" t="s">
        <v>109</v>
      </c>
      <c r="N88" s="2" t="s">
        <v>145</v>
      </c>
      <c r="O88" s="3"/>
      <c r="P88" s="3"/>
      <c r="Q88" s="3"/>
      <c r="R88" s="3"/>
      <c r="S88" s="2" t="s">
        <v>130</v>
      </c>
      <c r="T88" s="2" t="s">
        <v>139</v>
      </c>
      <c r="U88" s="3"/>
      <c r="V88" s="2" t="s">
        <v>139</v>
      </c>
      <c r="W88" s="3"/>
      <c r="X88" s="3"/>
      <c r="Y88" s="2" t="s">
        <v>117</v>
      </c>
      <c r="Z88" s="3"/>
      <c r="AA88" s="3"/>
      <c r="AB88" s="2" t="s">
        <v>116</v>
      </c>
      <c r="AC88" s="2" t="s">
        <v>117</v>
      </c>
      <c r="AD88" s="2" t="s">
        <v>116</v>
      </c>
      <c r="AE88" s="3"/>
      <c r="AF88" s="2" t="s">
        <v>103</v>
      </c>
      <c r="AG88" s="3"/>
      <c r="AH88" s="3"/>
      <c r="AI88" s="3"/>
      <c r="AJ88" s="2" t="s">
        <v>145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2" t="s">
        <v>103</v>
      </c>
      <c r="BE88" s="4" t="s">
        <v>146</v>
      </c>
      <c r="BF88" s="2" t="s">
        <v>111</v>
      </c>
      <c r="BG88" s="2" t="s">
        <v>109</v>
      </c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4">
        <f>1/4</f>
        <v>0.25</v>
      </c>
      <c r="CD88" s="4" t="s">
        <v>110</v>
      </c>
      <c r="CE88" s="3"/>
      <c r="CF88" s="3"/>
      <c r="CG88" s="3"/>
      <c r="CH88" s="3"/>
      <c r="CI88" s="2">
        <f>1/2</f>
        <v>0.5</v>
      </c>
      <c r="CJ88" s="2" t="s">
        <v>113</v>
      </c>
      <c r="CK88" s="2" t="s">
        <v>107</v>
      </c>
      <c r="CL88" s="3"/>
      <c r="CM88" s="3"/>
      <c r="CN88" s="3"/>
      <c r="CO88" s="2" t="s">
        <v>113</v>
      </c>
      <c r="CP88" s="3"/>
      <c r="CQ88" s="3"/>
      <c r="CR88" s="3"/>
      <c r="CS88" s="3"/>
      <c r="CT88" s="3"/>
      <c r="CU88" s="3"/>
      <c r="CV88" s="3"/>
      <c r="CW88" s="3"/>
      <c r="CX88" s="2" t="s">
        <v>105</v>
      </c>
      <c r="CY88" s="2" t="s">
        <v>108</v>
      </c>
    </row>
    <row r="89" spans="1:103" ht="15.75" customHeight="1" x14ac:dyDescent="0.2">
      <c r="A89" s="2" t="s">
        <v>118</v>
      </c>
      <c r="B89" s="2" t="s">
        <v>154</v>
      </c>
      <c r="C89" s="2" t="s">
        <v>312</v>
      </c>
      <c r="D89" s="3"/>
      <c r="E89" s="2" t="s">
        <v>103</v>
      </c>
      <c r="F89" s="3"/>
      <c r="G89" s="3"/>
      <c r="H89" s="2" t="s">
        <v>151</v>
      </c>
      <c r="I89" s="2" t="s">
        <v>130</v>
      </c>
      <c r="J89" s="2" t="s">
        <v>208</v>
      </c>
      <c r="K89" s="2" t="s">
        <v>126</v>
      </c>
      <c r="L89" s="2" t="s">
        <v>232</v>
      </c>
      <c r="M89" s="2" t="s">
        <v>130</v>
      </c>
      <c r="N89" s="2" t="s">
        <v>125</v>
      </c>
      <c r="O89" s="2" t="s">
        <v>109</v>
      </c>
      <c r="P89" s="3"/>
      <c r="Q89" s="2" t="s">
        <v>130</v>
      </c>
      <c r="R89" s="2" t="s">
        <v>126</v>
      </c>
      <c r="S89" s="2" t="s">
        <v>106</v>
      </c>
      <c r="T89" s="2" t="s">
        <v>160</v>
      </c>
      <c r="U89" s="3"/>
      <c r="V89" s="2" t="s">
        <v>172</v>
      </c>
      <c r="W89" s="3"/>
      <c r="X89" s="3"/>
      <c r="Y89" s="2" t="s">
        <v>154</v>
      </c>
      <c r="Z89" s="3"/>
      <c r="AA89" s="3"/>
      <c r="AB89" s="2" t="s">
        <v>113</v>
      </c>
      <c r="AC89" s="2" t="s">
        <v>192</v>
      </c>
      <c r="AD89" s="2" t="s">
        <v>113</v>
      </c>
      <c r="AE89" s="3"/>
      <c r="AF89" s="2" t="s">
        <v>115</v>
      </c>
      <c r="AG89" s="2" t="s">
        <v>103</v>
      </c>
      <c r="AH89" s="3"/>
      <c r="AI89" s="3"/>
      <c r="AJ89" s="2" t="s">
        <v>125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2" t="s">
        <v>116</v>
      </c>
      <c r="AW89" s="2" t="s">
        <v>107</v>
      </c>
      <c r="AX89" s="3"/>
      <c r="AY89" s="2" t="s">
        <v>145</v>
      </c>
      <c r="AZ89" s="2" t="s">
        <v>116</v>
      </c>
      <c r="BA89" s="2" t="s">
        <v>233</v>
      </c>
      <c r="BB89" s="3"/>
      <c r="BC89" s="3"/>
      <c r="BD89" s="2" t="s">
        <v>103</v>
      </c>
      <c r="BE89" s="3"/>
      <c r="BF89" s="2" t="s">
        <v>118</v>
      </c>
      <c r="BG89" s="2" t="s">
        <v>145</v>
      </c>
      <c r="BH89" s="3"/>
      <c r="BI89" s="3"/>
      <c r="BJ89" s="2" t="s">
        <v>116</v>
      </c>
      <c r="BK89" s="2" t="s">
        <v>127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4" t="s">
        <v>116</v>
      </c>
      <c r="CD89" s="4" t="s">
        <v>109</v>
      </c>
      <c r="CE89" s="3"/>
      <c r="CF89" s="3"/>
      <c r="CG89" s="3"/>
      <c r="CH89" s="3"/>
      <c r="CI89" s="2" t="s">
        <v>116</v>
      </c>
      <c r="CJ89" s="2" t="s">
        <v>109</v>
      </c>
      <c r="CK89" s="2" t="s">
        <v>109</v>
      </c>
      <c r="CL89" s="3"/>
      <c r="CM89" s="3"/>
      <c r="CN89" s="3"/>
      <c r="CO89" s="2" t="s">
        <v>126</v>
      </c>
      <c r="CP89" s="3"/>
      <c r="CQ89" s="3"/>
      <c r="CR89" s="3"/>
      <c r="CS89" s="3"/>
      <c r="CT89" s="3"/>
      <c r="CU89" s="3"/>
      <c r="CV89" s="2" t="s">
        <v>126</v>
      </c>
      <c r="CW89" s="3"/>
      <c r="CX89" s="2" t="s">
        <v>113</v>
      </c>
      <c r="CY89" s="2" t="s">
        <v>126</v>
      </c>
    </row>
    <row r="90" spans="1:103" ht="15.75" customHeight="1" x14ac:dyDescent="0.2">
      <c r="A90" s="2" t="s">
        <v>154</v>
      </c>
      <c r="B90" s="2" t="s">
        <v>154</v>
      </c>
      <c r="C90" s="2" t="s">
        <v>312</v>
      </c>
      <c r="D90" s="3"/>
      <c r="E90" s="2" t="s">
        <v>103</v>
      </c>
      <c r="F90" s="3"/>
      <c r="G90" s="3"/>
      <c r="H90" s="2" t="s">
        <v>110</v>
      </c>
      <c r="I90" s="2" t="s">
        <v>143</v>
      </c>
      <c r="J90" s="2" t="s">
        <v>154</v>
      </c>
      <c r="K90" s="2" t="s">
        <v>124</v>
      </c>
      <c r="L90" s="2" t="s">
        <v>234</v>
      </c>
      <c r="M90" s="2" t="s">
        <v>130</v>
      </c>
      <c r="N90" s="2" t="s">
        <v>178</v>
      </c>
      <c r="O90" s="3"/>
      <c r="P90" s="3"/>
      <c r="Q90" s="4" t="s">
        <v>130</v>
      </c>
      <c r="R90" s="2" t="s">
        <v>130</v>
      </c>
      <c r="S90" s="2" t="s">
        <v>106</v>
      </c>
      <c r="T90" s="2" t="s">
        <v>123</v>
      </c>
      <c r="U90" s="3"/>
      <c r="V90" s="2" t="s">
        <v>123</v>
      </c>
      <c r="W90" s="3"/>
      <c r="X90" s="3"/>
      <c r="Y90" s="2" t="s">
        <v>118</v>
      </c>
      <c r="Z90" s="3"/>
      <c r="AA90" s="3"/>
      <c r="AB90" s="2" t="s">
        <v>124</v>
      </c>
      <c r="AC90" s="2" t="s">
        <v>196</v>
      </c>
      <c r="AD90" s="2" t="s">
        <v>196</v>
      </c>
      <c r="AE90" s="2" t="s">
        <v>116</v>
      </c>
      <c r="AF90" s="2" t="s">
        <v>111</v>
      </c>
      <c r="AG90" s="2" t="s">
        <v>103</v>
      </c>
      <c r="AH90" s="3"/>
      <c r="AI90" s="3"/>
      <c r="AJ90" s="2" t="s">
        <v>155</v>
      </c>
      <c r="AK90" s="3"/>
      <c r="AL90" s="2" t="s">
        <v>224</v>
      </c>
      <c r="AM90" s="2" t="s">
        <v>118</v>
      </c>
      <c r="AN90" s="3"/>
      <c r="AO90" s="3"/>
      <c r="AP90" s="3"/>
      <c r="AQ90" s="3"/>
      <c r="AR90" s="3"/>
      <c r="AS90" s="3"/>
      <c r="AT90" s="2" t="s">
        <v>138</v>
      </c>
      <c r="AU90" s="2" t="s">
        <v>159</v>
      </c>
      <c r="AV90" s="2" t="s">
        <v>117</v>
      </c>
      <c r="AW90" s="2" t="s">
        <v>108</v>
      </c>
      <c r="AX90" s="3"/>
      <c r="AY90" s="2" t="s">
        <v>130</v>
      </c>
      <c r="AZ90" s="3"/>
      <c r="BA90" s="3"/>
      <c r="BB90" s="3"/>
      <c r="BC90" s="3"/>
      <c r="BD90" s="2" t="s">
        <v>111</v>
      </c>
      <c r="BE90" s="2" t="s">
        <v>109</v>
      </c>
      <c r="BF90" s="2" t="s">
        <v>118</v>
      </c>
      <c r="BG90" s="2" t="s">
        <v>129</v>
      </c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4" t="s">
        <v>116</v>
      </c>
      <c r="CD90" s="4" t="s">
        <v>143</v>
      </c>
      <c r="CE90" s="3"/>
      <c r="CF90" s="3"/>
      <c r="CG90" s="3"/>
      <c r="CH90" s="3"/>
      <c r="CI90" s="2" t="s">
        <v>103</v>
      </c>
      <c r="CJ90" s="2" t="s">
        <v>120</v>
      </c>
      <c r="CK90" s="2" t="s">
        <v>107</v>
      </c>
      <c r="CL90" s="3"/>
      <c r="CM90" s="3"/>
      <c r="CN90" s="3"/>
      <c r="CO90" s="2" t="s">
        <v>113</v>
      </c>
      <c r="CP90" s="3"/>
      <c r="CQ90" s="3"/>
      <c r="CR90" s="3"/>
      <c r="CS90" s="3"/>
      <c r="CT90" s="3"/>
      <c r="CU90" s="3"/>
      <c r="CV90" s="2" t="s">
        <v>111</v>
      </c>
      <c r="CW90" s="3"/>
      <c r="CX90" s="2" t="s">
        <v>172</v>
      </c>
      <c r="CY90" s="2" t="s">
        <v>112</v>
      </c>
    </row>
    <row r="91" spans="1:103" ht="15.75" customHeight="1" x14ac:dyDescent="0.2">
      <c r="A91" s="2" t="s">
        <v>105</v>
      </c>
      <c r="B91" s="2" t="s">
        <v>154</v>
      </c>
      <c r="C91" s="2" t="s">
        <v>312</v>
      </c>
      <c r="D91" s="3"/>
      <c r="E91" s="2" t="s">
        <v>103</v>
      </c>
      <c r="F91" s="3"/>
      <c r="G91" s="3"/>
      <c r="H91" s="2" t="s">
        <v>139</v>
      </c>
      <c r="I91" s="2" t="s">
        <v>152</v>
      </c>
      <c r="J91" s="3"/>
      <c r="K91" s="3"/>
      <c r="L91" s="2" t="s">
        <v>133</v>
      </c>
      <c r="M91" s="2" t="s">
        <v>130</v>
      </c>
      <c r="N91" s="2" t="s">
        <v>142</v>
      </c>
      <c r="O91" s="3"/>
      <c r="P91" s="3"/>
      <c r="Q91" s="2" t="s">
        <v>136</v>
      </c>
      <c r="R91" s="2" t="s">
        <v>105</v>
      </c>
      <c r="S91" s="2" t="s">
        <v>165</v>
      </c>
      <c r="T91" s="2" t="s">
        <v>120</v>
      </c>
      <c r="U91" s="3"/>
      <c r="V91" s="2" t="s">
        <v>107</v>
      </c>
      <c r="W91" s="3"/>
      <c r="X91" s="3"/>
      <c r="Y91" s="2" t="s">
        <v>117</v>
      </c>
      <c r="Z91" s="3"/>
      <c r="AA91" s="3"/>
      <c r="AB91" s="2" t="s">
        <v>154</v>
      </c>
      <c r="AC91" s="2" t="s">
        <v>154</v>
      </c>
      <c r="AD91" s="2" t="s">
        <v>118</v>
      </c>
      <c r="AE91" s="3"/>
      <c r="AF91" s="3"/>
      <c r="AG91" s="4" t="s">
        <v>115</v>
      </c>
      <c r="AH91" s="2" t="s">
        <v>103</v>
      </c>
      <c r="AI91" s="3"/>
      <c r="AJ91" s="4" t="s">
        <v>211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2" t="s">
        <v>116</v>
      </c>
      <c r="AW91" s="4" t="s">
        <v>216</v>
      </c>
      <c r="AX91" s="3"/>
      <c r="AY91" s="2" t="s">
        <v>112</v>
      </c>
      <c r="AZ91" s="3"/>
      <c r="BA91" s="3"/>
      <c r="BB91" s="3"/>
      <c r="BC91" s="3"/>
      <c r="BD91" s="2" t="s">
        <v>111</v>
      </c>
      <c r="BE91" s="2" t="s">
        <v>109</v>
      </c>
      <c r="BF91" s="2" t="s">
        <v>121</v>
      </c>
      <c r="BG91" s="2" t="s">
        <v>171</v>
      </c>
      <c r="BH91" s="3"/>
      <c r="BI91" s="3"/>
      <c r="BJ91" s="2" t="s">
        <v>116</v>
      </c>
      <c r="BK91" s="2" t="s">
        <v>108</v>
      </c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4" t="s">
        <v>103</v>
      </c>
      <c r="CD91" s="4" t="s">
        <v>105</v>
      </c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2" t="s">
        <v>126</v>
      </c>
      <c r="CW91" s="3"/>
      <c r="CX91" s="2" t="s">
        <v>141</v>
      </c>
      <c r="CY91" s="2" t="s">
        <v>146</v>
      </c>
    </row>
    <row r="92" spans="1:103" ht="15.75" customHeight="1" x14ac:dyDescent="0.2">
      <c r="A92" s="2" t="s">
        <v>103</v>
      </c>
      <c r="B92" s="2" t="s">
        <v>105</v>
      </c>
      <c r="C92" s="2" t="s">
        <v>312</v>
      </c>
      <c r="D92" s="3"/>
      <c r="E92" s="2" t="s">
        <v>103</v>
      </c>
      <c r="F92" s="3"/>
      <c r="G92" s="3"/>
      <c r="H92" s="2" t="s">
        <v>154</v>
      </c>
      <c r="I92" s="2" t="s">
        <v>108</v>
      </c>
      <c r="J92" s="2" t="s">
        <v>110</v>
      </c>
      <c r="K92" s="3"/>
      <c r="L92" s="2" t="s">
        <v>147</v>
      </c>
      <c r="M92" s="2" t="s">
        <v>109</v>
      </c>
      <c r="N92" s="2" t="s">
        <v>135</v>
      </c>
      <c r="O92" s="3"/>
      <c r="P92" s="3"/>
      <c r="Q92" s="3"/>
      <c r="R92" s="3"/>
      <c r="S92" s="2" t="s">
        <v>131</v>
      </c>
      <c r="T92" s="2" t="s">
        <v>118</v>
      </c>
      <c r="U92" s="3"/>
      <c r="V92" s="2" t="s">
        <v>118</v>
      </c>
      <c r="W92" s="3"/>
      <c r="X92" s="3"/>
      <c r="Y92" s="2" t="s">
        <v>117</v>
      </c>
      <c r="Z92" s="3"/>
      <c r="AA92" s="3"/>
      <c r="AB92" s="2" t="s">
        <v>121</v>
      </c>
      <c r="AC92" s="2" t="s">
        <v>139</v>
      </c>
      <c r="AD92" s="2" t="s">
        <v>121</v>
      </c>
      <c r="AE92" s="3"/>
      <c r="AF92" s="3"/>
      <c r="AG92" s="3"/>
      <c r="AH92" s="2" t="s">
        <v>116</v>
      </c>
      <c r="AI92" s="3"/>
      <c r="AJ92" s="2" t="s">
        <v>131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2" t="s">
        <v>103</v>
      </c>
      <c r="AW92" s="2" t="s">
        <v>108</v>
      </c>
      <c r="AX92" s="3"/>
      <c r="AY92" s="2" t="s">
        <v>112</v>
      </c>
      <c r="AZ92" s="2" t="s">
        <v>116</v>
      </c>
      <c r="BA92" s="2" t="s">
        <v>104</v>
      </c>
      <c r="BB92" s="3"/>
      <c r="BC92" s="3"/>
      <c r="BD92" s="2" t="s">
        <v>117</v>
      </c>
      <c r="BE92" s="2" t="s">
        <v>126</v>
      </c>
      <c r="BF92" s="3"/>
      <c r="BG92" s="3"/>
      <c r="BH92" s="3"/>
      <c r="BI92" s="3"/>
      <c r="BJ92" s="4">
        <f>1 +(1/2)</f>
        <v>1.5</v>
      </c>
      <c r="BK92" s="2" t="s">
        <v>170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2" t="s">
        <v>116</v>
      </c>
      <c r="CD92" s="2" t="s">
        <v>107</v>
      </c>
      <c r="CE92" s="3"/>
      <c r="CF92" s="3"/>
      <c r="CG92" s="3"/>
      <c r="CH92" s="3"/>
      <c r="CI92" s="2">
        <f>1/2</f>
        <v>0.5</v>
      </c>
      <c r="CJ92" s="2" t="s">
        <v>139</v>
      </c>
      <c r="CK92" s="2" t="s">
        <v>104</v>
      </c>
      <c r="CL92" s="3"/>
      <c r="CM92" s="3"/>
      <c r="CN92" s="3"/>
      <c r="CO92" s="2" t="s">
        <v>121</v>
      </c>
      <c r="CP92" s="3"/>
      <c r="CQ92" s="3"/>
      <c r="CR92" s="3"/>
      <c r="CS92" s="3"/>
      <c r="CT92" s="3"/>
      <c r="CU92" s="3"/>
      <c r="CV92" s="3"/>
      <c r="CW92" s="3"/>
      <c r="CX92" s="2" t="s">
        <v>105</v>
      </c>
      <c r="CY92" s="2" t="s">
        <v>108</v>
      </c>
    </row>
    <row r="93" spans="1:103" ht="15.75" customHeight="1" x14ac:dyDescent="0.2">
      <c r="A93" s="2" t="s">
        <v>116</v>
      </c>
      <c r="B93" s="2" t="s">
        <v>105</v>
      </c>
      <c r="C93" s="2" t="s">
        <v>312</v>
      </c>
      <c r="D93" s="3"/>
      <c r="E93" s="2" t="s">
        <v>103</v>
      </c>
      <c r="F93" s="3"/>
      <c r="G93" s="3"/>
      <c r="H93" s="2" t="s">
        <v>111</v>
      </c>
      <c r="I93" s="3"/>
      <c r="J93" s="2" t="s">
        <v>116</v>
      </c>
      <c r="K93" s="3"/>
      <c r="L93" s="2" t="s">
        <v>135</v>
      </c>
      <c r="M93" s="2" t="s">
        <v>105</v>
      </c>
      <c r="N93" s="2" t="s">
        <v>126</v>
      </c>
      <c r="O93" s="3"/>
      <c r="P93" s="3"/>
      <c r="Q93" s="3"/>
      <c r="R93" s="3"/>
      <c r="S93" s="2" t="s">
        <v>143</v>
      </c>
      <c r="T93" s="3"/>
      <c r="U93" s="3"/>
      <c r="V93" s="3"/>
      <c r="W93" s="3"/>
      <c r="X93" s="3"/>
      <c r="Y93" s="3"/>
      <c r="Z93" s="3"/>
      <c r="AA93" s="3"/>
      <c r="AB93" s="2" t="s">
        <v>103</v>
      </c>
      <c r="AC93" s="3"/>
      <c r="AD93" s="2" t="s">
        <v>103</v>
      </c>
      <c r="AE93" s="3"/>
      <c r="AF93" s="2" t="s">
        <v>103</v>
      </c>
      <c r="AG93" s="3"/>
      <c r="AH93" s="3"/>
      <c r="AI93" s="3"/>
      <c r="AJ93" s="2" t="s">
        <v>109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2" t="s">
        <v>105</v>
      </c>
      <c r="AX93" s="3"/>
      <c r="AY93" s="2" t="s">
        <v>126</v>
      </c>
      <c r="AZ93" s="3"/>
      <c r="BA93" s="3"/>
      <c r="BB93" s="3"/>
      <c r="BC93" s="3"/>
      <c r="BD93" s="2" t="s">
        <v>116</v>
      </c>
      <c r="BE93" s="4" t="s">
        <v>226</v>
      </c>
      <c r="BF93" s="3"/>
      <c r="BG93" s="3"/>
      <c r="BH93" s="2" t="s">
        <v>103</v>
      </c>
      <c r="BI93" s="2" t="s">
        <v>115</v>
      </c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2" t="s">
        <v>116</v>
      </c>
      <c r="CD93" s="2" t="s">
        <v>126</v>
      </c>
      <c r="CE93" s="3"/>
      <c r="CF93" s="3"/>
      <c r="CG93" s="3"/>
      <c r="CH93" s="3"/>
      <c r="CI93" s="2" t="s">
        <v>103</v>
      </c>
      <c r="CJ93" s="2" t="s">
        <v>141</v>
      </c>
      <c r="CK93" s="2" t="s">
        <v>107</v>
      </c>
      <c r="CL93" s="3"/>
      <c r="CM93" s="3"/>
      <c r="CN93" s="3"/>
      <c r="CO93" s="2" t="s">
        <v>115</v>
      </c>
      <c r="CP93" s="3"/>
      <c r="CQ93" s="3"/>
      <c r="CR93" s="3"/>
      <c r="CS93" s="3"/>
      <c r="CT93" s="3"/>
      <c r="CU93" s="3"/>
      <c r="CV93" s="3"/>
      <c r="CW93" s="3"/>
      <c r="CX93" s="3"/>
      <c r="CY93" s="3"/>
    </row>
    <row r="94" spans="1:103" ht="15.75" customHeight="1" x14ac:dyDescent="0.2">
      <c r="A94" s="2" t="s">
        <v>117</v>
      </c>
      <c r="B94" s="2" t="s">
        <v>105</v>
      </c>
      <c r="C94" s="2" t="s">
        <v>312</v>
      </c>
      <c r="D94" s="3"/>
      <c r="E94" s="2" t="s">
        <v>103</v>
      </c>
      <c r="F94" s="3"/>
      <c r="G94" s="3"/>
      <c r="H94" s="2" t="s">
        <v>139</v>
      </c>
      <c r="I94" s="2" t="s">
        <v>120</v>
      </c>
      <c r="J94" s="2" t="s">
        <v>105</v>
      </c>
      <c r="K94" s="2" t="s">
        <v>107</v>
      </c>
      <c r="L94" s="2" t="s">
        <v>207</v>
      </c>
      <c r="M94" s="2" t="s">
        <v>109</v>
      </c>
      <c r="N94" s="2" t="s">
        <v>135</v>
      </c>
      <c r="O94" s="2" t="s">
        <v>105</v>
      </c>
      <c r="P94" s="3"/>
      <c r="Q94" s="2" t="s">
        <v>126</v>
      </c>
      <c r="R94" s="2" t="s">
        <v>105</v>
      </c>
      <c r="S94" s="2" t="s">
        <v>135</v>
      </c>
      <c r="T94" s="2" t="s">
        <v>107</v>
      </c>
      <c r="U94" s="3"/>
      <c r="V94" s="2" t="s">
        <v>107</v>
      </c>
      <c r="W94" s="3"/>
      <c r="X94" s="3"/>
      <c r="Y94" s="2" t="s">
        <v>103</v>
      </c>
      <c r="Z94" s="3"/>
      <c r="AA94" s="3"/>
      <c r="AB94" s="2" t="s">
        <v>118</v>
      </c>
      <c r="AC94" s="2" t="s">
        <v>121</v>
      </c>
      <c r="AD94" s="2" t="s">
        <v>118</v>
      </c>
      <c r="AE94" s="3"/>
      <c r="AF94" s="2" t="s">
        <v>117</v>
      </c>
      <c r="AG94" s="2" t="s">
        <v>116</v>
      </c>
      <c r="AH94" s="3"/>
      <c r="AI94" s="3"/>
      <c r="AJ94" s="2" t="s">
        <v>147</v>
      </c>
      <c r="AK94" s="3"/>
      <c r="AL94" s="2" t="s">
        <v>154</v>
      </c>
      <c r="AM94" s="2" t="s">
        <v>121</v>
      </c>
      <c r="AN94" s="3"/>
      <c r="AO94" s="3"/>
      <c r="AP94" s="3"/>
      <c r="AQ94" s="3"/>
      <c r="AR94" s="3"/>
      <c r="AS94" s="3"/>
      <c r="AT94" s="2" t="s">
        <v>111</v>
      </c>
      <c r="AU94" s="2" t="s">
        <v>108</v>
      </c>
      <c r="AV94" s="3"/>
      <c r="AW94" s="2" t="s">
        <v>139</v>
      </c>
      <c r="AX94" s="3"/>
      <c r="AY94" s="2" t="s">
        <v>109</v>
      </c>
      <c r="AZ94" s="2" t="s">
        <v>117</v>
      </c>
      <c r="BA94" s="2" t="s">
        <v>161</v>
      </c>
      <c r="BB94" s="2" t="s">
        <v>116</v>
      </c>
      <c r="BC94" s="2" t="s">
        <v>113</v>
      </c>
      <c r="BD94" s="2" t="s">
        <v>117</v>
      </c>
      <c r="BE94" s="2" t="s">
        <v>109</v>
      </c>
      <c r="BF94" s="2" t="s">
        <v>117</v>
      </c>
      <c r="BG94" s="2" t="s">
        <v>126</v>
      </c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2" t="s">
        <v>103</v>
      </c>
      <c r="CD94" s="2" t="s">
        <v>216</v>
      </c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2" t="s">
        <v>226</v>
      </c>
      <c r="CP94" s="3"/>
      <c r="CQ94" s="3"/>
      <c r="CR94" s="3"/>
      <c r="CS94" s="3"/>
      <c r="CT94" s="3"/>
      <c r="CU94" s="3"/>
      <c r="CV94" s="3"/>
      <c r="CW94" s="3"/>
      <c r="CX94" s="2" t="s">
        <v>105</v>
      </c>
      <c r="CY94" s="2" t="s">
        <v>108</v>
      </c>
    </row>
    <row r="95" spans="1:103" ht="15.75" customHeight="1" x14ac:dyDescent="0.2">
      <c r="A95" s="2" t="s">
        <v>111</v>
      </c>
      <c r="B95" s="2" t="s">
        <v>105</v>
      </c>
      <c r="C95" s="2" t="s">
        <v>312</v>
      </c>
      <c r="D95" s="3"/>
      <c r="E95" s="2" t="s">
        <v>103</v>
      </c>
      <c r="F95" s="3"/>
      <c r="G95" s="3"/>
      <c r="H95" s="2" t="s">
        <v>107</v>
      </c>
      <c r="I95" s="2" t="s">
        <v>130</v>
      </c>
      <c r="J95" s="2" t="s">
        <v>107</v>
      </c>
      <c r="K95" s="2" t="s">
        <v>130</v>
      </c>
      <c r="L95" s="2" t="s">
        <v>232</v>
      </c>
      <c r="M95" s="2" t="s">
        <v>135</v>
      </c>
      <c r="N95" s="2" t="s">
        <v>183</v>
      </c>
      <c r="O95" s="2" t="s">
        <v>108</v>
      </c>
      <c r="P95" s="3"/>
      <c r="Q95" s="2" t="s">
        <v>186</v>
      </c>
      <c r="R95" s="2" t="s">
        <v>109</v>
      </c>
      <c r="S95" s="2" t="s">
        <v>183</v>
      </c>
      <c r="T95" s="2" t="s">
        <v>143</v>
      </c>
      <c r="U95" s="3"/>
      <c r="V95" s="2" t="s">
        <v>109</v>
      </c>
      <c r="W95" s="3"/>
      <c r="X95" s="3"/>
      <c r="Y95" s="2" t="s">
        <v>121</v>
      </c>
      <c r="Z95" s="3"/>
      <c r="AA95" s="3"/>
      <c r="AB95" s="2" t="s">
        <v>166</v>
      </c>
      <c r="AC95" s="2" t="s">
        <v>166</v>
      </c>
      <c r="AD95" s="2" t="s">
        <v>166</v>
      </c>
      <c r="AE95" s="3"/>
      <c r="AF95" s="2" t="s">
        <v>111</v>
      </c>
      <c r="AG95" s="2" t="s">
        <v>121</v>
      </c>
      <c r="AH95" s="3"/>
      <c r="AI95" s="3"/>
      <c r="AJ95" s="2" t="s">
        <v>235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2" t="s">
        <v>139</v>
      </c>
      <c r="AW95" s="2" t="s">
        <v>108</v>
      </c>
      <c r="AX95" s="3"/>
      <c r="AY95" s="2" t="s">
        <v>130</v>
      </c>
      <c r="AZ95" s="3"/>
      <c r="BA95" s="3"/>
      <c r="BB95" s="2" t="s">
        <v>117</v>
      </c>
      <c r="BC95" s="2" t="s">
        <v>109</v>
      </c>
      <c r="BD95" s="2" t="s">
        <v>154</v>
      </c>
      <c r="BE95" s="2" t="s">
        <v>130</v>
      </c>
      <c r="BF95" s="2" t="s">
        <v>139</v>
      </c>
      <c r="BG95" s="2" t="s">
        <v>129</v>
      </c>
      <c r="BH95" s="3"/>
      <c r="BI95" s="3"/>
      <c r="BJ95" s="2" t="s">
        <v>116</v>
      </c>
      <c r="BK95" s="2" t="s">
        <v>104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2" t="s">
        <v>103</v>
      </c>
      <c r="CD95" s="2" t="s">
        <v>120</v>
      </c>
      <c r="CE95" s="3"/>
      <c r="CF95" s="3"/>
      <c r="CG95" s="3"/>
      <c r="CH95" s="3"/>
      <c r="CI95" s="2" t="s">
        <v>117</v>
      </c>
      <c r="CJ95" s="2" t="s">
        <v>109</v>
      </c>
      <c r="CK95" s="2" t="s">
        <v>131</v>
      </c>
      <c r="CL95" s="3"/>
      <c r="CM95" s="3"/>
      <c r="CN95" s="3"/>
      <c r="CO95" s="2" t="s">
        <v>107</v>
      </c>
      <c r="CP95" s="3"/>
      <c r="CQ95" s="3"/>
      <c r="CR95" s="3"/>
      <c r="CS95" s="3"/>
      <c r="CT95" s="3"/>
      <c r="CU95" s="3"/>
      <c r="CV95" s="2" t="s">
        <v>109</v>
      </c>
      <c r="CW95" s="3"/>
      <c r="CX95" s="2" t="s">
        <v>104</v>
      </c>
      <c r="CY95" s="2" t="s">
        <v>123</v>
      </c>
    </row>
    <row r="96" spans="1:103" ht="15.75" customHeight="1" x14ac:dyDescent="0.2">
      <c r="A96" s="2" t="s">
        <v>121</v>
      </c>
      <c r="B96" s="2" t="s">
        <v>105</v>
      </c>
      <c r="C96" s="2" t="s">
        <v>312</v>
      </c>
      <c r="D96" s="3"/>
      <c r="E96" s="2" t="s">
        <v>103</v>
      </c>
      <c r="F96" s="3"/>
      <c r="G96" s="3"/>
      <c r="H96" s="2" t="s">
        <v>137</v>
      </c>
      <c r="I96" s="2" t="s">
        <v>126</v>
      </c>
      <c r="J96" s="2" t="s">
        <v>139</v>
      </c>
      <c r="K96" s="3"/>
      <c r="L96" s="2" t="s">
        <v>128</v>
      </c>
      <c r="M96" s="2" t="s">
        <v>109</v>
      </c>
      <c r="N96" s="2" t="s">
        <v>130</v>
      </c>
      <c r="O96" s="2" t="s">
        <v>105</v>
      </c>
      <c r="P96" s="3"/>
      <c r="Q96" s="3"/>
      <c r="R96" s="3"/>
      <c r="S96" s="2" t="s">
        <v>129</v>
      </c>
      <c r="T96" s="2" t="s">
        <v>110</v>
      </c>
      <c r="U96" s="3"/>
      <c r="V96" s="2" t="s">
        <v>110</v>
      </c>
      <c r="W96" s="3"/>
      <c r="X96" s="3"/>
      <c r="Y96" s="2" t="s">
        <v>103</v>
      </c>
      <c r="Z96" s="3"/>
      <c r="AA96" s="3"/>
      <c r="AB96" s="2" t="s">
        <v>116</v>
      </c>
      <c r="AC96" s="3"/>
      <c r="AD96" s="2" t="s">
        <v>116</v>
      </c>
      <c r="AE96" s="3"/>
      <c r="AF96" s="2" t="s">
        <v>116</v>
      </c>
      <c r="AG96" s="3"/>
      <c r="AH96" s="2" t="s">
        <v>103</v>
      </c>
      <c r="AI96" s="3"/>
      <c r="AJ96" s="2" t="s">
        <v>145</v>
      </c>
      <c r="AK96" s="3"/>
      <c r="AL96" s="2" t="s">
        <v>115</v>
      </c>
      <c r="AM96" s="3"/>
      <c r="AN96" s="3"/>
      <c r="AO96" s="3"/>
      <c r="AP96" s="3"/>
      <c r="AQ96" s="3"/>
      <c r="AR96" s="3"/>
      <c r="AS96" s="3"/>
      <c r="AT96" s="2" t="s">
        <v>115</v>
      </c>
      <c r="AU96" s="2" t="s">
        <v>107</v>
      </c>
      <c r="AV96" s="2" t="s">
        <v>103</v>
      </c>
      <c r="AW96" s="2" t="s">
        <v>139</v>
      </c>
      <c r="AX96" s="3"/>
      <c r="AY96" s="2" t="s">
        <v>109</v>
      </c>
      <c r="AZ96" s="3"/>
      <c r="BA96" s="3"/>
      <c r="BB96" s="3"/>
      <c r="BC96" s="3"/>
      <c r="BD96" s="2" t="s">
        <v>103</v>
      </c>
      <c r="BE96" s="2" t="s">
        <v>113</v>
      </c>
      <c r="BF96" s="3"/>
      <c r="BG96" s="3"/>
      <c r="BH96" s="3"/>
      <c r="BI96" s="3"/>
      <c r="BJ96" s="3"/>
      <c r="BK96" s="3"/>
      <c r="BL96" s="2" t="s">
        <v>116</v>
      </c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2" t="s">
        <v>103</v>
      </c>
      <c r="CD96" s="2" t="s">
        <v>123</v>
      </c>
      <c r="CE96" s="3"/>
      <c r="CF96" s="3"/>
      <c r="CG96" s="3"/>
      <c r="CH96" s="3"/>
      <c r="CI96" s="2" t="s">
        <v>103</v>
      </c>
      <c r="CJ96" s="2" t="s">
        <v>113</v>
      </c>
      <c r="CK96" s="2" t="s">
        <v>109</v>
      </c>
      <c r="CL96" s="3"/>
      <c r="CM96" s="3"/>
      <c r="CN96" s="3"/>
      <c r="CO96" s="2" t="s">
        <v>105</v>
      </c>
      <c r="CP96" s="3"/>
      <c r="CQ96" s="3"/>
      <c r="CR96" s="3"/>
      <c r="CS96" s="3"/>
      <c r="CT96" s="3"/>
      <c r="CU96" s="3"/>
      <c r="CV96" s="3"/>
      <c r="CW96" s="3"/>
      <c r="CX96" s="2" t="s">
        <v>105</v>
      </c>
      <c r="CY96" s="2" t="s">
        <v>120</v>
      </c>
    </row>
    <row r="97" spans="1:103" ht="15.75" customHeight="1" x14ac:dyDescent="0.2">
      <c r="A97" s="2" t="s">
        <v>115</v>
      </c>
      <c r="B97" s="2" t="s">
        <v>105</v>
      </c>
      <c r="C97" s="2" t="s">
        <v>312</v>
      </c>
      <c r="D97" s="3"/>
      <c r="E97" s="2" t="s">
        <v>103</v>
      </c>
      <c r="F97" s="3"/>
      <c r="G97" s="3"/>
      <c r="H97" s="2" t="s">
        <v>113</v>
      </c>
      <c r="I97" s="2" t="s">
        <v>181</v>
      </c>
      <c r="J97" s="2" t="s">
        <v>113</v>
      </c>
      <c r="K97" s="3"/>
      <c r="L97" s="2" t="s">
        <v>133</v>
      </c>
      <c r="M97" s="2" t="s">
        <v>130</v>
      </c>
      <c r="N97" s="2" t="s">
        <v>106</v>
      </c>
      <c r="O97" s="3"/>
      <c r="P97" s="3"/>
      <c r="Q97" s="2" t="s">
        <v>112</v>
      </c>
      <c r="R97" s="2" t="s">
        <v>126</v>
      </c>
      <c r="S97" s="2" t="s">
        <v>106</v>
      </c>
      <c r="T97" s="2" t="s">
        <v>136</v>
      </c>
      <c r="U97" s="3"/>
      <c r="V97" s="2" t="s">
        <v>126</v>
      </c>
      <c r="W97" s="3"/>
      <c r="X97" s="3"/>
      <c r="Y97" s="2" t="s">
        <v>111</v>
      </c>
      <c r="Z97" s="3"/>
      <c r="AA97" s="3"/>
      <c r="AB97" s="2" t="s">
        <v>196</v>
      </c>
      <c r="AC97" s="2" t="s">
        <v>137</v>
      </c>
      <c r="AD97" s="2" t="s">
        <v>105</v>
      </c>
      <c r="AE97" s="3"/>
      <c r="AF97" s="2" t="s">
        <v>105</v>
      </c>
      <c r="AG97" s="2" t="s">
        <v>121</v>
      </c>
      <c r="AH97" s="3"/>
      <c r="AI97" s="3"/>
      <c r="AJ97" s="2" t="s">
        <v>125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2" t="s">
        <v>111</v>
      </c>
      <c r="AW97" s="2" t="s">
        <v>113</v>
      </c>
      <c r="AX97" s="3"/>
      <c r="AY97" s="2" t="s">
        <v>130</v>
      </c>
      <c r="AZ97" s="3"/>
      <c r="BA97" s="3"/>
      <c r="BB97" s="2" t="s">
        <v>116</v>
      </c>
      <c r="BC97" s="3"/>
      <c r="BD97" s="3"/>
      <c r="BE97" s="3"/>
      <c r="BF97" s="2" t="s">
        <v>196</v>
      </c>
      <c r="BG97" s="2" t="s">
        <v>145</v>
      </c>
      <c r="BH97" s="3"/>
      <c r="BI97" s="3"/>
      <c r="BJ97" s="2" t="s">
        <v>116</v>
      </c>
      <c r="BK97" s="2" t="s">
        <v>212</v>
      </c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spans="1:103" ht="15.75" customHeight="1" x14ac:dyDescent="0.2">
      <c r="A98" s="2" t="s">
        <v>137</v>
      </c>
      <c r="B98" s="2" t="s">
        <v>105</v>
      </c>
      <c r="C98" s="2" t="s">
        <v>312</v>
      </c>
      <c r="D98" s="3"/>
      <c r="E98" s="2" t="s">
        <v>103</v>
      </c>
      <c r="F98" s="3"/>
      <c r="G98" s="3"/>
      <c r="H98" s="2" t="s">
        <v>105</v>
      </c>
      <c r="I98" s="2" t="s">
        <v>116</v>
      </c>
      <c r="J98" s="3"/>
      <c r="K98" s="3"/>
      <c r="L98" s="2" t="s">
        <v>135</v>
      </c>
      <c r="M98" s="2" t="s">
        <v>108</v>
      </c>
      <c r="N98" s="2" t="s">
        <v>109</v>
      </c>
      <c r="O98" s="2" t="s">
        <v>108</v>
      </c>
      <c r="P98" s="3"/>
      <c r="Q98" s="3"/>
      <c r="R98" s="3"/>
      <c r="S98" s="2" t="s">
        <v>220</v>
      </c>
      <c r="T98" s="3"/>
      <c r="U98" s="3"/>
      <c r="V98" s="3"/>
      <c r="W98" s="3"/>
      <c r="X98" s="3"/>
      <c r="Y98" s="3"/>
      <c r="Z98" s="3"/>
      <c r="AA98" s="3"/>
      <c r="AB98" s="2" t="s">
        <v>117</v>
      </c>
      <c r="AC98" s="2" t="s">
        <v>103</v>
      </c>
      <c r="AD98" s="2" t="s">
        <v>116</v>
      </c>
      <c r="AE98" s="3"/>
      <c r="AF98" s="2" t="s">
        <v>103</v>
      </c>
      <c r="AG98" s="3"/>
      <c r="AH98" s="3"/>
      <c r="AI98" s="3"/>
      <c r="AJ98" s="2" t="s">
        <v>130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2" t="s">
        <v>116</v>
      </c>
      <c r="AW98" s="2" t="s">
        <v>111</v>
      </c>
      <c r="AX98" s="3"/>
      <c r="AY98" s="4" t="s">
        <v>108</v>
      </c>
      <c r="AZ98" s="3"/>
      <c r="BA98" s="3"/>
      <c r="BB98" s="2" t="s">
        <v>117</v>
      </c>
      <c r="BC98" s="2" t="s">
        <v>107</v>
      </c>
      <c r="BD98" s="2" t="s">
        <v>117</v>
      </c>
      <c r="BE98" s="2" t="s">
        <v>126</v>
      </c>
      <c r="BF98" s="3"/>
      <c r="BG98" s="3"/>
      <c r="BH98" s="3"/>
      <c r="BI98" s="3"/>
      <c r="BJ98" s="3"/>
      <c r="BK98" s="3"/>
      <c r="BL98" s="3"/>
      <c r="BM98" s="2" t="s">
        <v>113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 t="s">
        <v>116</v>
      </c>
      <c r="CD98" s="2" t="s">
        <v>109</v>
      </c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spans="1:103" ht="15.75" customHeight="1" x14ac:dyDescent="0.2">
      <c r="A99" s="2" t="s">
        <v>118</v>
      </c>
      <c r="B99" s="2" t="s">
        <v>105</v>
      </c>
      <c r="C99" s="2" t="s">
        <v>312</v>
      </c>
      <c r="D99" s="3"/>
      <c r="E99" s="2" t="s">
        <v>103</v>
      </c>
      <c r="F99" s="3"/>
      <c r="G99" s="3"/>
      <c r="H99" s="2" t="s">
        <v>116</v>
      </c>
      <c r="I99" s="3"/>
      <c r="J99" s="3"/>
      <c r="K99" s="4" t="s">
        <v>170</v>
      </c>
      <c r="L99" s="2" t="s">
        <v>135</v>
      </c>
      <c r="M99" s="3"/>
      <c r="N99" s="2" t="s">
        <v>112</v>
      </c>
      <c r="O99" s="3"/>
      <c r="P99" s="3"/>
      <c r="Q99" s="3"/>
      <c r="R99" s="3"/>
      <c r="S99" s="2" t="s">
        <v>109</v>
      </c>
      <c r="T99" s="3"/>
      <c r="U99" s="3"/>
      <c r="V99" s="3"/>
      <c r="W99" s="3"/>
      <c r="X99" s="3"/>
      <c r="Y99" s="2" t="s">
        <v>103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2" t="s">
        <v>116</v>
      </c>
      <c r="AW99" s="2" t="s">
        <v>121</v>
      </c>
      <c r="AX99" s="3"/>
      <c r="AY99" s="4" t="s">
        <v>126</v>
      </c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2" t="s">
        <v>116</v>
      </c>
      <c r="CD99" s="2" t="s">
        <v>109</v>
      </c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2" t="s">
        <v>105</v>
      </c>
      <c r="CY99" s="2" t="s">
        <v>104</v>
      </c>
    </row>
    <row r="100" spans="1:103" ht="15.75" customHeight="1" x14ac:dyDescent="0.2">
      <c r="A100" s="2" t="s">
        <v>154</v>
      </c>
      <c r="B100" s="2" t="s">
        <v>105</v>
      </c>
      <c r="C100" s="2" t="s">
        <v>312</v>
      </c>
      <c r="D100" s="3"/>
      <c r="E100" s="2" t="s">
        <v>103</v>
      </c>
      <c r="F100" s="3"/>
      <c r="G100" s="3"/>
      <c r="H100" s="2" t="s">
        <v>105</v>
      </c>
      <c r="I100" s="2" t="s">
        <v>107</v>
      </c>
      <c r="J100" s="3"/>
      <c r="K100" s="3"/>
      <c r="L100" s="2" t="s">
        <v>125</v>
      </c>
      <c r="M100" s="2" t="s">
        <v>112</v>
      </c>
      <c r="N100" s="2" t="s">
        <v>131</v>
      </c>
      <c r="O100" s="2" t="s">
        <v>107</v>
      </c>
      <c r="P100" s="3"/>
      <c r="Q100" s="3"/>
      <c r="R100" s="3"/>
      <c r="S100" s="2" t="s">
        <v>135</v>
      </c>
      <c r="T100" s="2" t="s">
        <v>110</v>
      </c>
      <c r="U100" s="3"/>
      <c r="V100" s="2" t="s">
        <v>108</v>
      </c>
      <c r="W100" s="3"/>
      <c r="X100" s="3"/>
      <c r="Y100" s="2" t="s">
        <v>103</v>
      </c>
      <c r="Z100" s="3"/>
      <c r="AA100" s="2" t="s">
        <v>116</v>
      </c>
      <c r="AB100" s="2" t="s">
        <v>117</v>
      </c>
      <c r="AC100" s="2" t="s">
        <v>121</v>
      </c>
      <c r="AD100" s="2" t="s">
        <v>117</v>
      </c>
      <c r="AE100" s="3"/>
      <c r="AF100" s="2" t="s">
        <v>117</v>
      </c>
      <c r="AG100" s="2" t="s">
        <v>116</v>
      </c>
      <c r="AH100" s="3"/>
      <c r="AI100" s="3"/>
      <c r="AJ100" s="2" t="s">
        <v>135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2" t="s">
        <v>103</v>
      </c>
      <c r="AW100" s="3"/>
      <c r="AX100" s="3"/>
      <c r="AY100" s="4"/>
      <c r="AZ100" s="2" t="s">
        <v>103</v>
      </c>
      <c r="BA100" s="2" t="s">
        <v>110</v>
      </c>
      <c r="BB100" s="3"/>
      <c r="BC100" s="3"/>
      <c r="BD100" s="2" t="s">
        <v>117</v>
      </c>
      <c r="BE100" s="2" t="s">
        <v>126</v>
      </c>
      <c r="BF100" s="2" t="s">
        <v>137</v>
      </c>
      <c r="BG100" s="2" t="s">
        <v>145</v>
      </c>
      <c r="BH100" s="3"/>
      <c r="BI100" s="3"/>
      <c r="BJ100" s="2">
        <f>1/2</f>
        <v>0.5</v>
      </c>
      <c r="BK100" s="2" t="s">
        <v>116</v>
      </c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4">
        <f>1 +(1/2)</f>
        <v>1.5</v>
      </c>
      <c r="CD100" s="2" t="s">
        <v>130</v>
      </c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spans="1:103" ht="15.75" customHeight="1" x14ac:dyDescent="0.2">
      <c r="A101" s="2" t="s">
        <v>105</v>
      </c>
      <c r="B101" s="2" t="s">
        <v>105</v>
      </c>
      <c r="C101" s="2" t="s">
        <v>312</v>
      </c>
      <c r="D101" s="3"/>
      <c r="E101" s="2" t="s">
        <v>103</v>
      </c>
      <c r="F101" s="3"/>
      <c r="G101" s="3"/>
      <c r="H101" s="2" t="s">
        <v>118</v>
      </c>
      <c r="I101" s="2" t="s">
        <v>141</v>
      </c>
      <c r="J101" s="3"/>
      <c r="K101" s="3"/>
      <c r="L101" s="2" t="s">
        <v>155</v>
      </c>
      <c r="M101" s="2" t="s">
        <v>108</v>
      </c>
      <c r="N101" s="2" t="s">
        <v>130</v>
      </c>
      <c r="O101" s="3"/>
      <c r="P101" s="3"/>
      <c r="Q101" s="2" t="s">
        <v>105</v>
      </c>
      <c r="R101" s="2" t="s">
        <v>116</v>
      </c>
      <c r="S101" s="2" t="s">
        <v>175</v>
      </c>
      <c r="T101" s="2" t="s">
        <v>121</v>
      </c>
      <c r="U101" s="3"/>
      <c r="V101" s="2" t="s">
        <v>117</v>
      </c>
      <c r="W101" s="3"/>
      <c r="X101" s="3"/>
      <c r="Y101" s="2" t="s">
        <v>116</v>
      </c>
      <c r="Z101" s="3"/>
      <c r="AA101" s="3"/>
      <c r="AB101" s="2" t="s">
        <v>116</v>
      </c>
      <c r="AC101" s="3"/>
      <c r="AD101" s="2" t="s">
        <v>116</v>
      </c>
      <c r="AE101" s="3"/>
      <c r="AF101" s="2" t="s">
        <v>116</v>
      </c>
      <c r="AG101" s="3"/>
      <c r="AH101" s="3"/>
      <c r="AI101" s="3"/>
      <c r="AJ101" s="2" t="s">
        <v>145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2" t="s">
        <v>103</v>
      </c>
      <c r="AW101" s="2" t="s">
        <v>118</v>
      </c>
      <c r="AX101" s="3"/>
      <c r="AY101" s="4" t="s">
        <v>109</v>
      </c>
      <c r="AZ101" s="3"/>
      <c r="BA101" s="3"/>
      <c r="BB101" s="3"/>
      <c r="BC101" s="3"/>
      <c r="BD101" s="3"/>
      <c r="BE101" s="3"/>
      <c r="BF101" s="2" t="s">
        <v>111</v>
      </c>
      <c r="BG101" s="2" t="s">
        <v>130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2" t="s">
        <v>111</v>
      </c>
      <c r="CD101" s="2" t="s">
        <v>131</v>
      </c>
      <c r="CE101" s="3"/>
      <c r="CF101" s="3"/>
      <c r="CG101" s="3"/>
      <c r="CH101" s="3"/>
      <c r="CI101" s="2" t="s">
        <v>116</v>
      </c>
      <c r="CJ101" s="2" t="s">
        <v>109</v>
      </c>
      <c r="CK101" s="2" t="s">
        <v>105</v>
      </c>
      <c r="CL101" s="3"/>
      <c r="CM101" s="3"/>
      <c r="CN101" s="3"/>
      <c r="CO101" s="2" t="s">
        <v>121</v>
      </c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spans="1:103" ht="15.75" customHeight="1" x14ac:dyDescent="0.2">
      <c r="A102" s="2" t="s">
        <v>103</v>
      </c>
      <c r="B102" s="2" t="s">
        <v>151</v>
      </c>
      <c r="C102" s="2" t="s">
        <v>312</v>
      </c>
      <c r="D102" s="3"/>
      <c r="E102" s="2" t="s">
        <v>103</v>
      </c>
      <c r="F102" s="3"/>
      <c r="G102" s="3"/>
      <c r="H102" s="2" t="s">
        <v>117</v>
      </c>
      <c r="I102" s="3"/>
      <c r="J102" s="3"/>
      <c r="K102" s="2" t="s">
        <v>116</v>
      </c>
      <c r="L102" s="2" t="s">
        <v>145</v>
      </c>
      <c r="M102" s="3"/>
      <c r="N102" s="2" t="s">
        <v>104</v>
      </c>
      <c r="O102" s="3"/>
      <c r="P102" s="3"/>
      <c r="Q102" s="3"/>
      <c r="R102" s="3"/>
      <c r="S102" s="2" t="s">
        <v>126</v>
      </c>
      <c r="T102" s="3"/>
      <c r="U102" s="3"/>
      <c r="V102" s="3"/>
      <c r="W102" s="3"/>
      <c r="X102" s="3"/>
      <c r="Y102" s="3"/>
      <c r="Z102" s="3"/>
      <c r="AA102" s="3"/>
      <c r="AB102" s="2" t="s">
        <v>103</v>
      </c>
      <c r="AC102" s="3"/>
      <c r="AD102" s="2" t="s">
        <v>103</v>
      </c>
      <c r="AE102" s="3"/>
      <c r="AF102" s="2" t="s">
        <v>103</v>
      </c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2" t="s">
        <v>103</v>
      </c>
      <c r="AW102" s="2" t="s">
        <v>105</v>
      </c>
      <c r="AX102" s="3"/>
      <c r="AY102" s="2" t="s">
        <v>126</v>
      </c>
      <c r="AZ102" s="3"/>
      <c r="BA102" s="3"/>
      <c r="BB102" s="3"/>
      <c r="BC102" s="3"/>
      <c r="BD102" s="2" t="s">
        <v>116</v>
      </c>
      <c r="BE102" s="2" t="s">
        <v>113</v>
      </c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2" t="s">
        <v>103</v>
      </c>
      <c r="CD102" s="2" t="s">
        <v>107</v>
      </c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spans="1:103" ht="15.75" customHeight="1" x14ac:dyDescent="0.2">
      <c r="A103" s="2" t="s">
        <v>116</v>
      </c>
      <c r="B103" s="2" t="s">
        <v>151</v>
      </c>
      <c r="C103" s="2" t="s">
        <v>312</v>
      </c>
      <c r="D103" s="3"/>
      <c r="E103" s="2" t="s">
        <v>103</v>
      </c>
      <c r="F103" s="3"/>
      <c r="G103" s="3"/>
      <c r="H103" s="2" t="s">
        <v>111</v>
      </c>
      <c r="I103" s="3"/>
      <c r="J103" s="3"/>
      <c r="K103" s="2" t="s">
        <v>103</v>
      </c>
      <c r="L103" s="2" t="s">
        <v>135</v>
      </c>
      <c r="M103" s="2" t="s">
        <v>105</v>
      </c>
      <c r="N103" s="2" t="s">
        <v>126</v>
      </c>
      <c r="O103" s="3"/>
      <c r="P103" s="3"/>
      <c r="Q103" s="3"/>
      <c r="R103" s="3"/>
      <c r="S103" s="2" t="s">
        <v>109</v>
      </c>
      <c r="T103" s="3"/>
      <c r="U103" s="3"/>
      <c r="V103" s="3"/>
      <c r="W103" s="3"/>
      <c r="X103" s="3"/>
      <c r="Y103" s="3"/>
      <c r="Z103" s="3"/>
      <c r="AA103" s="3"/>
      <c r="AB103" s="2" t="s">
        <v>103</v>
      </c>
      <c r="AC103" s="3"/>
      <c r="AD103" s="2" t="s">
        <v>103</v>
      </c>
      <c r="AE103" s="3"/>
      <c r="AF103" s="2" t="s">
        <v>103</v>
      </c>
      <c r="AG103" s="3"/>
      <c r="AH103" s="3"/>
      <c r="AI103" s="3"/>
      <c r="AJ103" s="2" t="s">
        <v>112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2" t="s">
        <v>103</v>
      </c>
      <c r="AW103" s="3"/>
      <c r="AX103" s="3"/>
      <c r="AY103" s="3"/>
      <c r="AZ103" s="3"/>
      <c r="BA103" s="3"/>
      <c r="BB103" s="2" t="s">
        <v>116</v>
      </c>
      <c r="BC103" s="2" t="s">
        <v>113</v>
      </c>
      <c r="BD103" s="2" t="s">
        <v>103</v>
      </c>
      <c r="BE103" s="2" t="s">
        <v>104</v>
      </c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 t="s">
        <v>103</v>
      </c>
      <c r="CD103" s="2" t="s">
        <v>126</v>
      </c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spans="1:103" ht="15.75" customHeight="1" x14ac:dyDescent="0.2">
      <c r="A104" s="2" t="s">
        <v>117</v>
      </c>
      <c r="B104" s="2" t="s">
        <v>151</v>
      </c>
      <c r="C104" s="2" t="s">
        <v>312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spans="1:103" ht="15.75" customHeight="1" x14ac:dyDescent="0.2">
      <c r="A105" s="2" t="s">
        <v>111</v>
      </c>
      <c r="B105" s="2" t="s">
        <v>151</v>
      </c>
      <c r="C105" s="2" t="s">
        <v>312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spans="1:103" ht="15.75" customHeight="1" x14ac:dyDescent="0.2">
      <c r="A106" s="2" t="s">
        <v>121</v>
      </c>
      <c r="B106" s="2" t="s">
        <v>151</v>
      </c>
      <c r="C106" s="2" t="s">
        <v>312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spans="1:103" ht="15.75" customHeight="1" x14ac:dyDescent="0.2">
      <c r="A107" s="2" t="s">
        <v>115</v>
      </c>
      <c r="B107" s="2" t="s">
        <v>151</v>
      </c>
      <c r="C107" s="2" t="s">
        <v>312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spans="1:103" ht="15.75" customHeight="1" x14ac:dyDescent="0.2">
      <c r="A108" s="2" t="s">
        <v>137</v>
      </c>
      <c r="B108" s="2" t="s">
        <v>151</v>
      </c>
      <c r="C108" s="2" t="s">
        <v>312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spans="1:103" ht="15.75" customHeight="1" x14ac:dyDescent="0.2">
      <c r="A109" s="2" t="s">
        <v>118</v>
      </c>
      <c r="B109" s="2" t="s">
        <v>151</v>
      </c>
      <c r="C109" s="2" t="s">
        <v>312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spans="1:103" ht="15.75" customHeight="1" x14ac:dyDescent="0.2">
      <c r="A110" s="2" t="s">
        <v>154</v>
      </c>
      <c r="B110" s="2" t="s">
        <v>151</v>
      </c>
      <c r="C110" s="2" t="s">
        <v>312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spans="1:103" ht="15.75" customHeight="1" x14ac:dyDescent="0.2">
      <c r="A111" s="2" t="s">
        <v>105</v>
      </c>
      <c r="B111" s="2" t="s">
        <v>151</v>
      </c>
      <c r="C111" s="2" t="s">
        <v>312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spans="1:103" ht="15.75" customHeight="1" x14ac:dyDescent="0.2">
      <c r="A112" s="2" t="s">
        <v>103</v>
      </c>
      <c r="B112" s="2" t="s">
        <v>139</v>
      </c>
      <c r="C112" s="2" t="s">
        <v>312</v>
      </c>
      <c r="D112" s="3"/>
      <c r="E112" s="3"/>
      <c r="F112" s="2" t="s">
        <v>103</v>
      </c>
      <c r="G112" s="3"/>
      <c r="H112" s="2" t="s">
        <v>105</v>
      </c>
      <c r="I112" s="2" t="s">
        <v>105</v>
      </c>
      <c r="J112" s="2" t="s">
        <v>105</v>
      </c>
      <c r="K112" s="3"/>
      <c r="L112" s="2" t="s">
        <v>147</v>
      </c>
      <c r="M112" s="2" t="s">
        <v>105</v>
      </c>
      <c r="N112" s="2" t="s">
        <v>130</v>
      </c>
      <c r="O112" s="3"/>
      <c r="P112" s="3"/>
      <c r="Q112" s="3"/>
      <c r="R112" s="3"/>
      <c r="S112" s="2" t="s">
        <v>145</v>
      </c>
      <c r="T112" s="3"/>
      <c r="U112" s="3"/>
      <c r="V112" s="3"/>
      <c r="W112" s="3"/>
      <c r="X112" s="3"/>
      <c r="Y112" s="2" t="s">
        <v>103</v>
      </c>
      <c r="Z112" s="3"/>
      <c r="AA112" s="3"/>
      <c r="AB112" s="2" t="s">
        <v>116</v>
      </c>
      <c r="AC112" s="2" t="s">
        <v>116</v>
      </c>
      <c r="AD112" s="2" t="s">
        <v>116</v>
      </c>
      <c r="AE112" s="3"/>
      <c r="AF112" s="3"/>
      <c r="AG112" s="3"/>
      <c r="AH112" s="3"/>
      <c r="AI112" s="3"/>
      <c r="AJ112" s="2" t="s">
        <v>130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2" t="s">
        <v>111</v>
      </c>
      <c r="AW112" s="2" t="s">
        <v>139</v>
      </c>
      <c r="AX112" s="3"/>
      <c r="AY112" s="2" t="s">
        <v>109</v>
      </c>
      <c r="AZ112" s="3"/>
      <c r="BA112" s="3"/>
      <c r="BB112" s="2" t="s">
        <v>116</v>
      </c>
      <c r="BC112" s="2" t="s">
        <v>113</v>
      </c>
      <c r="BD112" s="2" t="s">
        <v>116</v>
      </c>
      <c r="BE112" s="2" t="s">
        <v>113</v>
      </c>
      <c r="BF112" s="2" t="s">
        <v>121</v>
      </c>
      <c r="BG112" s="2" t="s">
        <v>120</v>
      </c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2" t="s">
        <v>103</v>
      </c>
      <c r="CD112" s="2" t="s">
        <v>126</v>
      </c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spans="1:103" ht="15.75" customHeight="1" x14ac:dyDescent="0.2">
      <c r="A113" s="2" t="s">
        <v>116</v>
      </c>
      <c r="B113" s="2" t="s">
        <v>139</v>
      </c>
      <c r="C113" s="2" t="s">
        <v>312</v>
      </c>
      <c r="D113" s="3"/>
      <c r="E113" s="3"/>
      <c r="F113" s="2" t="s">
        <v>103</v>
      </c>
      <c r="G113" s="3"/>
      <c r="H113" s="2" t="s">
        <v>196</v>
      </c>
      <c r="I113" s="2" t="s">
        <v>123</v>
      </c>
      <c r="J113" s="3"/>
      <c r="K113" s="2" t="s">
        <v>126</v>
      </c>
      <c r="L113" s="2" t="s">
        <v>153</v>
      </c>
      <c r="M113" s="2" t="s">
        <v>109</v>
      </c>
      <c r="N113" s="2" t="s">
        <v>131</v>
      </c>
      <c r="O113" s="2" t="s">
        <v>107</v>
      </c>
      <c r="P113" s="3"/>
      <c r="Q113" s="3"/>
      <c r="R113" s="3"/>
      <c r="S113" s="2" t="s">
        <v>135</v>
      </c>
      <c r="T113" s="2" t="s">
        <v>136</v>
      </c>
      <c r="U113" s="3"/>
      <c r="V113" s="2" t="s">
        <v>107</v>
      </c>
      <c r="W113" s="3"/>
      <c r="X113" s="3"/>
      <c r="Y113" s="2" t="s">
        <v>111</v>
      </c>
      <c r="Z113" s="3"/>
      <c r="AA113" s="3"/>
      <c r="AB113" s="2" t="s">
        <v>121</v>
      </c>
      <c r="AC113" s="2" t="s">
        <v>116</v>
      </c>
      <c r="AD113" s="2" t="s">
        <v>116</v>
      </c>
      <c r="AE113" s="2" t="s">
        <v>117</v>
      </c>
      <c r="AF113" s="2" t="s">
        <v>116</v>
      </c>
      <c r="AG113" s="3"/>
      <c r="AH113" s="3"/>
      <c r="AI113" s="3"/>
      <c r="AJ113" s="2" t="s">
        <v>145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2" t="s">
        <v>116</v>
      </c>
      <c r="AW113" s="2" t="s">
        <v>110</v>
      </c>
      <c r="AX113" s="3"/>
      <c r="AY113" s="2" t="s">
        <v>143</v>
      </c>
      <c r="AZ113" s="3"/>
      <c r="BA113" s="3"/>
      <c r="BB113" s="2" t="s">
        <v>117</v>
      </c>
      <c r="BC113" s="2" t="s">
        <v>126</v>
      </c>
      <c r="BD113" s="2" t="s">
        <v>116</v>
      </c>
      <c r="BE113" s="2" t="s">
        <v>113</v>
      </c>
      <c r="BF113" s="2" t="s">
        <v>154</v>
      </c>
      <c r="BG113" s="2" t="s">
        <v>130</v>
      </c>
      <c r="BH113" s="2" t="s">
        <v>103</v>
      </c>
      <c r="BI113" s="2" t="s">
        <v>110</v>
      </c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2" t="s">
        <v>103</v>
      </c>
      <c r="CD113" s="2" t="s">
        <v>126</v>
      </c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spans="1:103" ht="15.75" customHeight="1" x14ac:dyDescent="0.2">
      <c r="A114" s="2" t="s">
        <v>117</v>
      </c>
      <c r="B114" s="2" t="s">
        <v>139</v>
      </c>
      <c r="C114" s="2" t="s">
        <v>312</v>
      </c>
      <c r="D114" s="3"/>
      <c r="E114" s="2" t="s">
        <v>103</v>
      </c>
      <c r="F114" s="3"/>
      <c r="G114" s="3"/>
      <c r="H114" s="2" t="s">
        <v>121</v>
      </c>
      <c r="I114" s="2" t="s">
        <v>121</v>
      </c>
      <c r="J114" s="3"/>
      <c r="K114" s="3"/>
      <c r="L114" s="2" t="s">
        <v>119</v>
      </c>
      <c r="M114" s="2" t="s">
        <v>126</v>
      </c>
      <c r="N114" s="2" t="s">
        <v>145</v>
      </c>
      <c r="O114" s="3"/>
      <c r="P114" s="3"/>
      <c r="Q114" s="3"/>
      <c r="R114" s="3"/>
      <c r="S114" s="2" t="s">
        <v>143</v>
      </c>
      <c r="T114" s="2" t="s">
        <v>121</v>
      </c>
      <c r="U114" s="3"/>
      <c r="V114" s="2" t="s">
        <v>115</v>
      </c>
      <c r="W114" s="3"/>
      <c r="X114" s="3"/>
      <c r="Y114" s="2" t="s">
        <v>116</v>
      </c>
      <c r="Z114" s="3"/>
      <c r="AA114" s="3"/>
      <c r="AB114" s="2" t="s">
        <v>116</v>
      </c>
      <c r="AC114" s="2" t="s">
        <v>103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2" t="s">
        <v>116</v>
      </c>
      <c r="AW114" s="2" t="s">
        <v>105</v>
      </c>
      <c r="AX114" s="3"/>
      <c r="AY114" s="2" t="s">
        <v>109</v>
      </c>
      <c r="AZ114" s="2" t="s">
        <v>116</v>
      </c>
      <c r="BA114" s="2" t="s">
        <v>121</v>
      </c>
      <c r="BB114" s="3"/>
      <c r="BC114" s="3"/>
      <c r="BD114" s="3"/>
      <c r="BE114" s="3"/>
      <c r="BF114" s="3"/>
      <c r="BG114" s="3"/>
      <c r="BH114" s="3"/>
      <c r="BI114" s="3"/>
      <c r="BJ114" s="2" t="s">
        <v>117</v>
      </c>
      <c r="BK114" s="2" t="s">
        <v>205</v>
      </c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spans="1:103" ht="15.75" customHeight="1" x14ac:dyDescent="0.2">
      <c r="A115" s="2" t="s">
        <v>111</v>
      </c>
      <c r="B115" s="2" t="s">
        <v>139</v>
      </c>
      <c r="C115" s="2" t="s">
        <v>312</v>
      </c>
      <c r="D115" s="3"/>
      <c r="E115" s="2" t="s">
        <v>103</v>
      </c>
      <c r="F115" s="3"/>
      <c r="G115" s="3"/>
      <c r="H115" s="2" t="s">
        <v>118</v>
      </c>
      <c r="I115" s="2" t="s">
        <v>173</v>
      </c>
      <c r="J115" s="3"/>
      <c r="K115" s="3"/>
      <c r="L115" s="2" t="s">
        <v>128</v>
      </c>
      <c r="M115" s="2" t="s">
        <v>130</v>
      </c>
      <c r="N115" s="2" t="s">
        <v>236</v>
      </c>
      <c r="O115" s="3"/>
      <c r="P115" s="3"/>
      <c r="Q115" s="3"/>
      <c r="R115" s="3"/>
      <c r="S115" s="2" t="s">
        <v>131</v>
      </c>
      <c r="T115" s="2" t="s">
        <v>154</v>
      </c>
      <c r="U115" s="3"/>
      <c r="V115" s="2" t="s">
        <v>105</v>
      </c>
      <c r="W115" s="3"/>
      <c r="X115" s="3"/>
      <c r="Y115" s="2" t="s">
        <v>116</v>
      </c>
      <c r="Z115" s="3"/>
      <c r="AA115" s="3"/>
      <c r="AB115" s="2" t="s">
        <v>115</v>
      </c>
      <c r="AC115" s="2" t="s">
        <v>117</v>
      </c>
      <c r="AD115" s="2" t="s">
        <v>137</v>
      </c>
      <c r="AE115" s="3"/>
      <c r="AF115" s="2" t="s">
        <v>115</v>
      </c>
      <c r="AG115" s="2" t="s">
        <v>103</v>
      </c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2" t="s">
        <v>103</v>
      </c>
      <c r="AW115" s="2" t="s">
        <v>196</v>
      </c>
      <c r="AX115" s="3"/>
      <c r="AY115" s="2" t="s">
        <v>112</v>
      </c>
      <c r="AZ115" s="3"/>
      <c r="BA115" s="3"/>
      <c r="BB115" s="2" t="s">
        <v>116</v>
      </c>
      <c r="BC115" s="2" t="s">
        <v>108</v>
      </c>
      <c r="BD115" s="2" t="s">
        <v>116</v>
      </c>
      <c r="BE115" s="2" t="s">
        <v>126</v>
      </c>
      <c r="BF115" s="2" t="s">
        <v>117</v>
      </c>
      <c r="BG115" s="2" t="s">
        <v>208</v>
      </c>
      <c r="BH115" s="2" t="s">
        <v>103</v>
      </c>
      <c r="BI115" s="2" t="s">
        <v>166</v>
      </c>
      <c r="BJ115" s="3"/>
      <c r="BK115" s="3"/>
      <c r="BL115" s="3"/>
      <c r="BM115" s="2" t="s">
        <v>154</v>
      </c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2" t="s">
        <v>103</v>
      </c>
      <c r="CD115" s="2" t="s">
        <v>136</v>
      </c>
      <c r="CE115" s="3"/>
      <c r="CF115" s="3"/>
      <c r="CG115" s="3"/>
      <c r="CH115" s="3"/>
      <c r="CI115" s="2" t="s">
        <v>103</v>
      </c>
      <c r="CJ115" s="2" t="s">
        <v>108</v>
      </c>
      <c r="CK115" s="2" t="s">
        <v>120</v>
      </c>
      <c r="CL115" s="3"/>
      <c r="CM115" s="3"/>
      <c r="CN115" s="3"/>
      <c r="CO115" s="2" t="s">
        <v>104</v>
      </c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spans="1:103" ht="15.75" customHeight="1" x14ac:dyDescent="0.2">
      <c r="A116" s="2" t="s">
        <v>121</v>
      </c>
      <c r="B116" s="2" t="s">
        <v>139</v>
      </c>
      <c r="C116" s="2" t="s">
        <v>312</v>
      </c>
      <c r="D116" s="3"/>
      <c r="E116" s="2" t="s">
        <v>103</v>
      </c>
      <c r="F116" s="3"/>
      <c r="G116" s="3"/>
      <c r="H116" s="2" t="s">
        <v>110</v>
      </c>
      <c r="I116" s="2" t="s">
        <v>160</v>
      </c>
      <c r="J116" s="3"/>
      <c r="K116" s="3"/>
      <c r="L116" s="2" t="s">
        <v>144</v>
      </c>
      <c r="M116" s="2" t="s">
        <v>145</v>
      </c>
      <c r="N116" s="2" t="s">
        <v>176</v>
      </c>
      <c r="O116" s="2" t="s">
        <v>108</v>
      </c>
      <c r="P116" s="3"/>
      <c r="Q116" s="2" t="s">
        <v>123</v>
      </c>
      <c r="R116" s="2" t="s">
        <v>113</v>
      </c>
      <c r="S116" s="2" t="s">
        <v>134</v>
      </c>
      <c r="T116" s="2" t="s">
        <v>185</v>
      </c>
      <c r="U116" s="3"/>
      <c r="V116" s="2" t="s">
        <v>108</v>
      </c>
      <c r="W116" s="3"/>
      <c r="X116" s="3"/>
      <c r="Y116" s="2" t="s">
        <v>116</v>
      </c>
      <c r="Z116" s="3"/>
      <c r="AA116" s="3"/>
      <c r="AB116" s="2" t="s">
        <v>121</v>
      </c>
      <c r="AC116" s="2" t="s">
        <v>111</v>
      </c>
      <c r="AD116" s="2" t="s">
        <v>121</v>
      </c>
      <c r="AE116" s="3"/>
      <c r="AF116" s="3"/>
      <c r="AG116" s="2" t="s">
        <v>103</v>
      </c>
      <c r="AH116" s="3"/>
      <c r="AI116" s="3"/>
      <c r="AJ116" s="2" t="s">
        <v>106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2" t="s">
        <v>116</v>
      </c>
      <c r="AW116" s="2" t="s">
        <v>113</v>
      </c>
      <c r="AX116" s="3"/>
      <c r="AY116" s="2" t="s">
        <v>130</v>
      </c>
      <c r="AZ116" s="3"/>
      <c r="BA116" s="3"/>
      <c r="BB116" s="2" t="s">
        <v>117</v>
      </c>
      <c r="BC116" s="2" t="s">
        <v>108</v>
      </c>
      <c r="BD116" s="2" t="s">
        <v>116</v>
      </c>
      <c r="BE116" s="2" t="s">
        <v>123</v>
      </c>
      <c r="BF116" s="3"/>
      <c r="BG116" s="3"/>
      <c r="BH116" s="2" t="s">
        <v>117</v>
      </c>
      <c r="BI116" s="2" t="s">
        <v>108</v>
      </c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2" t="s">
        <v>103</v>
      </c>
      <c r="CD116" s="2" t="s">
        <v>123</v>
      </c>
      <c r="CE116" s="3"/>
      <c r="CF116" s="3"/>
      <c r="CG116" s="3"/>
      <c r="CH116" s="3"/>
      <c r="CI116" s="2" t="s">
        <v>117</v>
      </c>
      <c r="CJ116" s="2" t="s">
        <v>109</v>
      </c>
      <c r="CK116" s="2" t="s">
        <v>130</v>
      </c>
      <c r="CL116" s="3"/>
      <c r="CM116" s="3"/>
      <c r="CN116" s="3"/>
      <c r="CO116" s="2" t="s">
        <v>126</v>
      </c>
      <c r="CP116" s="3"/>
      <c r="CQ116" s="3"/>
      <c r="CR116" s="3"/>
      <c r="CS116" s="3"/>
      <c r="CT116" s="3"/>
      <c r="CU116" s="3"/>
      <c r="CV116" s="3"/>
      <c r="CW116" s="3"/>
      <c r="CX116" s="2" t="s">
        <v>105</v>
      </c>
      <c r="CY116" s="2" t="s">
        <v>104</v>
      </c>
    </row>
    <row r="117" spans="1:103" ht="15.75" customHeight="1" x14ac:dyDescent="0.2">
      <c r="A117" s="2" t="s">
        <v>115</v>
      </c>
      <c r="B117" s="2" t="s">
        <v>139</v>
      </c>
      <c r="C117" s="2" t="s">
        <v>312</v>
      </c>
      <c r="D117" s="3"/>
      <c r="E117" s="2" t="s">
        <v>103</v>
      </c>
      <c r="F117" s="3"/>
      <c r="G117" s="3"/>
      <c r="H117" s="2" t="s">
        <v>105</v>
      </c>
      <c r="I117" s="2" t="s">
        <v>130</v>
      </c>
      <c r="J117" s="2" t="s">
        <v>109</v>
      </c>
      <c r="K117" s="3"/>
      <c r="L117" s="2" t="s">
        <v>201</v>
      </c>
      <c r="M117" s="2" t="s">
        <v>131</v>
      </c>
      <c r="N117" s="2" t="s">
        <v>119</v>
      </c>
      <c r="O117" s="2" t="s">
        <v>108</v>
      </c>
      <c r="P117" s="3"/>
      <c r="Q117" s="2" t="s">
        <v>145</v>
      </c>
      <c r="R117" s="2" t="s">
        <v>109</v>
      </c>
      <c r="S117" s="2" t="s">
        <v>155</v>
      </c>
      <c r="T117" s="2" t="s">
        <v>109</v>
      </c>
      <c r="U117" s="3"/>
      <c r="V117" s="2" t="s">
        <v>109</v>
      </c>
      <c r="W117" s="3"/>
      <c r="X117" s="3"/>
      <c r="Y117" s="2" t="s">
        <v>121</v>
      </c>
      <c r="Z117" s="3"/>
      <c r="AA117" s="3"/>
      <c r="AB117" s="2" t="s">
        <v>196</v>
      </c>
      <c r="AC117" s="2" t="s">
        <v>104</v>
      </c>
      <c r="AD117" s="2" t="s">
        <v>196</v>
      </c>
      <c r="AE117" s="3"/>
      <c r="AF117" s="2" t="s">
        <v>121</v>
      </c>
      <c r="AG117" s="2" t="s">
        <v>117</v>
      </c>
      <c r="AH117" s="3"/>
      <c r="AI117" s="3"/>
      <c r="AJ117" s="2" t="s">
        <v>174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2" t="s">
        <v>121</v>
      </c>
      <c r="AW117" s="2" t="s">
        <v>196</v>
      </c>
      <c r="AX117" s="3"/>
      <c r="AY117" s="2" t="s">
        <v>130</v>
      </c>
      <c r="AZ117" s="3"/>
      <c r="BA117" s="3"/>
      <c r="BB117" s="2" t="s">
        <v>103</v>
      </c>
      <c r="BC117" s="2" t="s">
        <v>113</v>
      </c>
      <c r="BD117" s="2" t="s">
        <v>103</v>
      </c>
      <c r="BE117" s="2" t="s">
        <v>108</v>
      </c>
      <c r="BF117" s="2" t="s">
        <v>111</v>
      </c>
      <c r="BG117" s="2" t="s">
        <v>109</v>
      </c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2" t="s">
        <v>117</v>
      </c>
      <c r="CD117" s="2" t="s">
        <v>130</v>
      </c>
      <c r="CE117" s="3"/>
      <c r="CF117" s="3"/>
      <c r="CG117" s="3"/>
      <c r="CH117" s="3"/>
      <c r="CI117" s="2" t="s">
        <v>117</v>
      </c>
      <c r="CJ117" s="2" t="s">
        <v>130</v>
      </c>
      <c r="CK117" s="2" t="s">
        <v>145</v>
      </c>
      <c r="CL117" s="3"/>
      <c r="CM117" s="3"/>
      <c r="CN117" s="3"/>
      <c r="CO117" s="2" t="s">
        <v>112</v>
      </c>
      <c r="CP117" s="3"/>
      <c r="CQ117" s="3"/>
      <c r="CR117" s="3"/>
      <c r="CS117" s="3"/>
      <c r="CT117" s="3"/>
      <c r="CU117" s="3"/>
      <c r="CV117" s="3"/>
      <c r="CW117" s="3"/>
      <c r="CX117" s="2" t="s">
        <v>107</v>
      </c>
      <c r="CY117" s="2" t="s">
        <v>109</v>
      </c>
    </row>
    <row r="118" spans="1:103" ht="15.75" customHeight="1" x14ac:dyDescent="0.2">
      <c r="A118" s="2" t="s">
        <v>137</v>
      </c>
      <c r="B118" s="2" t="s">
        <v>139</v>
      </c>
      <c r="C118" s="2" t="s">
        <v>312</v>
      </c>
      <c r="D118" s="3"/>
      <c r="E118" s="2" t="s">
        <v>103</v>
      </c>
      <c r="F118" s="3"/>
      <c r="G118" s="3"/>
      <c r="H118" s="2" t="s">
        <v>111</v>
      </c>
      <c r="I118" s="2" t="s">
        <v>104</v>
      </c>
      <c r="J118" s="3"/>
      <c r="K118" s="3"/>
      <c r="L118" s="2" t="s">
        <v>128</v>
      </c>
      <c r="M118" s="3"/>
      <c r="N118" s="3"/>
      <c r="O118" s="3"/>
      <c r="P118" s="3"/>
      <c r="Q118" s="2" t="s">
        <v>108</v>
      </c>
      <c r="R118" s="2" t="s">
        <v>121</v>
      </c>
      <c r="S118" s="2" t="s">
        <v>145</v>
      </c>
      <c r="T118" s="2" t="s">
        <v>104</v>
      </c>
      <c r="U118" s="3"/>
      <c r="V118" s="2" t="s">
        <v>104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2" t="s">
        <v>116</v>
      </c>
      <c r="BK118" s="2" t="s">
        <v>104</v>
      </c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2" t="s">
        <v>116</v>
      </c>
      <c r="CD118" s="2" t="s">
        <v>112</v>
      </c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spans="1:103" ht="15.75" customHeight="1" x14ac:dyDescent="0.2">
      <c r="A119" s="2" t="s">
        <v>118</v>
      </c>
      <c r="B119" s="2" t="s">
        <v>139</v>
      </c>
      <c r="C119" s="2" t="s">
        <v>312</v>
      </c>
      <c r="D119" s="3"/>
      <c r="E119" s="2" t="s">
        <v>103</v>
      </c>
      <c r="F119" s="3"/>
      <c r="G119" s="3"/>
      <c r="H119" s="2" t="s">
        <v>116</v>
      </c>
      <c r="I119" s="2" t="s">
        <v>111</v>
      </c>
      <c r="J119" s="3"/>
      <c r="K119" s="3"/>
      <c r="L119" s="2" t="s">
        <v>142</v>
      </c>
      <c r="M119" s="2" t="s">
        <v>105</v>
      </c>
      <c r="N119" s="2" t="s">
        <v>123</v>
      </c>
      <c r="O119" s="3"/>
      <c r="P119" s="3"/>
      <c r="Q119" s="3"/>
      <c r="R119" s="3"/>
      <c r="S119" s="2" t="s">
        <v>109</v>
      </c>
      <c r="T119" s="2" t="s">
        <v>111</v>
      </c>
      <c r="U119" s="3"/>
      <c r="V119" s="2" t="s">
        <v>111</v>
      </c>
      <c r="W119" s="3"/>
      <c r="X119" s="3"/>
      <c r="Y119" s="3"/>
      <c r="Z119" s="3"/>
      <c r="AA119" s="3"/>
      <c r="AB119" s="2" t="s">
        <v>103</v>
      </c>
      <c r="AC119" s="3"/>
      <c r="AD119" s="2" t="s">
        <v>103</v>
      </c>
      <c r="AE119" s="3"/>
      <c r="AF119" s="2" t="s">
        <v>103</v>
      </c>
      <c r="AG119" s="3"/>
      <c r="AH119" s="3"/>
      <c r="AI119" s="3"/>
      <c r="AJ119" s="2" t="s">
        <v>112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2" t="s">
        <v>116</v>
      </c>
      <c r="AW119" s="2" t="s">
        <v>115</v>
      </c>
      <c r="AX119" s="3"/>
      <c r="AY119" s="2" t="s">
        <v>126</v>
      </c>
      <c r="AZ119" s="3"/>
      <c r="BA119" s="3"/>
      <c r="BB119" s="3"/>
      <c r="BC119" s="3"/>
      <c r="BD119" s="2" t="s">
        <v>103</v>
      </c>
      <c r="BE119" s="2" t="s">
        <v>105</v>
      </c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2" t="s">
        <v>103</v>
      </c>
      <c r="CD119" s="2" t="s">
        <v>126</v>
      </c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spans="1:103" ht="15.75" customHeight="1" x14ac:dyDescent="0.2">
      <c r="A120" s="2" t="s">
        <v>154</v>
      </c>
      <c r="B120" s="2" t="s">
        <v>139</v>
      </c>
      <c r="C120" s="2" t="s">
        <v>312</v>
      </c>
      <c r="D120" s="3"/>
      <c r="E120" s="2" t="s">
        <v>103</v>
      </c>
      <c r="F120" s="3"/>
      <c r="G120" s="3"/>
      <c r="H120" s="2" t="s">
        <v>126</v>
      </c>
      <c r="I120" s="2" t="s">
        <v>130</v>
      </c>
      <c r="J120" s="2" t="s">
        <v>161</v>
      </c>
      <c r="K120" s="3"/>
      <c r="L120" s="2" t="s">
        <v>157</v>
      </c>
      <c r="M120" s="2" t="s">
        <v>135</v>
      </c>
      <c r="N120" s="2" t="s">
        <v>215</v>
      </c>
      <c r="O120" s="2" t="s">
        <v>109</v>
      </c>
      <c r="P120" s="3"/>
      <c r="Q120" s="2" t="s">
        <v>145</v>
      </c>
      <c r="R120" s="2" t="s">
        <v>109</v>
      </c>
      <c r="S120" s="2" t="s">
        <v>174</v>
      </c>
      <c r="T120" s="2" t="s">
        <v>112</v>
      </c>
      <c r="U120" s="3"/>
      <c r="V120" s="2" t="s">
        <v>130</v>
      </c>
      <c r="W120" s="3"/>
      <c r="X120" s="3"/>
      <c r="Y120" s="2" t="s">
        <v>151</v>
      </c>
      <c r="Z120" s="3"/>
      <c r="AA120" s="3"/>
      <c r="AB120" s="2" t="s">
        <v>124</v>
      </c>
      <c r="AC120" s="2" t="s">
        <v>196</v>
      </c>
      <c r="AD120" s="2" t="s">
        <v>124</v>
      </c>
      <c r="AE120" s="3"/>
      <c r="AF120" s="2" t="s">
        <v>198</v>
      </c>
      <c r="AG120" s="2" t="s">
        <v>105</v>
      </c>
      <c r="AH120" s="3"/>
      <c r="AI120" s="3"/>
      <c r="AJ120" s="2" t="s">
        <v>153</v>
      </c>
      <c r="AK120" s="3"/>
      <c r="AL120" s="2" t="s">
        <v>237</v>
      </c>
      <c r="AM120" s="2" t="s">
        <v>192</v>
      </c>
      <c r="AN120" s="3"/>
      <c r="AO120" s="2" t="s">
        <v>139</v>
      </c>
      <c r="AP120" s="3"/>
      <c r="AQ120" s="2" t="s">
        <v>105</v>
      </c>
      <c r="AR120" s="2" t="s">
        <v>116</v>
      </c>
      <c r="AS120" s="3"/>
      <c r="AT120" s="2" t="s">
        <v>140</v>
      </c>
      <c r="AU120" s="2" t="s">
        <v>238</v>
      </c>
      <c r="AV120" s="2" t="s">
        <v>110</v>
      </c>
      <c r="AW120" s="2" t="s">
        <v>136</v>
      </c>
      <c r="AX120" s="3"/>
      <c r="AY120" s="2" t="s">
        <v>131</v>
      </c>
      <c r="AZ120" s="3"/>
      <c r="BA120" s="3"/>
      <c r="BB120" s="3"/>
      <c r="BC120" s="3"/>
      <c r="BD120" s="2" t="s">
        <v>105</v>
      </c>
      <c r="BE120" s="2" t="s">
        <v>112</v>
      </c>
      <c r="BF120" s="2" t="s">
        <v>113</v>
      </c>
      <c r="BG120" s="2" t="s">
        <v>134</v>
      </c>
      <c r="BH120" s="3"/>
      <c r="BI120" s="3"/>
      <c r="BJ120" s="2" t="s">
        <v>117</v>
      </c>
      <c r="BK120" s="2" t="s">
        <v>126</v>
      </c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2" t="s">
        <v>121</v>
      </c>
      <c r="CD120" s="2" t="s">
        <v>131</v>
      </c>
      <c r="CE120" s="3"/>
      <c r="CF120" s="3"/>
      <c r="CG120" s="3"/>
      <c r="CH120" s="3"/>
      <c r="CI120" s="2" t="s">
        <v>117</v>
      </c>
      <c r="CJ120" s="2" t="s">
        <v>171</v>
      </c>
      <c r="CK120" s="2" t="s">
        <v>131</v>
      </c>
      <c r="CL120" s="3"/>
      <c r="CM120" s="3"/>
      <c r="CN120" s="3"/>
      <c r="CO120" s="2" t="s">
        <v>130</v>
      </c>
      <c r="CP120" s="3"/>
      <c r="CQ120" s="3"/>
      <c r="CR120" s="3"/>
      <c r="CS120" s="3"/>
      <c r="CT120" s="3"/>
      <c r="CU120" s="3"/>
      <c r="CV120" s="2" t="s">
        <v>126</v>
      </c>
      <c r="CW120" s="3"/>
      <c r="CX120" s="2" t="s">
        <v>113</v>
      </c>
      <c r="CY120" s="2" t="s">
        <v>126</v>
      </c>
    </row>
    <row r="121" spans="1:103" ht="15.75" customHeight="1" x14ac:dyDescent="0.2">
      <c r="A121" s="2" t="s">
        <v>105</v>
      </c>
      <c r="B121" s="2" t="s">
        <v>139</v>
      </c>
      <c r="C121" s="2" t="s">
        <v>312</v>
      </c>
      <c r="D121" s="3"/>
      <c r="E121" s="2" t="s">
        <v>103</v>
      </c>
      <c r="F121" s="3"/>
      <c r="G121" s="3"/>
      <c r="H121" s="2" t="s">
        <v>110</v>
      </c>
      <c r="I121" s="2" t="s">
        <v>181</v>
      </c>
      <c r="J121" s="2" t="s">
        <v>104</v>
      </c>
      <c r="K121" s="3"/>
      <c r="L121" s="2" t="s">
        <v>209</v>
      </c>
      <c r="M121" s="2" t="s">
        <v>145</v>
      </c>
      <c r="N121" s="2" t="s">
        <v>178</v>
      </c>
      <c r="O121" s="2" t="s">
        <v>126</v>
      </c>
      <c r="P121" s="3"/>
      <c r="Q121" s="2" t="s">
        <v>130</v>
      </c>
      <c r="R121" s="2" t="s">
        <v>126</v>
      </c>
      <c r="S121" s="2" t="s">
        <v>155</v>
      </c>
      <c r="T121" s="2" t="s">
        <v>136</v>
      </c>
      <c r="U121" s="3"/>
      <c r="V121" s="2" t="s">
        <v>132</v>
      </c>
      <c r="W121" s="3"/>
      <c r="X121" s="3"/>
      <c r="Y121" s="2" t="s">
        <v>117</v>
      </c>
      <c r="Z121" s="3"/>
      <c r="AA121" s="3"/>
      <c r="AB121" s="2" t="s">
        <v>113</v>
      </c>
      <c r="AC121" s="2" t="s">
        <v>170</v>
      </c>
      <c r="AD121" s="2" t="s">
        <v>124</v>
      </c>
      <c r="AE121" s="3"/>
      <c r="AF121" s="2" t="s">
        <v>121</v>
      </c>
      <c r="AG121" s="2" t="s">
        <v>116</v>
      </c>
      <c r="AH121" s="3"/>
      <c r="AI121" s="3"/>
      <c r="AJ121" s="2" t="s">
        <v>190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2" t="s">
        <v>117</v>
      </c>
      <c r="AW121" s="2" t="s">
        <v>113</v>
      </c>
      <c r="AX121" s="3"/>
      <c r="AY121" s="2" t="s">
        <v>130</v>
      </c>
      <c r="AZ121" s="2" t="s">
        <v>103</v>
      </c>
      <c r="BA121" s="3"/>
      <c r="BB121" s="3"/>
      <c r="BC121" s="3"/>
      <c r="BD121" s="2" t="s">
        <v>117</v>
      </c>
      <c r="BE121" s="2" t="s">
        <v>107</v>
      </c>
      <c r="BF121" s="2" t="s">
        <v>121</v>
      </c>
      <c r="BG121" s="2" t="s">
        <v>123</v>
      </c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2" t="s">
        <v>103</v>
      </c>
      <c r="CD121" s="2" t="s">
        <v>107</v>
      </c>
      <c r="CE121" s="3"/>
      <c r="CF121" s="3"/>
      <c r="CG121" s="3"/>
      <c r="CH121" s="3"/>
      <c r="CI121" s="2" t="s">
        <v>116</v>
      </c>
      <c r="CJ121" s="3"/>
      <c r="CK121" s="2" t="s">
        <v>109</v>
      </c>
      <c r="CL121" s="3"/>
      <c r="CM121" s="3"/>
      <c r="CN121" s="3"/>
      <c r="CO121" s="2" t="s">
        <v>104</v>
      </c>
      <c r="CP121" s="3"/>
      <c r="CQ121" s="3"/>
      <c r="CR121" s="3"/>
      <c r="CS121" s="3"/>
      <c r="CT121" s="3"/>
      <c r="CU121" s="3"/>
      <c r="CV121" s="3"/>
      <c r="CW121" s="3"/>
      <c r="CX121" s="2" t="s">
        <v>110</v>
      </c>
      <c r="CY121" s="2" t="s">
        <v>126</v>
      </c>
    </row>
    <row r="122" spans="1:103" ht="15.75" customHeight="1" x14ac:dyDescent="0.2">
      <c r="A122" s="2" t="s">
        <v>103</v>
      </c>
      <c r="B122" s="2" t="s">
        <v>170</v>
      </c>
      <c r="C122" s="2" t="s">
        <v>312</v>
      </c>
      <c r="D122" s="3"/>
      <c r="E122" s="2" t="s">
        <v>103</v>
      </c>
      <c r="F122" s="3"/>
      <c r="G122" s="3"/>
      <c r="H122" s="2" t="s">
        <v>166</v>
      </c>
      <c r="I122" s="2" t="s">
        <v>220</v>
      </c>
      <c r="J122" s="2" t="s">
        <v>109</v>
      </c>
      <c r="K122" s="3"/>
      <c r="L122" s="2" t="s">
        <v>214</v>
      </c>
      <c r="M122" s="2" t="s">
        <v>145</v>
      </c>
      <c r="N122" s="2" t="s">
        <v>177</v>
      </c>
      <c r="O122" s="2" t="s">
        <v>126</v>
      </c>
      <c r="P122" s="3"/>
      <c r="Q122" s="2" t="s">
        <v>129</v>
      </c>
      <c r="R122" s="2" t="s">
        <v>132</v>
      </c>
      <c r="S122" s="2" t="s">
        <v>147</v>
      </c>
      <c r="T122" s="2" t="s">
        <v>109</v>
      </c>
      <c r="U122" s="3"/>
      <c r="V122" s="2" t="s">
        <v>143</v>
      </c>
      <c r="W122" s="3"/>
      <c r="X122" s="3"/>
      <c r="Y122" s="2" t="s">
        <v>111</v>
      </c>
      <c r="Z122" s="3"/>
      <c r="AA122" s="3"/>
      <c r="AB122" s="2" t="s">
        <v>138</v>
      </c>
      <c r="AC122" s="2" t="s">
        <v>218</v>
      </c>
      <c r="AD122" s="2" t="s">
        <v>124</v>
      </c>
      <c r="AE122" s="3"/>
      <c r="AF122" s="2" t="s">
        <v>118</v>
      </c>
      <c r="AG122" s="3"/>
      <c r="AH122" s="2" t="s">
        <v>121</v>
      </c>
      <c r="AI122" s="3"/>
      <c r="AJ122" s="2" t="s">
        <v>183</v>
      </c>
      <c r="AK122" s="3"/>
      <c r="AL122" s="2" t="s">
        <v>160</v>
      </c>
      <c r="AM122" s="2" t="s">
        <v>104</v>
      </c>
      <c r="AN122" s="3"/>
      <c r="AO122" s="2" t="s">
        <v>137</v>
      </c>
      <c r="AP122" s="3"/>
      <c r="AQ122" s="3"/>
      <c r="AR122" s="2" t="s">
        <v>103</v>
      </c>
      <c r="AS122" s="3"/>
      <c r="AT122" s="2" t="s">
        <v>158</v>
      </c>
      <c r="AU122" s="2" t="s">
        <v>135</v>
      </c>
      <c r="AV122" s="4" t="s">
        <v>137</v>
      </c>
      <c r="AW122" s="2" t="s">
        <v>113</v>
      </c>
      <c r="AX122" s="3"/>
      <c r="AY122" s="2" t="s">
        <v>130</v>
      </c>
      <c r="AZ122" s="3"/>
      <c r="BA122" s="3"/>
      <c r="BB122" s="2" t="s">
        <v>117</v>
      </c>
      <c r="BC122" s="2" t="s">
        <v>118</v>
      </c>
      <c r="BD122" s="2" t="s">
        <v>117</v>
      </c>
      <c r="BE122" s="2" t="s">
        <v>123</v>
      </c>
      <c r="BF122" s="2" t="s">
        <v>105</v>
      </c>
      <c r="BG122" s="2" t="s">
        <v>228</v>
      </c>
      <c r="BH122" s="3"/>
      <c r="BI122" s="3"/>
      <c r="BJ122" s="2" t="s">
        <v>121</v>
      </c>
      <c r="BK122" s="2" t="s">
        <v>132</v>
      </c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2" t="s">
        <v>103</v>
      </c>
      <c r="CD122" s="2" t="s">
        <v>132</v>
      </c>
      <c r="CE122" s="3"/>
      <c r="CF122" s="3"/>
      <c r="CG122" s="3"/>
      <c r="CH122" s="3"/>
      <c r="CI122" s="2" t="s">
        <v>118</v>
      </c>
      <c r="CJ122" s="2" t="s">
        <v>130</v>
      </c>
      <c r="CK122" s="2" t="s">
        <v>130</v>
      </c>
      <c r="CL122" s="3"/>
      <c r="CM122" s="3"/>
      <c r="CN122" s="3"/>
      <c r="CO122" s="2" t="s">
        <v>126</v>
      </c>
      <c r="CP122" s="3"/>
      <c r="CQ122" s="3"/>
      <c r="CR122" s="3"/>
      <c r="CS122" s="3"/>
      <c r="CT122" s="3"/>
      <c r="CU122" s="3"/>
      <c r="CV122" s="3"/>
      <c r="CW122" s="3"/>
      <c r="CX122" s="2" t="s">
        <v>113</v>
      </c>
      <c r="CY122" s="2" t="s">
        <v>136</v>
      </c>
    </row>
    <row r="123" spans="1:103" ht="15.75" customHeight="1" x14ac:dyDescent="0.2">
      <c r="A123" s="2" t="s">
        <v>116</v>
      </c>
      <c r="B123" s="2" t="s">
        <v>170</v>
      </c>
      <c r="C123" s="2" t="s">
        <v>312</v>
      </c>
      <c r="D123" s="3"/>
      <c r="E123" s="2" t="s">
        <v>103</v>
      </c>
      <c r="F123" s="3"/>
      <c r="G123" s="3"/>
      <c r="H123" s="2" t="s">
        <v>116</v>
      </c>
      <c r="I123" s="2" t="s">
        <v>166</v>
      </c>
      <c r="J123" s="2" t="s">
        <v>115</v>
      </c>
      <c r="K123" s="3"/>
      <c r="L123" s="2" t="s">
        <v>128</v>
      </c>
      <c r="M123" s="2" t="s">
        <v>104</v>
      </c>
      <c r="N123" s="2" t="s">
        <v>129</v>
      </c>
      <c r="O123" s="2" t="s">
        <v>105</v>
      </c>
      <c r="P123" s="3"/>
      <c r="Q123" s="3"/>
      <c r="R123" s="3"/>
      <c r="S123" s="2" t="s">
        <v>130</v>
      </c>
      <c r="T123" s="2" t="s">
        <v>124</v>
      </c>
      <c r="U123" s="3"/>
      <c r="V123" s="2" t="s">
        <v>110</v>
      </c>
      <c r="W123" s="3"/>
      <c r="X123" s="3"/>
      <c r="Y123" s="2" t="s">
        <v>116</v>
      </c>
      <c r="Z123" s="3"/>
      <c r="AA123" s="3"/>
      <c r="AB123" s="2" t="s">
        <v>116</v>
      </c>
      <c r="AC123" s="3"/>
      <c r="AD123" s="2" t="s">
        <v>103</v>
      </c>
      <c r="AE123" s="3"/>
      <c r="AF123" s="2" t="s">
        <v>103</v>
      </c>
      <c r="AG123" s="3"/>
      <c r="AH123" s="3"/>
      <c r="AI123" s="3"/>
      <c r="AJ123" s="2" t="s">
        <v>130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2" t="s">
        <v>103</v>
      </c>
      <c r="AW123" s="2" t="s">
        <v>105</v>
      </c>
      <c r="AX123" s="3"/>
      <c r="AY123" s="2" t="s">
        <v>109</v>
      </c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4">
        <f>1 +(1/2)</f>
        <v>1.5</v>
      </c>
      <c r="BK123" s="2" t="s">
        <v>127</v>
      </c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2">
        <f>1/4</f>
        <v>0.25</v>
      </c>
      <c r="CD123" s="2" t="s">
        <v>121</v>
      </c>
      <c r="CE123" s="3"/>
      <c r="CF123" s="3"/>
      <c r="CG123" s="3"/>
      <c r="CH123" s="3"/>
      <c r="CI123" s="2" t="s">
        <v>103</v>
      </c>
      <c r="CJ123" s="2" t="s">
        <v>104</v>
      </c>
      <c r="CK123" s="2" t="s">
        <v>136</v>
      </c>
      <c r="CL123" s="3"/>
      <c r="CM123" s="3"/>
      <c r="CN123" s="3"/>
      <c r="CO123" s="2" t="s">
        <v>108</v>
      </c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spans="1:103" ht="15.75" customHeight="1" x14ac:dyDescent="0.2">
      <c r="A124" s="2" t="s">
        <v>117</v>
      </c>
      <c r="B124" s="2" t="s">
        <v>170</v>
      </c>
      <c r="C124" s="2" t="s">
        <v>312</v>
      </c>
      <c r="D124" s="3"/>
      <c r="E124" s="2" t="s">
        <v>103</v>
      </c>
      <c r="F124" s="3"/>
      <c r="G124" s="3"/>
      <c r="H124" s="2" t="s">
        <v>103</v>
      </c>
      <c r="I124" s="2" t="s">
        <v>117</v>
      </c>
      <c r="J124" s="3"/>
      <c r="K124" s="3"/>
      <c r="L124" s="2" t="s">
        <v>119</v>
      </c>
      <c r="M124" s="2" t="s">
        <v>126</v>
      </c>
      <c r="N124" s="2" t="s">
        <v>130</v>
      </c>
      <c r="O124" s="3"/>
      <c r="P124" s="3"/>
      <c r="Q124" s="2" t="s">
        <v>105</v>
      </c>
      <c r="R124" s="2" t="s">
        <v>103</v>
      </c>
      <c r="S124" s="2" t="s">
        <v>130</v>
      </c>
      <c r="T124" s="2" t="s">
        <v>117</v>
      </c>
      <c r="U124" s="3"/>
      <c r="V124" s="2" t="s">
        <v>111</v>
      </c>
      <c r="W124" s="3"/>
      <c r="X124" s="3"/>
      <c r="Y124" s="2" t="s">
        <v>103</v>
      </c>
      <c r="Z124" s="3"/>
      <c r="AA124" s="3"/>
      <c r="AB124" s="2" t="s">
        <v>103</v>
      </c>
      <c r="AC124" s="3"/>
      <c r="AD124" s="2" t="s">
        <v>103</v>
      </c>
      <c r="AE124" s="3"/>
      <c r="AF124" s="2" t="s">
        <v>103</v>
      </c>
      <c r="AG124" s="3"/>
      <c r="AH124" s="3"/>
      <c r="AI124" s="3"/>
      <c r="AJ124" s="2" t="s">
        <v>145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2" t="s">
        <v>103</v>
      </c>
      <c r="AW124" s="2" t="s">
        <v>105</v>
      </c>
      <c r="AX124" s="3"/>
      <c r="AY124" s="2" t="s">
        <v>109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2" t="s">
        <v>103</v>
      </c>
      <c r="CD124" s="2" t="s">
        <v>126</v>
      </c>
      <c r="CE124" s="3"/>
      <c r="CF124" s="3"/>
      <c r="CG124" s="3"/>
      <c r="CH124" s="3"/>
      <c r="CI124" s="2" t="s">
        <v>116</v>
      </c>
      <c r="CJ124" s="2" t="s">
        <v>126</v>
      </c>
      <c r="CK124" s="2" t="s">
        <v>126</v>
      </c>
      <c r="CL124" s="3"/>
      <c r="CM124" s="3"/>
      <c r="CN124" s="3"/>
      <c r="CO124" s="2" t="s">
        <v>108</v>
      </c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spans="1:103" ht="15.75" customHeight="1" x14ac:dyDescent="0.2">
      <c r="A125" s="2" t="s">
        <v>111</v>
      </c>
      <c r="B125" s="2" t="s">
        <v>170</v>
      </c>
      <c r="C125" s="2" t="s">
        <v>312</v>
      </c>
      <c r="D125" s="3"/>
      <c r="E125" s="2" t="s">
        <v>103</v>
      </c>
      <c r="F125" s="3"/>
      <c r="G125" s="3"/>
      <c r="H125" s="4" t="s">
        <v>115</v>
      </c>
      <c r="I125" s="2" t="s">
        <v>126</v>
      </c>
      <c r="J125" s="2" t="s">
        <v>113</v>
      </c>
      <c r="K125" s="3"/>
      <c r="L125" s="2" t="s">
        <v>207</v>
      </c>
      <c r="M125" s="2" t="s">
        <v>145</v>
      </c>
      <c r="N125" s="2" t="s">
        <v>147</v>
      </c>
      <c r="O125" s="2" t="s">
        <v>105</v>
      </c>
      <c r="P125" s="3"/>
      <c r="Q125" s="2" t="s">
        <v>239</v>
      </c>
      <c r="R125" s="2" t="s">
        <v>123</v>
      </c>
      <c r="S125" s="2" t="s">
        <v>106</v>
      </c>
      <c r="T125" s="2" t="s">
        <v>146</v>
      </c>
      <c r="U125" s="3"/>
      <c r="V125" s="2" t="s">
        <v>132</v>
      </c>
      <c r="W125" s="3"/>
      <c r="X125" s="3"/>
      <c r="Y125" s="2" t="s">
        <v>118</v>
      </c>
      <c r="Z125" s="3"/>
      <c r="AA125" s="3"/>
      <c r="AB125" s="2" t="s">
        <v>139</v>
      </c>
      <c r="AC125" s="2" t="s">
        <v>110</v>
      </c>
      <c r="AD125" s="2" t="s">
        <v>139</v>
      </c>
      <c r="AE125" s="3"/>
      <c r="AF125" s="2" t="s">
        <v>151</v>
      </c>
      <c r="AG125" s="3"/>
      <c r="AH125" s="3"/>
      <c r="AI125" s="3"/>
      <c r="AJ125" s="2" t="s">
        <v>125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2" t="s">
        <v>117</v>
      </c>
      <c r="AW125" s="2" t="s">
        <v>108</v>
      </c>
      <c r="AX125" s="3"/>
      <c r="AY125" s="2" t="s">
        <v>130</v>
      </c>
      <c r="AZ125" s="3"/>
      <c r="BA125" s="3"/>
      <c r="BB125" s="3"/>
      <c r="BC125" s="3"/>
      <c r="BD125" s="2" t="s">
        <v>117</v>
      </c>
      <c r="BE125" s="2" t="s">
        <v>130</v>
      </c>
      <c r="BF125" s="2" t="s">
        <v>116</v>
      </c>
      <c r="BG125" s="2" t="s">
        <v>172</v>
      </c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2" t="s">
        <v>103</v>
      </c>
      <c r="CD125" s="2" t="s">
        <v>123</v>
      </c>
      <c r="CE125" s="3"/>
      <c r="CF125" s="3"/>
      <c r="CG125" s="3"/>
      <c r="CH125" s="3"/>
      <c r="CI125" s="2" t="s">
        <v>103</v>
      </c>
      <c r="CJ125" s="2" t="s">
        <v>126</v>
      </c>
      <c r="CK125" s="2" t="s">
        <v>109</v>
      </c>
      <c r="CL125" s="3"/>
      <c r="CM125" s="3"/>
      <c r="CN125" s="3"/>
      <c r="CO125" s="2" t="s">
        <v>110</v>
      </c>
      <c r="CP125" s="3"/>
      <c r="CQ125" s="3"/>
      <c r="CR125" s="3"/>
      <c r="CS125" s="3"/>
      <c r="CT125" s="3"/>
      <c r="CU125" s="3"/>
      <c r="CV125" s="3"/>
      <c r="CW125" s="3"/>
      <c r="CX125" s="2" t="s">
        <v>105</v>
      </c>
      <c r="CY125" s="2" t="s">
        <v>104</v>
      </c>
    </row>
    <row r="126" spans="1:103" ht="15.75" customHeight="1" x14ac:dyDescent="0.2">
      <c r="A126" s="2" t="s">
        <v>121</v>
      </c>
      <c r="B126" s="2" t="s">
        <v>170</v>
      </c>
      <c r="C126" s="2" t="s">
        <v>312</v>
      </c>
      <c r="D126" s="3"/>
      <c r="E126" s="2" t="s">
        <v>103</v>
      </c>
      <c r="F126" s="3"/>
      <c r="G126" s="3"/>
      <c r="H126" s="2" t="s">
        <v>118</v>
      </c>
      <c r="I126" s="2" t="s">
        <v>208</v>
      </c>
      <c r="J126" s="2" t="s">
        <v>137</v>
      </c>
      <c r="K126" s="3"/>
      <c r="L126" s="2" t="s">
        <v>148</v>
      </c>
      <c r="M126" s="2" t="s">
        <v>130</v>
      </c>
      <c r="N126" s="2" t="s">
        <v>142</v>
      </c>
      <c r="O126" s="2" t="s">
        <v>105</v>
      </c>
      <c r="P126" s="3"/>
      <c r="Q126" s="2" t="s">
        <v>109</v>
      </c>
      <c r="R126" s="2" t="s">
        <v>126</v>
      </c>
      <c r="S126" s="2" t="s">
        <v>106</v>
      </c>
      <c r="T126" s="2" t="s">
        <v>107</v>
      </c>
      <c r="U126" s="3"/>
      <c r="V126" s="2" t="s">
        <v>123</v>
      </c>
      <c r="W126" s="3"/>
      <c r="X126" s="3"/>
      <c r="Y126" s="2" t="s">
        <v>121</v>
      </c>
      <c r="Z126" s="3"/>
      <c r="AA126" s="3"/>
      <c r="AB126" s="2" t="s">
        <v>154</v>
      </c>
      <c r="AC126" s="2" t="s">
        <v>110</v>
      </c>
      <c r="AD126" s="2" t="s">
        <v>105</v>
      </c>
      <c r="AE126" s="3"/>
      <c r="AF126" s="2" t="s">
        <v>118</v>
      </c>
      <c r="AG126" s="3"/>
      <c r="AH126" s="3"/>
      <c r="AI126" s="3"/>
      <c r="AJ126" s="4" t="s">
        <v>240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2" t="s">
        <v>117</v>
      </c>
      <c r="AW126" s="4" t="s">
        <v>196</v>
      </c>
      <c r="AX126" s="3"/>
      <c r="AY126" s="2" t="s">
        <v>130</v>
      </c>
      <c r="AZ126" s="3"/>
      <c r="BA126" s="3"/>
      <c r="BB126" s="2" t="s">
        <v>116</v>
      </c>
      <c r="BC126" s="2" t="s">
        <v>110</v>
      </c>
      <c r="BD126" s="3"/>
      <c r="BE126" s="3"/>
      <c r="BF126" s="2" t="s">
        <v>116</v>
      </c>
      <c r="BG126" s="2" t="s">
        <v>107</v>
      </c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4">
        <f>2 +(1/2)</f>
        <v>2.5</v>
      </c>
      <c r="CD126" s="2" t="s">
        <v>129</v>
      </c>
      <c r="CE126" s="3"/>
      <c r="CF126" s="3"/>
      <c r="CG126" s="3"/>
      <c r="CH126" s="3"/>
      <c r="CI126" s="2" t="s">
        <v>117</v>
      </c>
      <c r="CJ126" s="2" t="s">
        <v>109</v>
      </c>
      <c r="CK126" s="2" t="s">
        <v>130</v>
      </c>
      <c r="CL126" s="3"/>
      <c r="CM126" s="3"/>
      <c r="CN126" s="3"/>
      <c r="CO126" s="2" t="s">
        <v>107</v>
      </c>
      <c r="CP126" s="3"/>
      <c r="CQ126" s="3"/>
      <c r="CR126" s="3"/>
      <c r="CS126" s="3"/>
      <c r="CT126" s="3"/>
      <c r="CU126" s="3"/>
      <c r="CV126" s="3"/>
      <c r="CW126" s="3"/>
      <c r="CX126" s="2" t="s">
        <v>105</v>
      </c>
      <c r="CY126" s="2" t="s">
        <v>104</v>
      </c>
    </row>
    <row r="127" spans="1:103" ht="15.75" customHeight="1" x14ac:dyDescent="0.2">
      <c r="A127" s="2" t="s">
        <v>115</v>
      </c>
      <c r="B127" s="2" t="s">
        <v>170</v>
      </c>
      <c r="C127" s="2" t="s">
        <v>312</v>
      </c>
      <c r="D127" s="3"/>
      <c r="E127" s="2" t="s">
        <v>103</v>
      </c>
      <c r="F127" s="3"/>
      <c r="G127" s="3"/>
      <c r="H127" s="3"/>
      <c r="I127" s="4" t="s">
        <v>112</v>
      </c>
      <c r="J127" s="2" t="s">
        <v>126</v>
      </c>
      <c r="K127" s="3"/>
      <c r="L127" s="2" t="s">
        <v>207</v>
      </c>
      <c r="M127" s="3"/>
      <c r="N127" s="3"/>
      <c r="O127" s="2" t="s">
        <v>105</v>
      </c>
      <c r="P127" s="3"/>
      <c r="Q127" s="3"/>
      <c r="R127" s="3"/>
      <c r="S127" s="2" t="s">
        <v>131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2" t="s">
        <v>105</v>
      </c>
      <c r="CY127" s="2" t="s">
        <v>104</v>
      </c>
    </row>
    <row r="128" spans="1:103" ht="15.75" customHeight="1" x14ac:dyDescent="0.2">
      <c r="A128" s="2" t="s">
        <v>137</v>
      </c>
      <c r="B128" s="2" t="s">
        <v>170</v>
      </c>
      <c r="C128" s="2" t="s">
        <v>312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spans="1:103" ht="15.75" customHeight="1" x14ac:dyDescent="0.2">
      <c r="A129" s="2" t="s">
        <v>118</v>
      </c>
      <c r="B129" s="2" t="s">
        <v>170</v>
      </c>
      <c r="C129" s="2" t="s">
        <v>312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spans="1:103" ht="15.75" customHeight="1" x14ac:dyDescent="0.2">
      <c r="A130" s="2" t="s">
        <v>154</v>
      </c>
      <c r="B130" s="2" t="s">
        <v>170</v>
      </c>
      <c r="C130" s="2" t="s">
        <v>312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spans="1:103" ht="15.75" customHeight="1" x14ac:dyDescent="0.2">
      <c r="A131" s="2" t="s">
        <v>105</v>
      </c>
      <c r="B131" s="2" t="s">
        <v>170</v>
      </c>
      <c r="C131" s="2" t="s">
        <v>312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spans="1:103" ht="15.75" customHeight="1" x14ac:dyDescent="0.2">
      <c r="A132" s="2" t="s">
        <v>103</v>
      </c>
      <c r="B132" s="2" t="s">
        <v>122</v>
      </c>
      <c r="C132" s="2" t="s">
        <v>312</v>
      </c>
      <c r="D132" s="3"/>
      <c r="E132" s="3"/>
      <c r="F132" s="3"/>
      <c r="G132" s="2" t="s">
        <v>103</v>
      </c>
      <c r="H132" s="2" t="s">
        <v>104</v>
      </c>
      <c r="I132" s="2" t="s">
        <v>182</v>
      </c>
      <c r="J132" s="2" t="s">
        <v>212</v>
      </c>
      <c r="K132" s="3"/>
      <c r="L132" s="2" t="s">
        <v>223</v>
      </c>
      <c r="M132" s="2" t="s">
        <v>131</v>
      </c>
      <c r="N132" s="2" t="s">
        <v>125</v>
      </c>
      <c r="O132" s="2" t="s">
        <v>105</v>
      </c>
      <c r="P132" s="3"/>
      <c r="Q132" s="4" t="s">
        <v>241</v>
      </c>
      <c r="R132" s="2" t="s">
        <v>132</v>
      </c>
      <c r="S132" s="2" t="s">
        <v>214</v>
      </c>
      <c r="T132" s="2" t="s">
        <v>109</v>
      </c>
      <c r="U132" s="3"/>
      <c r="V132" s="2" t="s">
        <v>109</v>
      </c>
      <c r="W132" s="3"/>
      <c r="X132" s="3"/>
      <c r="Y132" s="2" t="s">
        <v>111</v>
      </c>
      <c r="Z132" s="3"/>
      <c r="AA132" s="3"/>
      <c r="AB132" s="2" t="s">
        <v>212</v>
      </c>
      <c r="AC132" s="2" t="s">
        <v>196</v>
      </c>
      <c r="AD132" s="2" t="s">
        <v>122</v>
      </c>
      <c r="AE132" s="3"/>
      <c r="AF132" s="2" t="s">
        <v>121</v>
      </c>
      <c r="AG132" s="2" t="s">
        <v>154</v>
      </c>
      <c r="AH132" s="2" t="s">
        <v>103</v>
      </c>
      <c r="AI132" s="3"/>
      <c r="AJ132" s="2" t="s">
        <v>174</v>
      </c>
      <c r="AK132" s="3"/>
      <c r="AL132" s="2" t="s">
        <v>242</v>
      </c>
      <c r="AM132" s="2" t="s">
        <v>185</v>
      </c>
      <c r="AN132" s="3"/>
      <c r="AO132" s="2" t="s">
        <v>105</v>
      </c>
      <c r="AP132" s="3"/>
      <c r="AQ132" s="3"/>
      <c r="AR132" s="3"/>
      <c r="AS132" s="3"/>
      <c r="AT132" s="2" t="s">
        <v>123</v>
      </c>
      <c r="AU132" s="2" t="s">
        <v>243</v>
      </c>
      <c r="AV132" s="2" t="s">
        <v>154</v>
      </c>
      <c r="AW132" s="2" t="s">
        <v>104</v>
      </c>
      <c r="AX132" s="2" t="s">
        <v>118</v>
      </c>
      <c r="AY132" s="2" t="s">
        <v>131</v>
      </c>
      <c r="AZ132" s="3"/>
      <c r="BA132" s="3"/>
      <c r="BB132" s="2">
        <f>1/2</f>
        <v>0.5</v>
      </c>
      <c r="BC132" s="2" t="s">
        <v>113</v>
      </c>
      <c r="BD132" s="2" t="s">
        <v>115</v>
      </c>
      <c r="BE132" s="2" t="s">
        <v>130</v>
      </c>
      <c r="BF132" s="2" t="s">
        <v>117</v>
      </c>
      <c r="BG132" s="2" t="s">
        <v>109</v>
      </c>
      <c r="BH132" s="3"/>
      <c r="BI132" s="3"/>
      <c r="BJ132" s="2" t="s">
        <v>105</v>
      </c>
      <c r="BK132" s="2" t="s">
        <v>152</v>
      </c>
      <c r="BL132" s="2" t="s">
        <v>126</v>
      </c>
      <c r="BM132" s="2" t="s">
        <v>121</v>
      </c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2" t="s">
        <v>116</v>
      </c>
      <c r="CD132" s="2" t="s">
        <v>114</v>
      </c>
      <c r="CE132" s="3"/>
      <c r="CF132" s="3"/>
      <c r="CG132" s="3"/>
      <c r="CH132" s="3"/>
      <c r="CI132" s="2" t="s">
        <v>117</v>
      </c>
      <c r="CJ132" s="2" t="s">
        <v>136</v>
      </c>
      <c r="CK132" s="2" t="s">
        <v>130</v>
      </c>
      <c r="CL132" s="3"/>
      <c r="CM132" s="3"/>
      <c r="CN132" s="3"/>
      <c r="CO132" s="2" t="s">
        <v>109</v>
      </c>
      <c r="CP132" s="3"/>
      <c r="CQ132" s="3"/>
      <c r="CR132" s="3"/>
      <c r="CS132" s="3"/>
      <c r="CT132" s="3"/>
      <c r="CU132" s="3"/>
      <c r="CV132" s="2" t="s">
        <v>113</v>
      </c>
      <c r="CW132" s="3"/>
      <c r="CX132" s="2" t="s">
        <v>110</v>
      </c>
      <c r="CY132" s="2" t="s">
        <v>156</v>
      </c>
    </row>
    <row r="133" spans="1:103" ht="15.75" customHeight="1" x14ac:dyDescent="0.2">
      <c r="A133" s="2" t="s">
        <v>116</v>
      </c>
      <c r="B133" s="2" t="s">
        <v>122</v>
      </c>
      <c r="C133" s="2" t="s">
        <v>312</v>
      </c>
      <c r="D133" s="3"/>
      <c r="E133" s="2" t="s">
        <v>103</v>
      </c>
      <c r="F133" s="3"/>
      <c r="G133" s="3"/>
      <c r="H133" s="2" t="s">
        <v>141</v>
      </c>
      <c r="I133" s="2" t="s">
        <v>244</v>
      </c>
      <c r="J133" s="2" t="s">
        <v>146</v>
      </c>
      <c r="K133" s="3"/>
      <c r="L133" s="2" t="s">
        <v>157</v>
      </c>
      <c r="M133" s="2" t="s">
        <v>131</v>
      </c>
      <c r="N133" s="2" t="s">
        <v>119</v>
      </c>
      <c r="O133" s="2" t="s">
        <v>108</v>
      </c>
      <c r="P133" s="3"/>
      <c r="Q133" s="2" t="s">
        <v>134</v>
      </c>
      <c r="R133" s="2" t="s">
        <v>114</v>
      </c>
      <c r="S133" s="2" t="s">
        <v>230</v>
      </c>
      <c r="T133" s="2" t="s">
        <v>109</v>
      </c>
      <c r="U133" s="3"/>
      <c r="V133" s="2" t="s">
        <v>109</v>
      </c>
      <c r="W133" s="3"/>
      <c r="X133" s="3"/>
      <c r="Y133" s="2" t="s">
        <v>115</v>
      </c>
      <c r="Z133" s="3"/>
      <c r="AA133" s="3"/>
      <c r="AB133" s="4" t="s">
        <v>146</v>
      </c>
      <c r="AC133" s="2" t="s">
        <v>104</v>
      </c>
      <c r="AD133" s="2" t="s">
        <v>189</v>
      </c>
      <c r="AE133" s="3"/>
      <c r="AF133" s="2" t="s">
        <v>110</v>
      </c>
      <c r="AG133" s="2" t="s">
        <v>121</v>
      </c>
      <c r="AH133" s="2" t="s">
        <v>117</v>
      </c>
      <c r="AI133" s="3"/>
      <c r="AJ133" s="2" t="s">
        <v>207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2" t="s">
        <v>154</v>
      </c>
      <c r="AW133" s="2" t="s">
        <v>105</v>
      </c>
      <c r="AX133" s="3"/>
      <c r="AY133" s="2" t="s">
        <v>109</v>
      </c>
      <c r="AZ133" s="3"/>
      <c r="BA133" s="3"/>
      <c r="BB133" s="3"/>
      <c r="BC133" s="3"/>
      <c r="BD133" s="2" t="s">
        <v>115</v>
      </c>
      <c r="BE133" s="2" t="s">
        <v>112</v>
      </c>
      <c r="BF133" s="2" t="s">
        <v>111</v>
      </c>
      <c r="BG133" s="2" t="s">
        <v>159</v>
      </c>
      <c r="BH133" s="3"/>
      <c r="BI133" s="3"/>
      <c r="BJ133" s="2" t="s">
        <v>115</v>
      </c>
      <c r="BK133" s="2" t="s">
        <v>160</v>
      </c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2" t="s">
        <v>103</v>
      </c>
      <c r="CD133" s="2" t="s">
        <v>109</v>
      </c>
      <c r="CE133" s="3"/>
      <c r="CF133" s="3"/>
      <c r="CG133" s="3"/>
      <c r="CH133" s="3"/>
      <c r="CI133" s="2" t="s">
        <v>115</v>
      </c>
      <c r="CJ133" s="2" t="s">
        <v>126</v>
      </c>
      <c r="CK133" s="2" t="s">
        <v>129</v>
      </c>
      <c r="CL133" s="3"/>
      <c r="CM133" s="3"/>
      <c r="CN133" s="3"/>
      <c r="CO133" s="2" t="s">
        <v>109</v>
      </c>
      <c r="CP133" s="3"/>
      <c r="CQ133" s="3"/>
      <c r="CR133" s="3"/>
      <c r="CS133" s="3"/>
      <c r="CT133" s="3"/>
      <c r="CU133" s="3"/>
      <c r="CV133" s="3"/>
      <c r="CW133" s="3"/>
      <c r="CX133" s="2" t="s">
        <v>113</v>
      </c>
      <c r="CY133" s="2" t="s">
        <v>136</v>
      </c>
    </row>
    <row r="134" spans="1:103" ht="15.75" customHeight="1" x14ac:dyDescent="0.2">
      <c r="A134" s="2" t="s">
        <v>117</v>
      </c>
      <c r="B134" s="2" t="s">
        <v>122</v>
      </c>
      <c r="C134" s="2" t="s">
        <v>312</v>
      </c>
      <c r="D134" s="3"/>
      <c r="E134" s="2" t="s">
        <v>103</v>
      </c>
      <c r="F134" s="3"/>
      <c r="G134" s="3"/>
      <c r="H134" s="2" t="s">
        <v>121</v>
      </c>
      <c r="I134" s="2" t="s">
        <v>126</v>
      </c>
      <c r="J134" s="2" t="s">
        <v>115</v>
      </c>
      <c r="K134" s="3"/>
      <c r="L134" s="2" t="s">
        <v>174</v>
      </c>
      <c r="M134" s="2" t="s">
        <v>112</v>
      </c>
      <c r="N134" s="2" t="s">
        <v>135</v>
      </c>
      <c r="O134" s="2" t="s">
        <v>108</v>
      </c>
      <c r="P134" s="3"/>
      <c r="Q134" s="3"/>
      <c r="R134" s="3"/>
      <c r="S134" s="2" t="s">
        <v>134</v>
      </c>
      <c r="T134" s="2" t="s">
        <v>113</v>
      </c>
      <c r="U134" s="3"/>
      <c r="V134" s="2" t="s">
        <v>113</v>
      </c>
      <c r="W134" s="3"/>
      <c r="X134" s="3"/>
      <c r="Y134" s="2" t="s">
        <v>116</v>
      </c>
      <c r="Z134" s="3"/>
      <c r="AA134" s="3"/>
      <c r="AB134" s="2" t="s">
        <v>118</v>
      </c>
      <c r="AC134" s="3"/>
      <c r="AD134" s="2" t="s">
        <v>118</v>
      </c>
      <c r="AE134" s="3"/>
      <c r="AF134" s="2" t="s">
        <v>116</v>
      </c>
      <c r="AG134" s="2" t="s">
        <v>115</v>
      </c>
      <c r="AH134" s="3"/>
      <c r="AI134" s="3"/>
      <c r="AJ134" s="2" t="s">
        <v>147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2" t="s">
        <v>117</v>
      </c>
      <c r="AW134" s="2" t="s">
        <v>110</v>
      </c>
      <c r="AX134" s="3"/>
      <c r="AY134" s="2" t="s">
        <v>112</v>
      </c>
      <c r="AZ134" s="3"/>
      <c r="BA134" s="3"/>
      <c r="BB134" s="3"/>
      <c r="BC134" s="3"/>
      <c r="BD134" s="3"/>
      <c r="BE134" s="3"/>
      <c r="BF134" s="2" t="s">
        <v>116</v>
      </c>
      <c r="BG134" s="2" t="s">
        <v>109</v>
      </c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2" t="s">
        <v>116</v>
      </c>
      <c r="CD134" s="2" t="s">
        <v>109</v>
      </c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2" t="s">
        <v>105</v>
      </c>
      <c r="CY134" s="2" t="s">
        <v>104</v>
      </c>
    </row>
    <row r="135" spans="1:103" ht="15.75" customHeight="1" x14ac:dyDescent="0.2">
      <c r="A135" s="2" t="s">
        <v>111</v>
      </c>
      <c r="B135" s="2" t="s">
        <v>122</v>
      </c>
      <c r="C135" s="2" t="s">
        <v>312</v>
      </c>
      <c r="D135" s="3"/>
      <c r="E135" s="2" t="s">
        <v>103</v>
      </c>
      <c r="F135" s="3"/>
      <c r="G135" s="3"/>
      <c r="H135" s="2" t="s">
        <v>110</v>
      </c>
      <c r="I135" s="2" t="s">
        <v>245</v>
      </c>
      <c r="J135" s="2" t="s">
        <v>136</v>
      </c>
      <c r="K135" s="3"/>
      <c r="L135" s="2" t="s">
        <v>223</v>
      </c>
      <c r="M135" s="2" t="s">
        <v>129</v>
      </c>
      <c r="N135" s="2" t="s">
        <v>155</v>
      </c>
      <c r="O135" s="2" t="s">
        <v>110</v>
      </c>
      <c r="P135" s="3"/>
      <c r="Q135" s="2" t="s">
        <v>145</v>
      </c>
      <c r="R135" s="2" t="s">
        <v>109</v>
      </c>
      <c r="S135" s="2" t="s">
        <v>177</v>
      </c>
      <c r="T135" s="2" t="s">
        <v>123</v>
      </c>
      <c r="U135" s="3"/>
      <c r="V135" s="2" t="s">
        <v>123</v>
      </c>
      <c r="W135" s="3"/>
      <c r="X135" s="3"/>
      <c r="Y135" s="2" t="s">
        <v>117</v>
      </c>
      <c r="Z135" s="3"/>
      <c r="AA135" s="3"/>
      <c r="AB135" s="2" t="s">
        <v>138</v>
      </c>
      <c r="AC135" s="2" t="s">
        <v>139</v>
      </c>
      <c r="AD135" s="2" t="s">
        <v>124</v>
      </c>
      <c r="AE135" s="3"/>
      <c r="AF135" s="2" t="s">
        <v>166</v>
      </c>
      <c r="AG135" s="3"/>
      <c r="AH135" s="2" t="s">
        <v>103</v>
      </c>
      <c r="AI135" s="3"/>
      <c r="AJ135" s="2" t="s">
        <v>128</v>
      </c>
      <c r="AK135" s="3"/>
      <c r="AL135" s="2" t="s">
        <v>167</v>
      </c>
      <c r="AM135" s="2" t="s">
        <v>122</v>
      </c>
      <c r="AN135" s="3"/>
      <c r="AO135" s="3"/>
      <c r="AP135" s="3"/>
      <c r="AQ135" s="3"/>
      <c r="AR135" s="3"/>
      <c r="AS135" s="3"/>
      <c r="AT135" s="2" t="s">
        <v>127</v>
      </c>
      <c r="AU135" s="2" t="s">
        <v>246</v>
      </c>
      <c r="AV135" s="3"/>
      <c r="AW135" s="2" t="s">
        <v>113</v>
      </c>
      <c r="AX135" s="3"/>
      <c r="AY135" s="2" t="s">
        <v>130</v>
      </c>
      <c r="AZ135" s="2" t="s">
        <v>103</v>
      </c>
      <c r="BA135" s="2" t="s">
        <v>113</v>
      </c>
      <c r="BB135" s="3"/>
      <c r="BC135" s="3"/>
      <c r="BD135" s="3"/>
      <c r="BE135" s="3"/>
      <c r="BF135" s="2" t="s">
        <v>137</v>
      </c>
      <c r="BG135" s="2" t="s">
        <v>186</v>
      </c>
      <c r="BH135" s="3"/>
      <c r="BI135" s="3"/>
      <c r="BJ135" s="2" t="s">
        <v>117</v>
      </c>
      <c r="BK135" s="2" t="s">
        <v>107</v>
      </c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2" t="s">
        <v>103</v>
      </c>
      <c r="CD135" s="2" t="s">
        <v>109</v>
      </c>
      <c r="CE135" s="3"/>
      <c r="CF135" s="3"/>
      <c r="CG135" s="3"/>
      <c r="CH135" s="3"/>
      <c r="CI135" s="2" t="s">
        <v>103</v>
      </c>
      <c r="CJ135" s="2" t="s">
        <v>112</v>
      </c>
      <c r="CK135" s="2" t="s">
        <v>126</v>
      </c>
      <c r="CL135" s="3"/>
      <c r="CM135" s="3"/>
      <c r="CN135" s="3"/>
      <c r="CO135" s="2" t="s">
        <v>105</v>
      </c>
      <c r="CP135" s="3"/>
      <c r="CQ135" s="3"/>
      <c r="CR135" s="3"/>
      <c r="CS135" s="3"/>
      <c r="CT135" s="3"/>
      <c r="CU135" s="3"/>
      <c r="CV135" s="3"/>
      <c r="CW135" s="3"/>
      <c r="CX135" s="2" t="s">
        <v>110</v>
      </c>
      <c r="CY135" s="2" t="s">
        <v>104</v>
      </c>
    </row>
    <row r="136" spans="1:103" ht="15.75" customHeight="1" x14ac:dyDescent="0.2">
      <c r="A136" s="2" t="s">
        <v>121</v>
      </c>
      <c r="B136" s="2" t="s">
        <v>122</v>
      </c>
      <c r="C136" s="2" t="s">
        <v>312</v>
      </c>
      <c r="D136" s="3"/>
      <c r="E136" s="2" t="s">
        <v>103</v>
      </c>
      <c r="F136" s="3"/>
      <c r="G136" s="3"/>
      <c r="H136" s="2" t="s">
        <v>104</v>
      </c>
      <c r="I136" s="2" t="s">
        <v>152</v>
      </c>
      <c r="J136" s="2" t="s">
        <v>154</v>
      </c>
      <c r="K136" s="3"/>
      <c r="L136" s="2" t="s">
        <v>148</v>
      </c>
      <c r="M136" s="2" t="s">
        <v>130</v>
      </c>
      <c r="N136" s="4" t="s">
        <v>178</v>
      </c>
      <c r="O136" s="3"/>
      <c r="P136" s="3"/>
      <c r="Q136" s="2" t="s">
        <v>112</v>
      </c>
      <c r="R136" s="2" t="s">
        <v>126</v>
      </c>
      <c r="S136" s="2" t="s">
        <v>147</v>
      </c>
      <c r="T136" s="2" t="s">
        <v>107</v>
      </c>
      <c r="U136" s="3"/>
      <c r="V136" s="2" t="s">
        <v>126</v>
      </c>
      <c r="W136" s="3"/>
      <c r="X136" s="3"/>
      <c r="Y136" s="2" t="s">
        <v>115</v>
      </c>
      <c r="Z136" s="3"/>
      <c r="AA136" s="3"/>
      <c r="AB136" s="2" t="s">
        <v>170</v>
      </c>
      <c r="AC136" s="2" t="s">
        <v>111</v>
      </c>
      <c r="AD136" s="2" t="s">
        <v>118</v>
      </c>
      <c r="AE136" s="3"/>
      <c r="AF136" s="2" t="s">
        <v>105</v>
      </c>
      <c r="AG136" s="2" t="s">
        <v>103</v>
      </c>
      <c r="AH136" s="3"/>
      <c r="AI136" s="3"/>
      <c r="AJ136" s="2" t="s">
        <v>147</v>
      </c>
      <c r="AK136" s="3"/>
      <c r="AL136" s="2" t="s">
        <v>126</v>
      </c>
      <c r="AM136" s="2" t="s">
        <v>212</v>
      </c>
      <c r="AN136" s="3"/>
      <c r="AO136" s="2" t="s">
        <v>122</v>
      </c>
      <c r="AP136" s="3"/>
      <c r="AQ136" s="3"/>
      <c r="AR136" s="2" t="s">
        <v>103</v>
      </c>
      <c r="AS136" s="3"/>
      <c r="AT136" s="2" t="s">
        <v>191</v>
      </c>
      <c r="AU136" s="2" t="s">
        <v>130</v>
      </c>
      <c r="AV136" s="2" t="s">
        <v>115</v>
      </c>
      <c r="AW136" s="2" t="s">
        <v>107</v>
      </c>
      <c r="AX136" s="3"/>
      <c r="AY136" s="2" t="s">
        <v>131</v>
      </c>
      <c r="AZ136" s="2" t="s">
        <v>116</v>
      </c>
      <c r="BA136" s="2" t="s">
        <v>173</v>
      </c>
      <c r="BB136" s="2" t="s">
        <v>117</v>
      </c>
      <c r="BC136" s="2" t="s">
        <v>107</v>
      </c>
      <c r="BD136" s="2" t="s">
        <v>116</v>
      </c>
      <c r="BE136" s="2" t="s">
        <v>104</v>
      </c>
      <c r="BF136" s="4" t="s">
        <v>221</v>
      </c>
      <c r="BG136" s="2" t="s">
        <v>247</v>
      </c>
      <c r="BH136" s="3"/>
      <c r="BI136" s="3"/>
      <c r="BJ136" s="2" t="s">
        <v>117</v>
      </c>
      <c r="BK136" s="2" t="s">
        <v>104</v>
      </c>
      <c r="BL136" s="2" t="s">
        <v>108</v>
      </c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2" t="s">
        <v>103</v>
      </c>
      <c r="CD136" s="2" t="s">
        <v>136</v>
      </c>
      <c r="CE136" s="3"/>
      <c r="CF136" s="3"/>
      <c r="CG136" s="3"/>
      <c r="CH136" s="3"/>
      <c r="CI136" s="2" t="s">
        <v>103</v>
      </c>
      <c r="CJ136" s="2" t="s">
        <v>109</v>
      </c>
      <c r="CK136" s="2" t="s">
        <v>130</v>
      </c>
      <c r="CL136" s="3"/>
      <c r="CM136" s="3"/>
      <c r="CN136" s="3"/>
      <c r="CO136" s="2" t="s">
        <v>109</v>
      </c>
      <c r="CP136" s="3"/>
      <c r="CQ136" s="3"/>
      <c r="CR136" s="3"/>
      <c r="CS136" s="3"/>
      <c r="CT136" s="3"/>
      <c r="CU136" s="3"/>
      <c r="CV136" s="3"/>
      <c r="CW136" s="3"/>
      <c r="CX136" s="2" t="s">
        <v>113</v>
      </c>
      <c r="CY136" s="2" t="s">
        <v>107</v>
      </c>
    </row>
    <row r="137" spans="1:103" ht="15.75" customHeight="1" x14ac:dyDescent="0.2">
      <c r="A137" s="2" t="s">
        <v>115</v>
      </c>
      <c r="B137" s="2" t="s">
        <v>122</v>
      </c>
      <c r="C137" s="2" t="s">
        <v>312</v>
      </c>
      <c r="D137" s="3"/>
      <c r="E137" s="2" t="s">
        <v>103</v>
      </c>
      <c r="F137" s="3"/>
      <c r="G137" s="3"/>
      <c r="H137" s="2" t="s">
        <v>105</v>
      </c>
      <c r="I137" s="2" t="s">
        <v>109</v>
      </c>
      <c r="J137" s="2" t="s">
        <v>107</v>
      </c>
      <c r="K137" s="3"/>
      <c r="L137" s="2" t="s">
        <v>207</v>
      </c>
      <c r="M137" s="2" t="s">
        <v>130</v>
      </c>
      <c r="N137" s="2" t="s">
        <v>149</v>
      </c>
      <c r="O137" s="2" t="s">
        <v>105</v>
      </c>
      <c r="P137" s="3"/>
      <c r="Q137" s="2" t="s">
        <v>112</v>
      </c>
      <c r="R137" s="2" t="s">
        <v>126</v>
      </c>
      <c r="S137" s="2" t="s">
        <v>142</v>
      </c>
      <c r="T137" s="2" t="s">
        <v>107</v>
      </c>
      <c r="U137" s="3"/>
      <c r="V137" s="2" t="s">
        <v>107</v>
      </c>
      <c r="W137" s="3"/>
      <c r="X137" s="3"/>
      <c r="Y137" s="2" t="s">
        <v>117</v>
      </c>
      <c r="Z137" s="3"/>
      <c r="AA137" s="3"/>
      <c r="AB137" s="2" t="s">
        <v>139</v>
      </c>
      <c r="AC137" s="2" t="s">
        <v>105</v>
      </c>
      <c r="AD137" s="2" t="s">
        <v>105</v>
      </c>
      <c r="AE137" s="3"/>
      <c r="AF137" s="2" t="s">
        <v>105</v>
      </c>
      <c r="AG137" s="3"/>
      <c r="AH137" s="3"/>
      <c r="AI137" s="3"/>
      <c r="AJ137" s="2" t="s">
        <v>125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2" t="s">
        <v>116</v>
      </c>
      <c r="AW137" s="2" t="s">
        <v>113</v>
      </c>
      <c r="AX137" s="3"/>
      <c r="AY137" s="2" t="s">
        <v>130</v>
      </c>
      <c r="AZ137" s="2" t="s">
        <v>103</v>
      </c>
      <c r="BA137" s="2" t="s">
        <v>113</v>
      </c>
      <c r="BB137" s="2" t="s">
        <v>116</v>
      </c>
      <c r="BC137" s="2" t="s">
        <v>105</v>
      </c>
      <c r="BD137" s="2" t="s">
        <v>116</v>
      </c>
      <c r="BE137" s="2" t="s">
        <v>107</v>
      </c>
      <c r="BF137" s="2" t="s">
        <v>111</v>
      </c>
      <c r="BG137" s="2" t="s">
        <v>159</v>
      </c>
      <c r="BH137" s="3"/>
      <c r="BI137" s="3"/>
      <c r="BJ137" s="2" t="s">
        <v>103</v>
      </c>
      <c r="BK137" s="2" t="s">
        <v>113</v>
      </c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2" t="s">
        <v>103</v>
      </c>
      <c r="CD137" s="2" t="s">
        <v>136</v>
      </c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2" t="s">
        <v>105</v>
      </c>
      <c r="CY137" s="2" t="s">
        <v>104</v>
      </c>
    </row>
    <row r="138" spans="1:103" ht="15.75" customHeight="1" x14ac:dyDescent="0.2">
      <c r="A138" s="2" t="s">
        <v>137</v>
      </c>
      <c r="B138" s="2" t="s">
        <v>122</v>
      </c>
      <c r="C138" s="2" t="s">
        <v>312</v>
      </c>
      <c r="D138" s="3"/>
      <c r="E138" s="2" t="s">
        <v>103</v>
      </c>
      <c r="F138" s="3"/>
      <c r="G138" s="3"/>
      <c r="H138" s="2" t="s">
        <v>212</v>
      </c>
      <c r="I138" s="2" t="s">
        <v>123</v>
      </c>
      <c r="J138" s="2" t="s">
        <v>141</v>
      </c>
      <c r="K138" s="3"/>
      <c r="L138" s="2" t="s">
        <v>195</v>
      </c>
      <c r="M138" s="2" t="s">
        <v>130</v>
      </c>
      <c r="N138" s="2" t="s">
        <v>165</v>
      </c>
      <c r="O138" s="3"/>
      <c r="P138" s="3"/>
      <c r="Q138" s="3"/>
      <c r="R138" s="3"/>
      <c r="S138" s="2" t="s">
        <v>134</v>
      </c>
      <c r="T138" s="2" t="s">
        <v>107</v>
      </c>
      <c r="U138" s="3"/>
      <c r="V138" s="2" t="s">
        <v>108</v>
      </c>
      <c r="W138" s="3"/>
      <c r="X138" s="3"/>
      <c r="Y138" s="2" t="s">
        <v>117</v>
      </c>
      <c r="Z138" s="3"/>
      <c r="AA138" s="3"/>
      <c r="AB138" s="2" t="s">
        <v>170</v>
      </c>
      <c r="AC138" s="2" t="s">
        <v>121</v>
      </c>
      <c r="AD138" s="2" t="s">
        <v>105</v>
      </c>
      <c r="AE138" s="3"/>
      <c r="AF138" s="2" t="s">
        <v>105</v>
      </c>
      <c r="AG138" s="2" t="s">
        <v>122</v>
      </c>
      <c r="AH138" s="2" t="s">
        <v>103</v>
      </c>
      <c r="AI138" s="3"/>
      <c r="AJ138" s="2" t="s">
        <v>155</v>
      </c>
      <c r="AK138" s="3"/>
      <c r="AL138" s="3"/>
      <c r="AM138" s="3"/>
      <c r="AN138" s="3"/>
      <c r="AO138" s="2" t="s">
        <v>138</v>
      </c>
      <c r="AP138" s="3"/>
      <c r="AQ138" s="2" t="s">
        <v>116</v>
      </c>
      <c r="AR138" s="3"/>
      <c r="AS138" s="3"/>
      <c r="AT138" s="3"/>
      <c r="AU138" s="3"/>
      <c r="AV138" s="2" t="s">
        <v>103</v>
      </c>
      <c r="AW138" s="2" t="s">
        <v>108</v>
      </c>
      <c r="AX138" s="2" t="s">
        <v>115</v>
      </c>
      <c r="AY138" s="2" t="s">
        <v>130</v>
      </c>
      <c r="AZ138" s="2" t="s">
        <v>117</v>
      </c>
      <c r="BA138" s="2" t="s">
        <v>126</v>
      </c>
      <c r="BB138" s="2" t="s">
        <v>116</v>
      </c>
      <c r="BC138" s="3"/>
      <c r="BD138" s="2" t="s">
        <v>103</v>
      </c>
      <c r="BE138" s="2" t="s">
        <v>113</v>
      </c>
      <c r="BF138" s="2" t="s">
        <v>137</v>
      </c>
      <c r="BG138" s="2" t="s">
        <v>245</v>
      </c>
      <c r="BH138" s="2" t="s">
        <v>121</v>
      </c>
      <c r="BI138" s="2" t="s">
        <v>110</v>
      </c>
      <c r="BJ138" s="2" t="s">
        <v>111</v>
      </c>
      <c r="BK138" s="2" t="s">
        <v>108</v>
      </c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2" t="s">
        <v>103</v>
      </c>
      <c r="CD138" s="2" t="s">
        <v>108</v>
      </c>
      <c r="CE138" s="3"/>
      <c r="CF138" s="3"/>
      <c r="CG138" s="3"/>
      <c r="CH138" s="3"/>
      <c r="CI138" s="2" t="s">
        <v>103</v>
      </c>
      <c r="CJ138" s="2" t="s">
        <v>126</v>
      </c>
      <c r="CK138" s="2" t="s">
        <v>126</v>
      </c>
      <c r="CL138" s="3"/>
      <c r="CM138" s="3"/>
      <c r="CN138" s="3"/>
      <c r="CO138" s="2" t="s">
        <v>113</v>
      </c>
      <c r="CP138" s="3"/>
      <c r="CQ138" s="3"/>
      <c r="CR138" s="3"/>
      <c r="CS138" s="3"/>
      <c r="CT138" s="3"/>
      <c r="CU138" s="3"/>
      <c r="CV138" s="3"/>
      <c r="CW138" s="3"/>
      <c r="CX138" s="2" t="s">
        <v>110</v>
      </c>
      <c r="CY138" s="2" t="s">
        <v>107</v>
      </c>
    </row>
    <row r="139" spans="1:103" ht="15.75" customHeight="1" x14ac:dyDescent="0.2">
      <c r="A139" s="2" t="s">
        <v>118</v>
      </c>
      <c r="B139" s="2" t="s">
        <v>122</v>
      </c>
      <c r="C139" s="2" t="s">
        <v>312</v>
      </c>
      <c r="D139" s="3"/>
      <c r="E139" s="2" t="s">
        <v>103</v>
      </c>
      <c r="F139" s="3"/>
      <c r="G139" s="3"/>
      <c r="H139" s="2" t="s">
        <v>116</v>
      </c>
      <c r="I139" s="2" t="s">
        <v>107</v>
      </c>
      <c r="J139" s="3"/>
      <c r="K139" s="3"/>
      <c r="L139" s="2" t="s">
        <v>155</v>
      </c>
      <c r="M139" s="2" t="s">
        <v>126</v>
      </c>
      <c r="N139" s="2" t="s">
        <v>130</v>
      </c>
      <c r="O139" s="3"/>
      <c r="P139" s="3"/>
      <c r="Q139" s="3"/>
      <c r="R139" s="3"/>
      <c r="S139" s="2" t="s">
        <v>130</v>
      </c>
      <c r="T139" s="2" t="s">
        <v>110</v>
      </c>
      <c r="U139" s="3"/>
      <c r="V139" s="2" t="s">
        <v>110</v>
      </c>
      <c r="W139" s="3"/>
      <c r="X139" s="3"/>
      <c r="Y139" s="2" t="s">
        <v>103</v>
      </c>
      <c r="Z139" s="3"/>
      <c r="AA139" s="3"/>
      <c r="AB139" s="2" t="s">
        <v>117</v>
      </c>
      <c r="AC139" s="3"/>
      <c r="AD139" s="2" t="s">
        <v>117</v>
      </c>
      <c r="AE139" s="3"/>
      <c r="AF139" s="2" t="s">
        <v>117</v>
      </c>
      <c r="AG139" s="3"/>
      <c r="AH139" s="3"/>
      <c r="AI139" s="3"/>
      <c r="AJ139" s="2" t="s">
        <v>135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2" t="s">
        <v>116</v>
      </c>
      <c r="AW139" s="2" t="s">
        <v>110</v>
      </c>
      <c r="AX139" s="3"/>
      <c r="AY139" s="2" t="s">
        <v>130</v>
      </c>
      <c r="AZ139" s="3"/>
      <c r="BA139" s="3"/>
      <c r="BB139" s="3"/>
      <c r="BC139" s="3"/>
      <c r="BD139" s="3"/>
      <c r="BE139" s="3"/>
      <c r="BF139" s="2" t="s">
        <v>103</v>
      </c>
      <c r="BG139" s="4" t="s">
        <v>105</v>
      </c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2" t="s">
        <v>103</v>
      </c>
      <c r="CD139" s="2" t="s">
        <v>136</v>
      </c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spans="1:103" ht="16.5" customHeight="1" x14ac:dyDescent="0.2">
      <c r="A140" s="2" t="s">
        <v>154</v>
      </c>
      <c r="B140" s="2" t="s">
        <v>122</v>
      </c>
      <c r="C140" s="2" t="s">
        <v>312</v>
      </c>
      <c r="D140" s="3"/>
      <c r="E140" s="2" t="s">
        <v>103</v>
      </c>
      <c r="F140" s="3"/>
      <c r="G140" s="3"/>
      <c r="H140" s="2" t="s">
        <v>108</v>
      </c>
      <c r="I140" s="2" t="s">
        <v>109</v>
      </c>
      <c r="J140" s="2" t="s">
        <v>123</v>
      </c>
      <c r="K140" s="3"/>
      <c r="L140" s="2" t="s">
        <v>148</v>
      </c>
      <c r="M140" s="2" t="s">
        <v>130</v>
      </c>
      <c r="N140" s="2" t="s">
        <v>222</v>
      </c>
      <c r="O140" s="2" t="s">
        <v>126</v>
      </c>
      <c r="P140" s="3"/>
      <c r="Q140" s="2" t="s">
        <v>112</v>
      </c>
      <c r="R140" s="2" t="s">
        <v>107</v>
      </c>
      <c r="S140" s="2" t="s">
        <v>155</v>
      </c>
      <c r="T140" s="2" t="s">
        <v>123</v>
      </c>
      <c r="U140" s="3"/>
      <c r="V140" s="2" t="s">
        <v>123</v>
      </c>
      <c r="W140" s="3"/>
      <c r="X140" s="3"/>
      <c r="Y140" s="2" t="s">
        <v>117</v>
      </c>
      <c r="Z140" s="3"/>
      <c r="AA140" s="2" t="s">
        <v>116</v>
      </c>
      <c r="AB140" s="2" t="s">
        <v>122</v>
      </c>
      <c r="AC140" s="2" t="s">
        <v>141</v>
      </c>
      <c r="AD140" s="2" t="s">
        <v>138</v>
      </c>
      <c r="AE140" s="2" t="s">
        <v>116</v>
      </c>
      <c r="AF140" s="2" t="s">
        <v>141</v>
      </c>
      <c r="AG140" s="2" t="s">
        <v>116</v>
      </c>
      <c r="AH140" s="3"/>
      <c r="AI140" s="3"/>
      <c r="AJ140" s="2" t="s">
        <v>248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2" t="s">
        <v>111</v>
      </c>
      <c r="AW140" s="2" t="s">
        <v>113</v>
      </c>
      <c r="AX140" s="2" t="s">
        <v>117</v>
      </c>
      <c r="AY140" s="2" t="s">
        <v>129</v>
      </c>
      <c r="AZ140" s="3"/>
      <c r="BA140" s="3"/>
      <c r="BB140" s="2" t="s">
        <v>116</v>
      </c>
      <c r="BC140" s="2" t="s">
        <v>117</v>
      </c>
      <c r="BD140" s="2" t="s">
        <v>116</v>
      </c>
      <c r="BE140" s="2" t="s">
        <v>107</v>
      </c>
      <c r="BF140" s="2" t="s">
        <v>139</v>
      </c>
      <c r="BG140" s="2" t="s">
        <v>134</v>
      </c>
      <c r="BH140" s="3"/>
      <c r="BI140" s="3"/>
      <c r="BJ140" s="2" t="s">
        <v>117</v>
      </c>
      <c r="BK140" s="2" t="s">
        <v>108</v>
      </c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2" t="s">
        <v>103</v>
      </c>
      <c r="CD140" s="2" t="s">
        <v>107</v>
      </c>
      <c r="CE140" s="3"/>
      <c r="CF140" s="3"/>
      <c r="CG140" s="3"/>
      <c r="CH140" s="3"/>
      <c r="CI140" s="2" t="s">
        <v>116</v>
      </c>
      <c r="CJ140" s="2" t="s">
        <v>126</v>
      </c>
      <c r="CK140" s="2" t="s">
        <v>112</v>
      </c>
      <c r="CL140" s="3"/>
      <c r="CM140" s="3"/>
      <c r="CN140" s="3"/>
      <c r="CO140" s="2" t="s">
        <v>136</v>
      </c>
      <c r="CP140" s="3"/>
      <c r="CQ140" s="3"/>
      <c r="CR140" s="3"/>
      <c r="CS140" s="3"/>
      <c r="CT140" s="3"/>
      <c r="CU140" s="3"/>
      <c r="CV140" s="3"/>
      <c r="CW140" s="3"/>
      <c r="CX140" s="2" t="s">
        <v>110</v>
      </c>
      <c r="CY140" s="2" t="s">
        <v>107</v>
      </c>
    </row>
    <row r="141" spans="1:103" ht="15.75" customHeight="1" x14ac:dyDescent="0.2">
      <c r="A141" s="2" t="s">
        <v>105</v>
      </c>
      <c r="B141" s="2" t="s">
        <v>122</v>
      </c>
      <c r="C141" s="2" t="s">
        <v>312</v>
      </c>
      <c r="D141" s="2"/>
      <c r="E141" s="2" t="s">
        <v>103</v>
      </c>
      <c r="F141" s="3"/>
      <c r="G141" s="3"/>
      <c r="H141" s="2" t="s">
        <v>137</v>
      </c>
      <c r="I141" s="2" t="s">
        <v>208</v>
      </c>
      <c r="J141" s="2" t="s">
        <v>108</v>
      </c>
      <c r="K141" s="3"/>
      <c r="L141" s="2" t="s">
        <v>207</v>
      </c>
      <c r="M141" s="2" t="s">
        <v>109</v>
      </c>
      <c r="N141" s="4" t="s">
        <v>142</v>
      </c>
      <c r="O141" s="3"/>
      <c r="P141" s="3"/>
      <c r="Q141" s="2" t="s">
        <v>112</v>
      </c>
      <c r="R141" s="2" t="s">
        <v>113</v>
      </c>
      <c r="S141" s="2" t="s">
        <v>134</v>
      </c>
      <c r="T141" s="2" t="s">
        <v>146</v>
      </c>
      <c r="U141" s="3"/>
      <c r="V141" s="2" t="s">
        <v>146</v>
      </c>
      <c r="W141" s="3"/>
      <c r="X141" s="3"/>
      <c r="Y141" s="2" t="s">
        <v>111</v>
      </c>
      <c r="Z141" s="3"/>
      <c r="AA141" s="3"/>
      <c r="AB141" s="2" t="s">
        <v>103</v>
      </c>
      <c r="AC141" s="2" t="s">
        <v>151</v>
      </c>
      <c r="AD141" s="2" t="s">
        <v>137</v>
      </c>
      <c r="AE141" s="3"/>
      <c r="AF141" s="2" t="s">
        <v>111</v>
      </c>
      <c r="AG141" s="2" t="s">
        <v>116</v>
      </c>
      <c r="AH141" s="2" t="s">
        <v>103</v>
      </c>
      <c r="AI141" s="3"/>
      <c r="AJ141" s="2" t="s">
        <v>125</v>
      </c>
      <c r="AK141" s="3"/>
      <c r="AL141" s="2" t="s">
        <v>151</v>
      </c>
      <c r="AM141" s="2" t="s">
        <v>115</v>
      </c>
      <c r="AN141" s="3"/>
      <c r="AO141" s="3"/>
      <c r="AP141" s="3"/>
      <c r="AQ141" s="3"/>
      <c r="AR141" s="3"/>
      <c r="AS141" s="3"/>
      <c r="AT141" s="2" t="s">
        <v>115</v>
      </c>
      <c r="AU141" s="2" t="s">
        <v>107</v>
      </c>
      <c r="AV141" s="2" t="s">
        <v>103</v>
      </c>
      <c r="AW141" s="2" t="s">
        <v>105</v>
      </c>
      <c r="AX141" s="3"/>
      <c r="AY141" s="2" t="s">
        <v>109</v>
      </c>
      <c r="AZ141" s="3"/>
      <c r="BA141" s="3"/>
      <c r="BB141" s="3"/>
      <c r="BC141" s="3"/>
      <c r="BD141" s="2" t="s">
        <v>103</v>
      </c>
      <c r="BE141" s="2" t="s">
        <v>113</v>
      </c>
      <c r="BF141" s="2" t="s">
        <v>121</v>
      </c>
      <c r="BG141" s="2" t="s">
        <v>249</v>
      </c>
      <c r="BH141" s="3"/>
      <c r="BI141" s="3"/>
      <c r="BJ141" s="3"/>
      <c r="BK141" s="3"/>
      <c r="BL141" s="3"/>
      <c r="BM141" s="2" t="s">
        <v>116</v>
      </c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2">
        <f>1/2</f>
        <v>0.5</v>
      </c>
      <c r="CD141" s="2" t="s">
        <v>136</v>
      </c>
      <c r="CE141" s="3"/>
      <c r="CF141" s="3"/>
      <c r="CG141" s="3"/>
      <c r="CH141" s="3"/>
      <c r="CI141" s="2" t="s">
        <v>103</v>
      </c>
      <c r="CJ141" s="2" t="s">
        <v>113</v>
      </c>
      <c r="CK141" s="2" t="s">
        <v>108</v>
      </c>
      <c r="CL141" s="3"/>
      <c r="CM141" s="3"/>
      <c r="CN141" s="3"/>
      <c r="CO141" s="2" t="s">
        <v>105</v>
      </c>
      <c r="CP141" s="3"/>
      <c r="CQ141" s="3"/>
      <c r="CR141" s="3"/>
      <c r="CS141" s="3"/>
      <c r="CT141" s="3"/>
      <c r="CU141" s="3"/>
      <c r="CV141" s="3"/>
      <c r="CW141" s="3"/>
      <c r="CX141" s="2" t="s">
        <v>113</v>
      </c>
      <c r="CY141" s="2" t="s">
        <v>126</v>
      </c>
    </row>
    <row r="142" spans="1:103" ht="15.75" customHeight="1" x14ac:dyDescent="0.2">
      <c r="A142" s="2" t="s">
        <v>103</v>
      </c>
      <c r="B142" s="2" t="s">
        <v>110</v>
      </c>
      <c r="C142" s="2" t="s">
        <v>312</v>
      </c>
      <c r="D142" s="3"/>
      <c r="E142" s="3"/>
      <c r="F142" s="2" t="s">
        <v>103</v>
      </c>
      <c r="G142" s="3"/>
      <c r="H142" s="2" t="s">
        <v>121</v>
      </c>
      <c r="I142" s="2" t="s">
        <v>158</v>
      </c>
      <c r="J142" s="2" t="s">
        <v>104</v>
      </c>
      <c r="K142" s="3"/>
      <c r="L142" s="2" t="s">
        <v>174</v>
      </c>
      <c r="M142" s="2" t="s">
        <v>108</v>
      </c>
      <c r="N142" s="2" t="s">
        <v>176</v>
      </c>
      <c r="O142" s="2" t="s">
        <v>105</v>
      </c>
      <c r="P142" s="3"/>
      <c r="Q142" s="2" t="s">
        <v>143</v>
      </c>
      <c r="R142" s="2" t="s">
        <v>146</v>
      </c>
      <c r="S142" s="2" t="s">
        <v>131</v>
      </c>
      <c r="T142" s="2" t="s">
        <v>113</v>
      </c>
      <c r="U142" s="3"/>
      <c r="V142" s="2" t="s">
        <v>113</v>
      </c>
      <c r="W142" s="3"/>
      <c r="X142" s="3"/>
      <c r="Y142" s="2" t="s">
        <v>116</v>
      </c>
      <c r="Z142" s="3"/>
      <c r="AA142" s="3"/>
      <c r="AB142" s="2" t="s">
        <v>115</v>
      </c>
      <c r="AC142" s="2" t="s">
        <v>137</v>
      </c>
      <c r="AD142" s="2" t="s">
        <v>115</v>
      </c>
      <c r="AE142" s="3"/>
      <c r="AF142" s="2" t="s">
        <v>116</v>
      </c>
      <c r="AG142" s="3"/>
      <c r="AH142" s="3"/>
      <c r="AI142" s="3"/>
      <c r="AJ142" s="2" t="s">
        <v>106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2" t="s">
        <v>103</v>
      </c>
      <c r="AW142" s="3"/>
      <c r="AX142" s="2" t="s">
        <v>115</v>
      </c>
      <c r="AY142" s="2" t="s">
        <v>126</v>
      </c>
      <c r="AZ142" s="3"/>
      <c r="BA142" s="3"/>
      <c r="BB142" s="3"/>
      <c r="BC142" s="3"/>
      <c r="BD142" s="4">
        <f>1 +(1/2)</f>
        <v>1.5</v>
      </c>
      <c r="BE142" s="2" t="s">
        <v>117</v>
      </c>
      <c r="BF142" s="4">
        <f>2 +(1/2)</f>
        <v>2.5</v>
      </c>
      <c r="BG142" s="2" t="s">
        <v>120</v>
      </c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2" t="s">
        <v>103</v>
      </c>
      <c r="CD142" s="2" t="s">
        <v>126</v>
      </c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2" t="s">
        <v>105</v>
      </c>
      <c r="CY142" s="2" t="s">
        <v>108</v>
      </c>
    </row>
    <row r="143" spans="1:103" ht="15.75" customHeight="1" x14ac:dyDescent="0.2">
      <c r="A143" s="2" t="s">
        <v>116</v>
      </c>
      <c r="B143" s="2" t="s">
        <v>110</v>
      </c>
      <c r="C143" s="2" t="s">
        <v>312</v>
      </c>
      <c r="D143" s="3"/>
      <c r="E143" s="2" t="s">
        <v>103</v>
      </c>
      <c r="F143" s="3"/>
      <c r="G143" s="3"/>
      <c r="H143" s="2" t="s">
        <v>118</v>
      </c>
      <c r="I143" s="2" t="s">
        <v>208</v>
      </c>
      <c r="J143" s="2" t="s">
        <v>118</v>
      </c>
      <c r="K143" s="3"/>
      <c r="L143" s="2" t="s">
        <v>190</v>
      </c>
      <c r="M143" s="2" t="s">
        <v>112</v>
      </c>
      <c r="N143" s="2" t="s">
        <v>135</v>
      </c>
      <c r="O143" s="3"/>
      <c r="P143" s="3"/>
      <c r="Q143" s="3"/>
      <c r="R143" s="3"/>
      <c r="S143" s="2" t="s">
        <v>135</v>
      </c>
      <c r="T143" s="2" t="s">
        <v>104</v>
      </c>
      <c r="U143" s="3"/>
      <c r="V143" s="2" t="s">
        <v>113</v>
      </c>
      <c r="W143" s="3"/>
      <c r="X143" s="3"/>
      <c r="Y143" s="2" t="s">
        <v>116</v>
      </c>
      <c r="Z143" s="3"/>
      <c r="AA143" s="3"/>
      <c r="AB143" s="2" t="s">
        <v>121</v>
      </c>
      <c r="AC143" s="2" t="s">
        <v>170</v>
      </c>
      <c r="AD143" s="2" t="s">
        <v>117</v>
      </c>
      <c r="AE143" s="3"/>
      <c r="AF143" s="3"/>
      <c r="AG143" s="3"/>
      <c r="AH143" s="2" t="s">
        <v>103</v>
      </c>
      <c r="AI143" s="3"/>
      <c r="AJ143" s="2" t="s">
        <v>134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2" t="s">
        <v>116</v>
      </c>
      <c r="AW143" s="2" t="s">
        <v>105</v>
      </c>
      <c r="AX143" s="3"/>
      <c r="AY143" s="2" t="s">
        <v>109</v>
      </c>
      <c r="AZ143" s="3"/>
      <c r="BA143" s="3"/>
      <c r="BB143" s="3"/>
      <c r="BC143" s="3"/>
      <c r="BD143" s="2" t="s">
        <v>117</v>
      </c>
      <c r="BE143" s="2" t="s">
        <v>107</v>
      </c>
      <c r="BF143" s="4">
        <f>1 +(1/2)</f>
        <v>1.5</v>
      </c>
      <c r="BG143" s="2" t="s">
        <v>208</v>
      </c>
      <c r="BH143" s="3"/>
      <c r="BI143" s="3"/>
      <c r="BJ143" s="2" t="s">
        <v>116</v>
      </c>
      <c r="BK143" s="2" t="s">
        <v>212</v>
      </c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2" t="s">
        <v>103</v>
      </c>
      <c r="CD143" s="2" t="s">
        <v>112</v>
      </c>
      <c r="CE143" s="3"/>
      <c r="CF143" s="3"/>
      <c r="CG143" s="3"/>
      <c r="CH143" s="3"/>
      <c r="CI143" s="2" t="s">
        <v>116</v>
      </c>
      <c r="CJ143" s="2" t="s">
        <v>104</v>
      </c>
      <c r="CK143" s="2" t="s">
        <v>136</v>
      </c>
      <c r="CL143" s="3"/>
      <c r="CM143" s="3"/>
      <c r="CN143" s="3"/>
      <c r="CO143" s="2" t="s">
        <v>108</v>
      </c>
      <c r="CP143" s="3"/>
      <c r="CQ143" s="3"/>
      <c r="CR143" s="3"/>
      <c r="CS143" s="3"/>
      <c r="CT143" s="3"/>
      <c r="CU143" s="3"/>
      <c r="CV143" s="3"/>
      <c r="CW143" s="3"/>
      <c r="CX143" s="2" t="s">
        <v>105</v>
      </c>
      <c r="CY143" s="2" t="s">
        <v>108</v>
      </c>
    </row>
    <row r="144" spans="1:103" ht="15.75" customHeight="1" x14ac:dyDescent="0.2">
      <c r="A144" s="2" t="s">
        <v>117</v>
      </c>
      <c r="B144" s="2" t="s">
        <v>110</v>
      </c>
      <c r="C144" s="2" t="s">
        <v>312</v>
      </c>
      <c r="D144" s="3"/>
      <c r="E144" s="2" t="s">
        <v>103</v>
      </c>
      <c r="F144" s="3"/>
      <c r="G144" s="3"/>
      <c r="H144" s="2" t="s">
        <v>105</v>
      </c>
      <c r="I144" s="2" t="s">
        <v>126</v>
      </c>
      <c r="J144" s="2" t="s">
        <v>118</v>
      </c>
      <c r="K144" s="3"/>
      <c r="L144" s="2" t="s">
        <v>125</v>
      </c>
      <c r="M144" s="2" t="s">
        <v>108</v>
      </c>
      <c r="N144" s="2" t="s">
        <v>145</v>
      </c>
      <c r="O144" s="2" t="s">
        <v>118</v>
      </c>
      <c r="P144" s="3"/>
      <c r="Q144" s="3"/>
      <c r="R144" s="3"/>
      <c r="S144" s="2" t="s">
        <v>131</v>
      </c>
      <c r="T144" s="2" t="s">
        <v>113</v>
      </c>
      <c r="U144" s="3"/>
      <c r="V144" s="2" t="s">
        <v>108</v>
      </c>
      <c r="W144" s="3"/>
      <c r="X144" s="3"/>
      <c r="Y144" s="2" t="s">
        <v>116</v>
      </c>
      <c r="Z144" s="3"/>
      <c r="AA144" s="3"/>
      <c r="AB144" s="2" t="s">
        <v>111</v>
      </c>
      <c r="AC144" s="2" t="s">
        <v>118</v>
      </c>
      <c r="AD144" s="2" t="s">
        <v>111</v>
      </c>
      <c r="AE144" s="3"/>
      <c r="AF144" s="3"/>
      <c r="AG144" s="3"/>
      <c r="AH144" s="2" t="s">
        <v>117</v>
      </c>
      <c r="AI144" s="3"/>
      <c r="AJ144" s="2" t="s">
        <v>134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2" t="s">
        <v>116</v>
      </c>
      <c r="AW144" s="2" t="s">
        <v>116</v>
      </c>
      <c r="AX144" s="3"/>
      <c r="AY144" s="2" t="s">
        <v>108</v>
      </c>
      <c r="AZ144" s="3"/>
      <c r="BA144" s="3"/>
      <c r="BB144" s="3"/>
      <c r="BC144" s="3"/>
      <c r="BD144" s="2" t="s">
        <v>103</v>
      </c>
      <c r="BE144" s="2" t="s">
        <v>136</v>
      </c>
      <c r="BF144" s="2" t="s">
        <v>111</v>
      </c>
      <c r="BG144" s="2" t="s">
        <v>120</v>
      </c>
      <c r="BH144" s="3"/>
      <c r="BI144" s="3"/>
      <c r="BJ144" s="2" t="s">
        <v>103</v>
      </c>
      <c r="BK144" s="2" t="s">
        <v>122</v>
      </c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2" t="s">
        <v>103</v>
      </c>
      <c r="CD144" s="2" t="s">
        <v>109</v>
      </c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2" t="s">
        <v>110</v>
      </c>
      <c r="CY144" s="2" t="s">
        <v>104</v>
      </c>
    </row>
    <row r="145" spans="1:103" ht="15.75" customHeight="1" x14ac:dyDescent="0.2">
      <c r="A145" s="2" t="s">
        <v>111</v>
      </c>
      <c r="B145" s="2" t="s">
        <v>110</v>
      </c>
      <c r="C145" s="2" t="s">
        <v>312</v>
      </c>
      <c r="D145" s="3"/>
      <c r="E145" s="2" t="s">
        <v>103</v>
      </c>
      <c r="F145" s="3"/>
      <c r="G145" s="3"/>
      <c r="H145" s="2" t="s">
        <v>170</v>
      </c>
      <c r="I145" s="2" t="s">
        <v>250</v>
      </c>
      <c r="J145" s="3"/>
      <c r="K145" s="3"/>
      <c r="L145" s="2" t="s">
        <v>195</v>
      </c>
      <c r="M145" s="2" t="s">
        <v>130</v>
      </c>
      <c r="N145" s="2" t="s">
        <v>134</v>
      </c>
      <c r="O145" s="3"/>
      <c r="P145" s="3"/>
      <c r="Q145" s="2" t="s">
        <v>132</v>
      </c>
      <c r="R145" s="2" t="s">
        <v>122</v>
      </c>
      <c r="S145" s="2" t="s">
        <v>165</v>
      </c>
      <c r="T145" s="2" t="s">
        <v>156</v>
      </c>
      <c r="U145" s="3"/>
      <c r="V145" s="2" t="s">
        <v>146</v>
      </c>
      <c r="W145" s="3"/>
      <c r="X145" s="3"/>
      <c r="Y145" s="2" t="s">
        <v>116</v>
      </c>
      <c r="Z145" s="3"/>
      <c r="AA145" s="3"/>
      <c r="AB145" s="2" t="s">
        <v>115</v>
      </c>
      <c r="AC145" s="2" t="s">
        <v>118</v>
      </c>
      <c r="AD145" s="2" t="s">
        <v>151</v>
      </c>
      <c r="AE145" s="3"/>
      <c r="AF145" s="2" t="s">
        <v>105</v>
      </c>
      <c r="AG145" s="2" t="s">
        <v>117</v>
      </c>
      <c r="AH145" s="3"/>
      <c r="AI145" s="3"/>
      <c r="AJ145" s="2" t="s">
        <v>177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2" t="s">
        <v>116</v>
      </c>
      <c r="AW145" s="2" t="s">
        <v>168</v>
      </c>
      <c r="AX145" s="3"/>
      <c r="AY145" s="2" t="s">
        <v>130</v>
      </c>
      <c r="AZ145" s="2" t="s">
        <v>103</v>
      </c>
      <c r="BA145" s="2" t="s">
        <v>124</v>
      </c>
      <c r="BB145" s="2" t="s">
        <v>103</v>
      </c>
      <c r="BC145" s="2" t="s">
        <v>122</v>
      </c>
      <c r="BD145" s="2" t="s">
        <v>117</v>
      </c>
      <c r="BE145" s="2" t="s">
        <v>126</v>
      </c>
      <c r="BF145" s="2" t="s">
        <v>118</v>
      </c>
      <c r="BG145" s="2" t="s">
        <v>213</v>
      </c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2" t="s">
        <v>103</v>
      </c>
      <c r="CD145" s="2" t="s">
        <v>109</v>
      </c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spans="1:103" ht="15.75" customHeight="1" x14ac:dyDescent="0.2">
      <c r="A146" s="2" t="s">
        <v>121</v>
      </c>
      <c r="B146" s="2" t="s">
        <v>110</v>
      </c>
      <c r="C146" s="2" t="s">
        <v>312</v>
      </c>
      <c r="D146" s="3"/>
      <c r="E146" s="2" t="s">
        <v>103</v>
      </c>
      <c r="F146" s="3"/>
      <c r="G146" s="3"/>
      <c r="H146" s="3"/>
      <c r="I146" s="2" t="s">
        <v>115</v>
      </c>
      <c r="J146" s="3"/>
      <c r="K146" s="3"/>
      <c r="L146" s="2" t="s">
        <v>134</v>
      </c>
      <c r="M146" s="2" t="s">
        <v>105</v>
      </c>
      <c r="N146" s="2" t="s">
        <v>109</v>
      </c>
      <c r="O146" s="3"/>
      <c r="P146" s="3"/>
      <c r="Q146" s="3"/>
      <c r="R146" s="3"/>
      <c r="S146" s="2" t="s">
        <v>109</v>
      </c>
      <c r="T146" s="2" t="s">
        <v>117</v>
      </c>
      <c r="U146" s="3"/>
      <c r="V146" s="2" t="s">
        <v>117</v>
      </c>
      <c r="W146" s="3"/>
      <c r="X146" s="3"/>
      <c r="Y146" s="3"/>
      <c r="Z146" s="3"/>
      <c r="AA146" s="3"/>
      <c r="AB146" s="2" t="s">
        <v>103</v>
      </c>
      <c r="AC146" s="2" t="s">
        <v>103</v>
      </c>
      <c r="AD146" s="2" t="s">
        <v>103</v>
      </c>
      <c r="AE146" s="3"/>
      <c r="AF146" s="3"/>
      <c r="AG146" s="3"/>
      <c r="AH146" s="3"/>
      <c r="AI146" s="3"/>
      <c r="AJ146" s="2" t="s">
        <v>112</v>
      </c>
      <c r="AK146" s="3"/>
      <c r="AL146" s="2" t="s">
        <v>103</v>
      </c>
      <c r="AM146" s="3"/>
      <c r="AN146" s="3"/>
      <c r="AO146" s="3"/>
      <c r="AP146" s="3"/>
      <c r="AQ146" s="3"/>
      <c r="AR146" s="3"/>
      <c r="AS146" s="3"/>
      <c r="AT146" s="2" t="s">
        <v>103</v>
      </c>
      <c r="AU146" s="2" t="s">
        <v>137</v>
      </c>
      <c r="AV146" s="2" t="s">
        <v>103</v>
      </c>
      <c r="AW146" s="2" t="s">
        <v>113</v>
      </c>
      <c r="AX146" s="3"/>
      <c r="AY146" s="2" t="s">
        <v>130</v>
      </c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spans="1:103" ht="15.75" customHeight="1" x14ac:dyDescent="0.2">
      <c r="A147" s="2" t="s">
        <v>115</v>
      </c>
      <c r="B147" s="2" t="s">
        <v>110</v>
      </c>
      <c r="C147" s="2" t="s">
        <v>312</v>
      </c>
      <c r="D147" s="3"/>
      <c r="E147" s="2" t="s">
        <v>103</v>
      </c>
      <c r="F147" s="3"/>
      <c r="G147" s="3"/>
      <c r="H147" s="2" t="s">
        <v>121</v>
      </c>
      <c r="I147" s="2" t="s">
        <v>136</v>
      </c>
      <c r="J147" s="2" t="s">
        <v>113</v>
      </c>
      <c r="K147" s="3"/>
      <c r="L147" s="2" t="s">
        <v>190</v>
      </c>
      <c r="M147" s="2" t="s">
        <v>130</v>
      </c>
      <c r="N147" s="2" t="s">
        <v>149</v>
      </c>
      <c r="O147" s="3"/>
      <c r="P147" s="4" t="s">
        <v>151</v>
      </c>
      <c r="Q147" s="2" t="s">
        <v>112</v>
      </c>
      <c r="R147" s="2" t="s">
        <v>108</v>
      </c>
      <c r="S147" s="2" t="s">
        <v>149</v>
      </c>
      <c r="T147" s="2" t="s">
        <v>108</v>
      </c>
      <c r="U147" s="3"/>
      <c r="V147" s="2" t="s">
        <v>113</v>
      </c>
      <c r="W147" s="3"/>
      <c r="X147" s="3"/>
      <c r="Y147" s="2" t="s">
        <v>116</v>
      </c>
      <c r="Z147" s="3"/>
      <c r="AA147" s="3"/>
      <c r="AB147" s="2" t="s">
        <v>137</v>
      </c>
      <c r="AC147" s="2" t="s">
        <v>137</v>
      </c>
      <c r="AD147" s="2" t="s">
        <v>111</v>
      </c>
      <c r="AE147" s="2" t="s">
        <v>117</v>
      </c>
      <c r="AF147" s="2" t="s">
        <v>116</v>
      </c>
      <c r="AG147" s="3"/>
      <c r="AH147" s="3"/>
      <c r="AI147" s="3"/>
      <c r="AJ147" s="2" t="s">
        <v>142</v>
      </c>
      <c r="AK147" s="3"/>
      <c r="AL147" s="2" t="s">
        <v>251</v>
      </c>
      <c r="AM147" s="2" t="s">
        <v>167</v>
      </c>
      <c r="AN147" s="3"/>
      <c r="AO147" s="3"/>
      <c r="AP147" s="3"/>
      <c r="AQ147" s="3"/>
      <c r="AR147" s="3"/>
      <c r="AS147" s="3"/>
      <c r="AT147" s="2" t="s">
        <v>107</v>
      </c>
      <c r="AU147" s="4" t="s">
        <v>252</v>
      </c>
      <c r="AV147" s="2" t="s">
        <v>116</v>
      </c>
      <c r="AW147" s="2" t="s">
        <v>196</v>
      </c>
      <c r="AX147" s="3"/>
      <c r="AY147" s="2" t="s">
        <v>130</v>
      </c>
      <c r="AZ147" s="3"/>
      <c r="BA147" s="3"/>
      <c r="BB147" s="3"/>
      <c r="BC147" s="3"/>
      <c r="BD147" s="2">
        <f t="shared" ref="BD147:BD148" si="3">1/2</f>
        <v>0.5</v>
      </c>
      <c r="BE147" s="2" t="s">
        <v>141</v>
      </c>
      <c r="BF147" s="4">
        <f>2 +(1/2)</f>
        <v>2.5</v>
      </c>
      <c r="BG147" s="2" t="s">
        <v>120</v>
      </c>
      <c r="BH147" s="3"/>
      <c r="BI147" s="3"/>
      <c r="BJ147" s="2">
        <f>1/2</f>
        <v>0.5</v>
      </c>
      <c r="BK147" s="2" t="s">
        <v>137</v>
      </c>
      <c r="BL147" s="2" t="s">
        <v>166</v>
      </c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2">
        <f>1/2</f>
        <v>0.5</v>
      </c>
      <c r="CD147" s="2" t="s">
        <v>120</v>
      </c>
      <c r="CE147" s="3"/>
      <c r="CF147" s="3"/>
      <c r="CG147" s="3"/>
      <c r="CH147" s="3"/>
      <c r="CI147" s="2">
        <f t="shared" ref="CI147:CI148" si="4">1/2</f>
        <v>0.5</v>
      </c>
      <c r="CJ147" s="2" t="s">
        <v>136</v>
      </c>
      <c r="CK147" s="2" t="s">
        <v>130</v>
      </c>
      <c r="CL147" s="3"/>
      <c r="CM147" s="3"/>
      <c r="CN147" s="3"/>
      <c r="CO147" s="2" t="s">
        <v>109</v>
      </c>
      <c r="CP147" s="3"/>
      <c r="CQ147" s="3"/>
      <c r="CR147" s="3"/>
      <c r="CS147" s="3"/>
      <c r="CT147" s="3"/>
      <c r="CU147" s="3"/>
      <c r="CV147" s="3"/>
      <c r="CW147" s="3"/>
      <c r="CX147" s="2" t="s">
        <v>110</v>
      </c>
      <c r="CY147" s="2" t="s">
        <v>156</v>
      </c>
    </row>
    <row r="148" spans="1:103" ht="15.75" customHeight="1" x14ac:dyDescent="0.2">
      <c r="A148" s="2" t="s">
        <v>137</v>
      </c>
      <c r="B148" s="2" t="s">
        <v>110</v>
      </c>
      <c r="C148" s="2" t="s">
        <v>312</v>
      </c>
      <c r="D148" s="3"/>
      <c r="E148" s="2" t="s">
        <v>103</v>
      </c>
      <c r="F148" s="3"/>
      <c r="G148" s="3"/>
      <c r="H148" s="2" t="s">
        <v>105</v>
      </c>
      <c r="I148" s="2" t="s">
        <v>158</v>
      </c>
      <c r="J148" s="2" t="s">
        <v>121</v>
      </c>
      <c r="K148" s="3"/>
      <c r="L148" s="2" t="s">
        <v>193</v>
      </c>
      <c r="M148" s="3"/>
      <c r="N148" s="4" t="s">
        <v>253</v>
      </c>
      <c r="O148" s="3"/>
      <c r="P148" s="3"/>
      <c r="Q148" s="3"/>
      <c r="R148" s="3"/>
      <c r="S148" s="3"/>
      <c r="T148" s="2" t="s">
        <v>113</v>
      </c>
      <c r="U148" s="3"/>
      <c r="V148" s="2" t="s">
        <v>110</v>
      </c>
      <c r="W148" s="3"/>
      <c r="X148" s="3"/>
      <c r="Y148" s="2" t="s">
        <v>103</v>
      </c>
      <c r="Z148" s="3"/>
      <c r="AA148" s="3"/>
      <c r="AB148" s="2" t="s">
        <v>121</v>
      </c>
      <c r="AC148" s="2" t="s">
        <v>121</v>
      </c>
      <c r="AD148" s="2" t="s">
        <v>121</v>
      </c>
      <c r="AE148" s="3"/>
      <c r="AF148" s="2" t="s">
        <v>121</v>
      </c>
      <c r="AG148" s="3"/>
      <c r="AH148" s="3"/>
      <c r="AI148" s="3"/>
      <c r="AJ148" s="2" t="s">
        <v>254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2" t="s">
        <v>103</v>
      </c>
      <c r="BA148" s="2" t="s">
        <v>115</v>
      </c>
      <c r="BB148" s="3"/>
      <c r="BC148" s="3"/>
      <c r="BD148" s="2">
        <f t="shared" si="3"/>
        <v>0.5</v>
      </c>
      <c r="BE148" s="2" t="s">
        <v>110</v>
      </c>
      <c r="BF148" s="2" t="s">
        <v>117</v>
      </c>
      <c r="BG148" s="2" t="s">
        <v>120</v>
      </c>
      <c r="BH148" s="3"/>
      <c r="BI148" s="3"/>
      <c r="BJ148" s="2" t="s">
        <v>103</v>
      </c>
      <c r="BK148" s="2" t="s">
        <v>111</v>
      </c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2">
        <f>1/4</f>
        <v>0.25</v>
      </c>
      <c r="CD148" s="2" t="s">
        <v>104</v>
      </c>
      <c r="CE148" s="3"/>
      <c r="CF148" s="3"/>
      <c r="CG148" s="3"/>
      <c r="CH148" s="3"/>
      <c r="CI148" s="2">
        <f t="shared" si="4"/>
        <v>0.5</v>
      </c>
      <c r="CJ148" s="2" t="s">
        <v>104</v>
      </c>
      <c r="CK148" s="2" t="s">
        <v>107</v>
      </c>
      <c r="CL148" s="3"/>
      <c r="CM148" s="3"/>
      <c r="CN148" s="3"/>
      <c r="CO148" s="2" t="s">
        <v>113</v>
      </c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spans="1:103" ht="15.75" customHeight="1" x14ac:dyDescent="0.2">
      <c r="A149" s="2" t="s">
        <v>118</v>
      </c>
      <c r="B149" s="2" t="s">
        <v>110</v>
      </c>
      <c r="C149" s="2" t="s">
        <v>312</v>
      </c>
      <c r="D149" s="3"/>
      <c r="E149" s="2" t="s">
        <v>103</v>
      </c>
      <c r="F149" s="3"/>
      <c r="G149" s="3"/>
      <c r="H149" s="2" t="s">
        <v>104</v>
      </c>
      <c r="I149" s="2" t="s">
        <v>130</v>
      </c>
      <c r="J149" s="2" t="s">
        <v>126</v>
      </c>
      <c r="K149" s="3"/>
      <c r="L149" s="2" t="s">
        <v>207</v>
      </c>
      <c r="M149" s="2" t="s">
        <v>130</v>
      </c>
      <c r="N149" s="2" t="s">
        <v>155</v>
      </c>
      <c r="O149" s="2" t="s">
        <v>104</v>
      </c>
      <c r="P149" s="3"/>
      <c r="Q149" s="4" t="s">
        <v>143</v>
      </c>
      <c r="R149" s="2" t="s">
        <v>126</v>
      </c>
      <c r="S149" s="2" t="s">
        <v>178</v>
      </c>
      <c r="T149" s="4" t="s">
        <v>123</v>
      </c>
      <c r="U149" s="3"/>
      <c r="V149" s="2" t="s">
        <v>123</v>
      </c>
      <c r="W149" s="3"/>
      <c r="X149" s="3"/>
      <c r="Y149" s="2" t="s">
        <v>137</v>
      </c>
      <c r="Z149" s="3"/>
      <c r="AA149" s="3"/>
      <c r="AB149" s="2" t="s">
        <v>205</v>
      </c>
      <c r="AC149" s="2" t="s">
        <v>141</v>
      </c>
      <c r="AD149" s="2" t="s">
        <v>205</v>
      </c>
      <c r="AE149" s="3"/>
      <c r="AF149" s="2" t="s">
        <v>137</v>
      </c>
      <c r="AG149" s="2" t="s">
        <v>122</v>
      </c>
      <c r="AH149" s="3"/>
      <c r="AI149" s="3"/>
      <c r="AJ149" s="2" t="s">
        <v>128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2" t="s">
        <v>117</v>
      </c>
      <c r="AW149" s="2" t="s">
        <v>107</v>
      </c>
      <c r="AX149" s="3"/>
      <c r="AY149" s="2" t="s">
        <v>131</v>
      </c>
      <c r="AZ149" s="2" t="s">
        <v>103</v>
      </c>
      <c r="BA149" s="2" t="s">
        <v>108</v>
      </c>
      <c r="BB149" s="2" t="s">
        <v>117</v>
      </c>
      <c r="BC149" s="2" t="s">
        <v>139</v>
      </c>
      <c r="BD149" s="2" t="s">
        <v>111</v>
      </c>
      <c r="BE149" s="2" t="s">
        <v>126</v>
      </c>
      <c r="BF149" s="2" t="s">
        <v>113</v>
      </c>
      <c r="BG149" s="2" t="s">
        <v>134</v>
      </c>
      <c r="BH149" s="3"/>
      <c r="BI149" s="3"/>
      <c r="BJ149" s="2" t="s">
        <v>116</v>
      </c>
      <c r="BK149" s="4" t="s">
        <v>185</v>
      </c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2">
        <f>1/2</f>
        <v>0.5</v>
      </c>
      <c r="CD149" s="2" t="s">
        <v>107</v>
      </c>
      <c r="CE149" s="3"/>
      <c r="CF149" s="3"/>
      <c r="CG149" s="3"/>
      <c r="CH149" s="3"/>
      <c r="CI149" s="2" t="s">
        <v>116</v>
      </c>
      <c r="CJ149" s="2" t="s">
        <v>126</v>
      </c>
      <c r="CK149" s="2" t="s">
        <v>109</v>
      </c>
      <c r="CL149" s="3"/>
      <c r="CM149" s="3"/>
      <c r="CN149" s="3"/>
      <c r="CO149" s="2" t="s">
        <v>108</v>
      </c>
      <c r="CP149" s="3"/>
      <c r="CQ149" s="3"/>
      <c r="CR149" s="3"/>
      <c r="CS149" s="3"/>
      <c r="CT149" s="3"/>
      <c r="CU149" s="3"/>
      <c r="CV149" s="2" t="s">
        <v>107</v>
      </c>
      <c r="CW149" s="3"/>
      <c r="CX149" s="2" t="s">
        <v>110</v>
      </c>
      <c r="CY149" s="4" t="s">
        <v>255</v>
      </c>
    </row>
    <row r="150" spans="1:103" ht="15.75" customHeight="1" x14ac:dyDescent="0.2">
      <c r="A150" s="2" t="s">
        <v>154</v>
      </c>
      <c r="B150" s="2" t="s">
        <v>110</v>
      </c>
      <c r="C150" s="2" t="s">
        <v>312</v>
      </c>
      <c r="D150" s="3"/>
      <c r="E150" s="2" t="s">
        <v>103</v>
      </c>
      <c r="F150" s="3"/>
      <c r="G150" s="3"/>
      <c r="H150" s="2" t="s">
        <v>111</v>
      </c>
      <c r="I150" s="2" t="s">
        <v>124</v>
      </c>
      <c r="J150" s="3"/>
      <c r="K150" s="3"/>
      <c r="L150" s="2" t="s">
        <v>177</v>
      </c>
      <c r="M150" s="2" t="s">
        <v>130</v>
      </c>
      <c r="N150" s="2" t="s">
        <v>135</v>
      </c>
      <c r="O150" s="3"/>
      <c r="P150" s="3"/>
      <c r="Q150" s="3"/>
      <c r="R150" s="3"/>
      <c r="S150" s="2" t="s">
        <v>131</v>
      </c>
      <c r="T150" s="2" t="s">
        <v>105</v>
      </c>
      <c r="U150" s="3"/>
      <c r="V150" s="2" t="s">
        <v>105</v>
      </c>
      <c r="W150" s="3"/>
      <c r="X150" s="3"/>
      <c r="Y150" s="2" t="s">
        <v>121</v>
      </c>
      <c r="Z150" s="3"/>
      <c r="AA150" s="3"/>
      <c r="AB150" s="2" t="s">
        <v>111</v>
      </c>
      <c r="AC150" s="2" t="s">
        <v>117</v>
      </c>
      <c r="AD150" s="2" t="s">
        <v>117</v>
      </c>
      <c r="AE150" s="3"/>
      <c r="AF150" s="2" t="s">
        <v>103</v>
      </c>
      <c r="AG150" s="3"/>
      <c r="AH150" s="3"/>
      <c r="AI150" s="3"/>
      <c r="AJ150" s="2" t="s">
        <v>135</v>
      </c>
      <c r="AK150" s="3"/>
      <c r="AL150" s="2" t="s">
        <v>117</v>
      </c>
      <c r="AM150" s="2" t="s">
        <v>103</v>
      </c>
      <c r="AN150" s="3"/>
      <c r="AO150" s="2" t="s">
        <v>103</v>
      </c>
      <c r="AP150" s="3"/>
      <c r="AQ150" s="3"/>
      <c r="AR150" s="3"/>
      <c r="AS150" s="3"/>
      <c r="AT150" s="2" t="s">
        <v>116</v>
      </c>
      <c r="AU150" s="2" t="s">
        <v>139</v>
      </c>
      <c r="AV150" s="2" t="s">
        <v>116</v>
      </c>
      <c r="AW150" s="2" t="s">
        <v>216</v>
      </c>
      <c r="AX150" s="3"/>
      <c r="AY150" s="2" t="s">
        <v>145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2" t="s">
        <v>116</v>
      </c>
      <c r="BK150" s="2" t="s">
        <v>105</v>
      </c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2" t="s">
        <v>103</v>
      </c>
      <c r="CD150" s="2" t="s">
        <v>107</v>
      </c>
      <c r="CE150" s="3"/>
      <c r="CF150" s="3"/>
      <c r="CG150" s="3"/>
      <c r="CH150" s="3"/>
      <c r="CI150" s="2" t="s">
        <v>103</v>
      </c>
      <c r="CJ150" s="2" t="s">
        <v>123</v>
      </c>
      <c r="CK150" s="2" t="s">
        <v>123</v>
      </c>
      <c r="CL150" s="3"/>
      <c r="CM150" s="3"/>
      <c r="CN150" s="3"/>
      <c r="CO150" s="2" t="s">
        <v>146</v>
      </c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spans="1:103" ht="15.75" customHeight="1" x14ac:dyDescent="0.2">
      <c r="A151" s="2" t="s">
        <v>105</v>
      </c>
      <c r="B151" s="2" t="s">
        <v>110</v>
      </c>
      <c r="C151" s="2" t="s">
        <v>312</v>
      </c>
      <c r="D151" s="3"/>
      <c r="E151" s="2" t="s">
        <v>103</v>
      </c>
      <c r="F151" s="3"/>
      <c r="G151" s="3"/>
      <c r="H151" s="2" t="s">
        <v>108</v>
      </c>
      <c r="I151" s="2" t="s">
        <v>129</v>
      </c>
      <c r="J151" s="2" t="s">
        <v>167</v>
      </c>
      <c r="K151" s="3"/>
      <c r="L151" s="2" t="s">
        <v>209</v>
      </c>
      <c r="M151" s="2" t="s">
        <v>145</v>
      </c>
      <c r="N151" s="2" t="s">
        <v>125</v>
      </c>
      <c r="O151" s="2" t="s">
        <v>113</v>
      </c>
      <c r="P151" s="3"/>
      <c r="Q151" s="2" t="s">
        <v>130</v>
      </c>
      <c r="R151" s="2" t="s">
        <v>123</v>
      </c>
      <c r="S151" s="2" t="s">
        <v>125</v>
      </c>
      <c r="T151" s="2" t="s">
        <v>112</v>
      </c>
      <c r="U151" s="3"/>
      <c r="V151" s="2" t="s">
        <v>112</v>
      </c>
      <c r="W151" s="3"/>
      <c r="X151" s="3"/>
      <c r="Y151" s="2" t="s">
        <v>111</v>
      </c>
      <c r="Z151" s="3"/>
      <c r="AA151" s="3"/>
      <c r="AB151" s="2" t="s">
        <v>196</v>
      </c>
      <c r="AC151" s="2" t="s">
        <v>256</v>
      </c>
      <c r="AD151" s="2" t="s">
        <v>124</v>
      </c>
      <c r="AE151" s="3"/>
      <c r="AF151" s="2" t="s">
        <v>124</v>
      </c>
      <c r="AG151" s="3"/>
      <c r="AH151" s="3"/>
      <c r="AI151" s="3"/>
      <c r="AJ151" s="2" t="s">
        <v>257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2" t="s">
        <v>111</v>
      </c>
      <c r="AW151" s="2" t="s">
        <v>141</v>
      </c>
      <c r="AX151" s="2" t="s">
        <v>116</v>
      </c>
      <c r="AY151" s="2" t="s">
        <v>130</v>
      </c>
      <c r="AZ151" s="2" t="s">
        <v>116</v>
      </c>
      <c r="BA151" s="2" t="s">
        <v>104</v>
      </c>
      <c r="BB151" s="3"/>
      <c r="BC151" s="3"/>
      <c r="BD151" s="2" t="s">
        <v>115</v>
      </c>
      <c r="BE151" s="2" t="s">
        <v>126</v>
      </c>
      <c r="BF151" s="2" t="s">
        <v>105</v>
      </c>
      <c r="BG151" s="2" t="s">
        <v>131</v>
      </c>
      <c r="BH151" s="3"/>
      <c r="BI151" s="3"/>
      <c r="BJ151" s="2" t="s">
        <v>115</v>
      </c>
      <c r="BK151" s="2" t="s">
        <v>107</v>
      </c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2" t="s">
        <v>103</v>
      </c>
      <c r="CD151" s="2" t="s">
        <v>126</v>
      </c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2" t="s">
        <v>108</v>
      </c>
      <c r="CY151" s="2" t="s">
        <v>123</v>
      </c>
    </row>
    <row r="152" spans="1:103" ht="15.75" customHeight="1" x14ac:dyDescent="0.2">
      <c r="A152" s="2" t="s">
        <v>103</v>
      </c>
      <c r="B152" s="2" t="s">
        <v>196</v>
      </c>
      <c r="C152" s="2" t="s">
        <v>312</v>
      </c>
      <c r="D152" s="3"/>
      <c r="E152" s="2" t="s">
        <v>103</v>
      </c>
      <c r="F152" s="3"/>
      <c r="G152" s="3"/>
      <c r="H152" s="2" t="s">
        <v>110</v>
      </c>
      <c r="I152" s="2" t="s">
        <v>258</v>
      </c>
      <c r="J152" s="2" t="s">
        <v>107</v>
      </c>
      <c r="K152" s="3"/>
      <c r="L152" s="2" t="s">
        <v>232</v>
      </c>
      <c r="M152" s="2" t="s">
        <v>130</v>
      </c>
      <c r="N152" s="2" t="s">
        <v>178</v>
      </c>
      <c r="O152" s="2" t="s">
        <v>113</v>
      </c>
      <c r="P152" s="3"/>
      <c r="Q152" s="2" t="s">
        <v>130</v>
      </c>
      <c r="R152" s="2" t="s">
        <v>123</v>
      </c>
      <c r="S152" s="2" t="s">
        <v>147</v>
      </c>
      <c r="T152" s="2" t="s">
        <v>123</v>
      </c>
      <c r="U152" s="3"/>
      <c r="V152" s="2" t="s">
        <v>123</v>
      </c>
      <c r="W152" s="3"/>
      <c r="X152" s="3"/>
      <c r="Y152" s="2" t="s">
        <v>116</v>
      </c>
      <c r="Z152" s="3"/>
      <c r="AA152" s="3"/>
      <c r="AB152" s="2" t="s">
        <v>151</v>
      </c>
      <c r="AC152" s="2" t="s">
        <v>167</v>
      </c>
      <c r="AD152" s="2" t="s">
        <v>122</v>
      </c>
      <c r="AE152" s="3"/>
      <c r="AF152" s="2" t="s">
        <v>151</v>
      </c>
      <c r="AG152" s="2" t="s">
        <v>103</v>
      </c>
      <c r="AH152" s="2" t="s">
        <v>116</v>
      </c>
      <c r="AI152" s="3"/>
      <c r="AJ152" s="2" t="s">
        <v>215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2" t="s">
        <v>117</v>
      </c>
      <c r="AW152" s="2" t="s">
        <v>108</v>
      </c>
      <c r="AX152" s="3"/>
      <c r="AY152" s="2" t="s">
        <v>130</v>
      </c>
      <c r="AZ152" s="3"/>
      <c r="BA152" s="3"/>
      <c r="BB152" s="2" t="s">
        <v>103</v>
      </c>
      <c r="BC152" s="2" t="s">
        <v>115</v>
      </c>
      <c r="BD152" s="2" t="s">
        <v>116</v>
      </c>
      <c r="BE152" s="3"/>
      <c r="BF152" s="2" t="s">
        <v>121</v>
      </c>
      <c r="BG152" s="2" t="s">
        <v>112</v>
      </c>
      <c r="BH152" s="3"/>
      <c r="BI152" s="3"/>
      <c r="BJ152" s="2" t="s">
        <v>111</v>
      </c>
      <c r="BK152" s="2" t="s">
        <v>126</v>
      </c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2" t="s">
        <v>103</v>
      </c>
      <c r="CD152" s="2" t="s">
        <v>104</v>
      </c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2" t="s">
        <v>113</v>
      </c>
      <c r="CY152" s="2" t="s">
        <v>107</v>
      </c>
    </row>
    <row r="153" spans="1:103" ht="15.75" customHeight="1" x14ac:dyDescent="0.2">
      <c r="A153" s="2" t="s">
        <v>116</v>
      </c>
      <c r="B153" s="2" t="s">
        <v>196</v>
      </c>
      <c r="C153" s="2" t="s">
        <v>312</v>
      </c>
      <c r="D153" s="3"/>
      <c r="E153" s="2" t="s">
        <v>103</v>
      </c>
      <c r="F153" s="3"/>
      <c r="G153" s="3"/>
      <c r="H153" s="2" t="s">
        <v>151</v>
      </c>
      <c r="I153" s="2" t="s">
        <v>259</v>
      </c>
      <c r="J153" s="2" t="s">
        <v>109</v>
      </c>
      <c r="K153" s="3"/>
      <c r="L153" s="2" t="s">
        <v>214</v>
      </c>
      <c r="M153" s="2" t="s">
        <v>131</v>
      </c>
      <c r="N153" s="2" t="s">
        <v>165</v>
      </c>
      <c r="O153" s="2" t="s">
        <v>113</v>
      </c>
      <c r="P153" s="3"/>
      <c r="Q153" s="2" t="s">
        <v>131</v>
      </c>
      <c r="R153" s="2" t="s">
        <v>109</v>
      </c>
      <c r="S153" s="2" t="s">
        <v>106</v>
      </c>
      <c r="T153" s="2" t="s">
        <v>132</v>
      </c>
      <c r="U153" s="3"/>
      <c r="V153" s="2" t="s">
        <v>146</v>
      </c>
      <c r="W153" s="3"/>
      <c r="X153" s="3"/>
      <c r="Y153" s="2" t="s">
        <v>116</v>
      </c>
      <c r="Z153" s="3"/>
      <c r="AA153" s="3"/>
      <c r="AB153" s="2" t="s">
        <v>111</v>
      </c>
      <c r="AC153" s="2" t="s">
        <v>110</v>
      </c>
      <c r="AD153" s="2" t="s">
        <v>196</v>
      </c>
      <c r="AE153" s="3"/>
      <c r="AF153" s="2" t="s">
        <v>121</v>
      </c>
      <c r="AG153" s="2" t="s">
        <v>103</v>
      </c>
      <c r="AH153" s="3"/>
      <c r="AI153" s="3"/>
      <c r="AJ153" s="2" t="s">
        <v>193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2" t="s">
        <v>103</v>
      </c>
      <c r="AW153" s="2" t="s">
        <v>139</v>
      </c>
      <c r="AX153" s="3"/>
      <c r="AY153" s="2" t="s">
        <v>112</v>
      </c>
      <c r="AZ153" s="2" t="s">
        <v>103</v>
      </c>
      <c r="BA153" s="2" t="s">
        <v>122</v>
      </c>
      <c r="BB153" s="3"/>
      <c r="BC153" s="3"/>
      <c r="BD153" s="2" t="s">
        <v>111</v>
      </c>
      <c r="BE153" s="2" t="s">
        <v>112</v>
      </c>
      <c r="BF153" s="2" t="s">
        <v>111</v>
      </c>
      <c r="BG153" s="2" t="s">
        <v>143</v>
      </c>
      <c r="BH153" s="3"/>
      <c r="BI153" s="3"/>
      <c r="BJ153" s="3"/>
      <c r="BK153" s="3"/>
      <c r="BL153" s="2" t="s">
        <v>108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2" t="s">
        <v>103</v>
      </c>
      <c r="CD153" s="2" t="s">
        <v>109</v>
      </c>
      <c r="CE153" s="3"/>
      <c r="CF153" s="3"/>
      <c r="CG153" s="3"/>
      <c r="CH153" s="3"/>
      <c r="CI153" s="2" t="s">
        <v>116</v>
      </c>
      <c r="CJ153" s="2" t="s">
        <v>109</v>
      </c>
      <c r="CK153" s="2" t="s">
        <v>109</v>
      </c>
      <c r="CL153" s="3"/>
      <c r="CM153" s="3"/>
      <c r="CN153" s="3"/>
      <c r="CO153" s="2" t="s">
        <v>110</v>
      </c>
      <c r="CP153" s="3"/>
      <c r="CQ153" s="3"/>
      <c r="CR153" s="3"/>
      <c r="CS153" s="3"/>
      <c r="CT153" s="3"/>
      <c r="CU153" s="3"/>
      <c r="CV153" s="3"/>
      <c r="CW153" s="3"/>
      <c r="CX153" s="2" t="s">
        <v>113</v>
      </c>
      <c r="CY153" s="2" t="s">
        <v>126</v>
      </c>
    </row>
    <row r="154" spans="1:103" ht="15.75" customHeight="1" x14ac:dyDescent="0.2">
      <c r="A154" s="2" t="s">
        <v>117</v>
      </c>
      <c r="B154" s="2" t="s">
        <v>196</v>
      </c>
      <c r="C154" s="2" t="s">
        <v>312</v>
      </c>
      <c r="D154" s="3"/>
      <c r="E154" s="3"/>
      <c r="F154" s="2" t="s">
        <v>103</v>
      </c>
      <c r="G154" s="3"/>
      <c r="H154" s="2" t="s">
        <v>105</v>
      </c>
      <c r="I154" s="2" t="s">
        <v>260</v>
      </c>
      <c r="J154" s="2" t="s">
        <v>126</v>
      </c>
      <c r="K154" s="3"/>
      <c r="L154" s="2" t="s">
        <v>232</v>
      </c>
      <c r="M154" s="2" t="s">
        <v>112</v>
      </c>
      <c r="N154" s="2" t="s">
        <v>178</v>
      </c>
      <c r="O154" s="3"/>
      <c r="P154" s="3"/>
      <c r="Q154" s="2" t="s">
        <v>130</v>
      </c>
      <c r="R154" s="2" t="s">
        <v>126</v>
      </c>
      <c r="S154" s="2" t="s">
        <v>165</v>
      </c>
      <c r="T154" s="2" t="s">
        <v>120</v>
      </c>
      <c r="U154" s="3"/>
      <c r="V154" s="2" t="s">
        <v>136</v>
      </c>
      <c r="W154" s="3"/>
      <c r="X154" s="3"/>
      <c r="Y154" s="2" t="s">
        <v>115</v>
      </c>
      <c r="Z154" s="3"/>
      <c r="AA154" s="3"/>
      <c r="AB154" s="2" t="s">
        <v>113</v>
      </c>
      <c r="AC154" s="2" t="s">
        <v>154</v>
      </c>
      <c r="AD154" s="2" t="s">
        <v>113</v>
      </c>
      <c r="AE154" s="3"/>
      <c r="AF154" s="2" t="s">
        <v>151</v>
      </c>
      <c r="AG154" s="3"/>
      <c r="AH154" s="3"/>
      <c r="AI154" s="3"/>
      <c r="AJ154" s="2" t="s">
        <v>128</v>
      </c>
      <c r="AK154" s="3"/>
      <c r="AL154" s="2" t="s">
        <v>115</v>
      </c>
      <c r="AM154" s="2" t="s">
        <v>117</v>
      </c>
      <c r="AN154" s="3"/>
      <c r="AO154" s="3"/>
      <c r="AP154" s="3"/>
      <c r="AQ154" s="3"/>
      <c r="AR154" s="3"/>
      <c r="AS154" s="3"/>
      <c r="AT154" s="2" t="s">
        <v>117</v>
      </c>
      <c r="AU154" s="2" t="s">
        <v>113</v>
      </c>
      <c r="AV154" s="2" t="s">
        <v>117</v>
      </c>
      <c r="AW154" s="2" t="s">
        <v>110</v>
      </c>
      <c r="AX154" s="3"/>
      <c r="AY154" s="2" t="s">
        <v>112</v>
      </c>
      <c r="AZ154" s="3"/>
      <c r="BA154" s="3"/>
      <c r="BB154" s="3"/>
      <c r="BC154" s="3"/>
      <c r="BD154" s="2" t="s">
        <v>118</v>
      </c>
      <c r="BE154" s="2" t="s">
        <v>130</v>
      </c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2" t="s">
        <v>103</v>
      </c>
      <c r="CD154" s="2" t="s">
        <v>104</v>
      </c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2" t="s">
        <v>105</v>
      </c>
      <c r="CY154" s="2" t="s">
        <v>108</v>
      </c>
    </row>
    <row r="155" spans="1:103" ht="15.75" customHeight="1" x14ac:dyDescent="0.2">
      <c r="A155" s="2" t="s">
        <v>111</v>
      </c>
      <c r="B155" s="2" t="s">
        <v>196</v>
      </c>
      <c r="C155" s="2" t="s">
        <v>312</v>
      </c>
      <c r="D155" s="3"/>
      <c r="E155" s="3"/>
      <c r="F155" s="3"/>
      <c r="G155" s="2" t="s">
        <v>103</v>
      </c>
      <c r="H155" s="2" t="s">
        <v>110</v>
      </c>
      <c r="I155" s="2" t="s">
        <v>220</v>
      </c>
      <c r="J155" s="2" t="s">
        <v>136</v>
      </c>
      <c r="K155" s="3"/>
      <c r="L155" s="2" t="s">
        <v>201</v>
      </c>
      <c r="M155" s="2" t="s">
        <v>112</v>
      </c>
      <c r="N155" s="2" t="s">
        <v>211</v>
      </c>
      <c r="O155" s="2" t="s">
        <v>113</v>
      </c>
      <c r="P155" s="3"/>
      <c r="Q155" s="2" t="s">
        <v>112</v>
      </c>
      <c r="R155" s="2" t="s">
        <v>107</v>
      </c>
      <c r="S155" s="2" t="s">
        <v>147</v>
      </c>
      <c r="T155" s="2" t="s">
        <v>109</v>
      </c>
      <c r="U155" s="3"/>
      <c r="V155" s="2" t="s">
        <v>123</v>
      </c>
      <c r="W155" s="3"/>
      <c r="X155" s="3"/>
      <c r="Y155" s="2" t="s">
        <v>118</v>
      </c>
      <c r="Z155" s="3"/>
      <c r="AA155" s="2" t="s">
        <v>116</v>
      </c>
      <c r="AB155" s="2" t="s">
        <v>115</v>
      </c>
      <c r="AC155" s="2" t="s">
        <v>113</v>
      </c>
      <c r="AD155" s="2" t="s">
        <v>115</v>
      </c>
      <c r="AE155" s="2" t="s">
        <v>151</v>
      </c>
      <c r="AF155" s="2" t="s">
        <v>138</v>
      </c>
      <c r="AG155" s="3"/>
      <c r="AH155" s="2" t="s">
        <v>103</v>
      </c>
      <c r="AI155" s="3"/>
      <c r="AJ155" s="2" t="s">
        <v>106</v>
      </c>
      <c r="AK155" s="3"/>
      <c r="AL155" s="4" t="s">
        <v>261</v>
      </c>
      <c r="AM155" s="2" t="s">
        <v>191</v>
      </c>
      <c r="AN155" s="3"/>
      <c r="AO155" s="3"/>
      <c r="AP155" s="3"/>
      <c r="AQ155" s="3"/>
      <c r="AR155" s="3"/>
      <c r="AS155" s="3"/>
      <c r="AT155" s="2" t="s">
        <v>262</v>
      </c>
      <c r="AU155" s="2" t="s">
        <v>245</v>
      </c>
      <c r="AV155" s="2" t="s">
        <v>117</v>
      </c>
      <c r="AW155" s="2" t="s">
        <v>107</v>
      </c>
      <c r="AX155" s="3"/>
      <c r="AY155" s="2" t="s">
        <v>131</v>
      </c>
      <c r="AZ155" s="3"/>
      <c r="BA155" s="3"/>
      <c r="BB155" s="3"/>
      <c r="BC155" s="3"/>
      <c r="BD155" s="2" t="s">
        <v>121</v>
      </c>
      <c r="BE155" s="2" t="s">
        <v>113</v>
      </c>
      <c r="BF155" s="2" t="s">
        <v>137</v>
      </c>
      <c r="BG155" s="2" t="s">
        <v>220</v>
      </c>
      <c r="BH155" s="2" t="s">
        <v>103</v>
      </c>
      <c r="BI155" s="2" t="s">
        <v>105</v>
      </c>
      <c r="BJ155" s="2" t="s">
        <v>116</v>
      </c>
      <c r="BK155" s="2" t="s">
        <v>113</v>
      </c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2">
        <f>1/8</f>
        <v>0.125</v>
      </c>
      <c r="CD155" s="2" t="s">
        <v>113</v>
      </c>
      <c r="CE155" s="3"/>
      <c r="CF155" s="3"/>
      <c r="CG155" s="3"/>
      <c r="CH155" s="3"/>
      <c r="CI155" s="2" t="s">
        <v>116</v>
      </c>
      <c r="CJ155" s="2" t="s">
        <v>109</v>
      </c>
      <c r="CK155" s="4" t="s">
        <v>145</v>
      </c>
      <c r="CL155" s="3"/>
      <c r="CM155" s="3"/>
      <c r="CN155" s="3"/>
      <c r="CO155" s="4" t="s">
        <v>114</v>
      </c>
      <c r="CP155" s="3"/>
      <c r="CQ155" s="3"/>
      <c r="CR155" s="3"/>
      <c r="CS155" s="3"/>
      <c r="CT155" s="3"/>
      <c r="CU155" s="3"/>
      <c r="CV155" s="3"/>
      <c r="CW155" s="3"/>
      <c r="CX155" s="2" t="s">
        <v>110</v>
      </c>
      <c r="CY155" s="2" t="s">
        <v>104</v>
      </c>
    </row>
    <row r="156" spans="1:103" ht="15.75" customHeight="1" x14ac:dyDescent="0.2">
      <c r="A156" s="2" t="s">
        <v>121</v>
      </c>
      <c r="B156" s="2" t="s">
        <v>196</v>
      </c>
      <c r="C156" s="2" t="s">
        <v>312</v>
      </c>
      <c r="D156" s="3"/>
      <c r="E156" s="2" t="s">
        <v>103</v>
      </c>
      <c r="F156" s="3"/>
      <c r="G156" s="3"/>
      <c r="H156" s="2" t="s">
        <v>110</v>
      </c>
      <c r="I156" s="2" t="s">
        <v>114</v>
      </c>
      <c r="J156" s="2" t="s">
        <v>110</v>
      </c>
      <c r="K156" s="3"/>
      <c r="L156" s="2" t="s">
        <v>144</v>
      </c>
      <c r="M156" s="2" t="s">
        <v>109</v>
      </c>
      <c r="N156" s="2" t="s">
        <v>149</v>
      </c>
      <c r="O156" s="4" t="s">
        <v>120</v>
      </c>
      <c r="P156" s="3"/>
      <c r="Q156" s="2" t="s">
        <v>136</v>
      </c>
      <c r="R156" s="2" t="s">
        <v>104</v>
      </c>
      <c r="S156" s="2" t="s">
        <v>240</v>
      </c>
      <c r="T156" s="2" t="s">
        <v>126</v>
      </c>
      <c r="U156" s="3"/>
      <c r="V156" s="2" t="s">
        <v>109</v>
      </c>
      <c r="W156" s="3"/>
      <c r="X156" s="3"/>
      <c r="Y156" s="2" t="s">
        <v>111</v>
      </c>
      <c r="Z156" s="3"/>
      <c r="AA156" s="3"/>
      <c r="AB156" s="2" t="s">
        <v>151</v>
      </c>
      <c r="AC156" s="2" t="s">
        <v>113</v>
      </c>
      <c r="AD156" s="2" t="s">
        <v>151</v>
      </c>
      <c r="AE156" s="2" t="s">
        <v>103</v>
      </c>
      <c r="AF156" s="2" t="s">
        <v>116</v>
      </c>
      <c r="AG156" s="3"/>
      <c r="AH156" s="2" t="s">
        <v>103</v>
      </c>
      <c r="AI156" s="3"/>
      <c r="AJ156" s="2" t="s">
        <v>174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2" t="s">
        <v>116</v>
      </c>
      <c r="AW156" s="2" t="s">
        <v>104</v>
      </c>
      <c r="AX156" s="3"/>
      <c r="AY156" s="2" t="s">
        <v>131</v>
      </c>
      <c r="AZ156" s="3"/>
      <c r="BA156" s="3"/>
      <c r="BB156" s="3"/>
      <c r="BC156" s="3"/>
      <c r="BD156" s="2" t="s">
        <v>121</v>
      </c>
      <c r="BE156" s="2" t="s">
        <v>109</v>
      </c>
      <c r="BF156" s="2" t="s">
        <v>105</v>
      </c>
      <c r="BG156" s="2" t="s">
        <v>131</v>
      </c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2" t="s">
        <v>103</v>
      </c>
      <c r="CD156" s="2" t="s">
        <v>109</v>
      </c>
      <c r="CE156" s="3"/>
      <c r="CF156" s="3"/>
      <c r="CG156" s="3"/>
      <c r="CH156" s="3"/>
      <c r="CI156" s="2" t="s">
        <v>103</v>
      </c>
      <c r="CJ156" s="2" t="s">
        <v>126</v>
      </c>
      <c r="CK156" s="2" t="s">
        <v>113</v>
      </c>
      <c r="CL156" s="3"/>
      <c r="CM156" s="3"/>
      <c r="CN156" s="3"/>
      <c r="CO156" s="2" t="s">
        <v>105</v>
      </c>
      <c r="CP156" s="3"/>
      <c r="CQ156" s="3"/>
      <c r="CR156" s="3"/>
      <c r="CS156" s="3"/>
      <c r="CT156" s="3"/>
      <c r="CU156" s="3"/>
      <c r="CV156" s="3"/>
      <c r="CW156" s="3"/>
      <c r="CX156" s="2" t="s">
        <v>131</v>
      </c>
      <c r="CY156" s="2" t="s">
        <v>147</v>
      </c>
    </row>
    <row r="157" spans="1:103" ht="15.75" customHeight="1" x14ac:dyDescent="0.2">
      <c r="A157" s="2" t="s">
        <v>115</v>
      </c>
      <c r="B157" s="2" t="s">
        <v>196</v>
      </c>
      <c r="C157" s="2" t="s">
        <v>312</v>
      </c>
      <c r="D157" s="3"/>
      <c r="E157" s="2" t="s">
        <v>103</v>
      </c>
      <c r="F157" s="3"/>
      <c r="G157" s="3"/>
      <c r="H157" s="2" t="s">
        <v>110</v>
      </c>
      <c r="I157" s="2" t="s">
        <v>160</v>
      </c>
      <c r="J157" s="2" t="s">
        <v>136</v>
      </c>
      <c r="K157" s="2" t="s">
        <v>121</v>
      </c>
      <c r="L157" s="2" t="s">
        <v>144</v>
      </c>
      <c r="M157" s="2" t="s">
        <v>109</v>
      </c>
      <c r="N157" s="2" t="s">
        <v>147</v>
      </c>
      <c r="O157" s="2" t="s">
        <v>104</v>
      </c>
      <c r="P157" s="3"/>
      <c r="Q157" s="2" t="s">
        <v>120</v>
      </c>
      <c r="R157" s="2" t="s">
        <v>113</v>
      </c>
      <c r="S157" s="2" t="s">
        <v>147</v>
      </c>
      <c r="T157" s="2" t="s">
        <v>126</v>
      </c>
      <c r="U157" s="3"/>
      <c r="V157" s="2" t="s">
        <v>123</v>
      </c>
      <c r="W157" s="3"/>
      <c r="X157" s="3"/>
      <c r="Y157" s="2" t="s">
        <v>137</v>
      </c>
      <c r="Z157" s="3"/>
      <c r="AA157" s="3"/>
      <c r="AB157" s="2" t="s">
        <v>118</v>
      </c>
      <c r="AC157" s="2" t="s">
        <v>263</v>
      </c>
      <c r="AD157" s="2" t="s">
        <v>118</v>
      </c>
      <c r="AE157" s="3"/>
      <c r="AF157" s="2" t="s">
        <v>127</v>
      </c>
      <c r="AG157" s="2" t="s">
        <v>103</v>
      </c>
      <c r="AH157" s="3"/>
      <c r="AI157" s="3"/>
      <c r="AJ157" s="2" t="s">
        <v>177</v>
      </c>
      <c r="AK157" s="3"/>
      <c r="AL157" s="3"/>
      <c r="AM157" s="3"/>
      <c r="AN157" s="3"/>
      <c r="AO157" s="2" t="s">
        <v>107</v>
      </c>
      <c r="AP157" s="3"/>
      <c r="AQ157" s="3"/>
      <c r="AR157" s="3"/>
      <c r="AS157" s="3"/>
      <c r="AT157" s="3"/>
      <c r="AU157" s="3"/>
      <c r="AV157" s="2" t="s">
        <v>116</v>
      </c>
      <c r="AW157" s="2" t="s">
        <v>113</v>
      </c>
      <c r="AX157" s="3"/>
      <c r="AY157" s="2" t="s">
        <v>130</v>
      </c>
      <c r="AZ157" s="2" t="s">
        <v>103</v>
      </c>
      <c r="BA157" s="2" t="s">
        <v>113</v>
      </c>
      <c r="BB157" s="3"/>
      <c r="BC157" s="3"/>
      <c r="BD157" s="2" t="s">
        <v>117</v>
      </c>
      <c r="BE157" s="3"/>
      <c r="BF157" s="2" t="s">
        <v>115</v>
      </c>
      <c r="BG157" s="2" t="s">
        <v>145</v>
      </c>
      <c r="BH157" s="3"/>
      <c r="BI157" s="3"/>
      <c r="BJ157" s="2" t="s">
        <v>103</v>
      </c>
      <c r="BK157" s="2" t="s">
        <v>110</v>
      </c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2" t="s">
        <v>103</v>
      </c>
      <c r="CD157" s="2" t="s">
        <v>123</v>
      </c>
      <c r="CE157" s="3"/>
      <c r="CF157" s="3"/>
      <c r="CG157" s="3"/>
      <c r="CH157" s="3"/>
      <c r="CI157" s="2" t="s">
        <v>103</v>
      </c>
      <c r="CJ157" s="2" t="s">
        <v>126</v>
      </c>
      <c r="CK157" s="2" t="s">
        <v>126</v>
      </c>
      <c r="CL157" s="3"/>
      <c r="CM157" s="3"/>
      <c r="CN157" s="3"/>
      <c r="CO157" s="2" t="s">
        <v>108</v>
      </c>
      <c r="CP157" s="3"/>
      <c r="CQ157" s="3"/>
      <c r="CR157" s="3"/>
      <c r="CS157" s="3"/>
      <c r="CT157" s="3"/>
      <c r="CU157" s="3"/>
      <c r="CV157" s="3"/>
      <c r="CW157" s="3"/>
      <c r="CX157" s="2" t="s">
        <v>110</v>
      </c>
      <c r="CY157" s="2" t="s">
        <v>156</v>
      </c>
    </row>
    <row r="158" spans="1:103" ht="15.75" customHeight="1" x14ac:dyDescent="0.2">
      <c r="A158" s="2" t="s">
        <v>137</v>
      </c>
      <c r="B158" s="2" t="s">
        <v>196</v>
      </c>
      <c r="C158" s="2" t="s">
        <v>312</v>
      </c>
      <c r="D158" s="3"/>
      <c r="E158" s="3"/>
      <c r="F158" s="3"/>
      <c r="G158" s="2" t="s">
        <v>103</v>
      </c>
      <c r="H158" s="2" t="s">
        <v>118</v>
      </c>
      <c r="I158" s="2" t="s">
        <v>180</v>
      </c>
      <c r="J158" s="3"/>
      <c r="K158" s="3"/>
      <c r="L158" s="2" t="s">
        <v>119</v>
      </c>
      <c r="M158" s="3"/>
      <c r="N158" s="2" t="s">
        <v>145</v>
      </c>
      <c r="O158" s="3"/>
      <c r="P158" s="3"/>
      <c r="Q158" s="3"/>
      <c r="R158" s="3"/>
      <c r="S158" s="2" t="s">
        <v>135</v>
      </c>
      <c r="T158" s="2" t="s">
        <v>105</v>
      </c>
      <c r="U158" s="3"/>
      <c r="V158" s="2" t="s">
        <v>110</v>
      </c>
      <c r="W158" s="3"/>
      <c r="X158" s="3"/>
      <c r="Y158" s="2" t="s">
        <v>103</v>
      </c>
      <c r="Z158" s="3"/>
      <c r="AA158" s="3"/>
      <c r="AB158" s="2" t="s">
        <v>121</v>
      </c>
      <c r="AC158" s="2" t="s">
        <v>111</v>
      </c>
      <c r="AD158" s="2" t="s">
        <v>121</v>
      </c>
      <c r="AE158" s="3"/>
      <c r="AF158" s="2" t="s">
        <v>117</v>
      </c>
      <c r="AG158" s="3"/>
      <c r="AH158" s="3"/>
      <c r="AI158" s="3"/>
      <c r="AJ158" s="2" t="s">
        <v>106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2" t="s">
        <v>116</v>
      </c>
      <c r="AW158" s="2" t="s">
        <v>126</v>
      </c>
      <c r="AX158" s="3"/>
      <c r="AY158" s="2" t="s">
        <v>131</v>
      </c>
      <c r="AZ158" s="3"/>
      <c r="BA158" s="3"/>
      <c r="BB158" s="3"/>
      <c r="BC158" s="3"/>
      <c r="BD158" s="3"/>
      <c r="BE158" s="3"/>
      <c r="BF158" s="4" t="s">
        <v>255</v>
      </c>
      <c r="BG158" s="2" t="s">
        <v>104</v>
      </c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spans="1:103" ht="15.75" customHeight="1" x14ac:dyDescent="0.2">
      <c r="A159" s="2" t="s">
        <v>118</v>
      </c>
      <c r="B159" s="2" t="s">
        <v>196</v>
      </c>
      <c r="C159" s="2" t="s">
        <v>312</v>
      </c>
      <c r="D159" s="3"/>
      <c r="E159" s="2" t="s">
        <v>103</v>
      </c>
      <c r="F159" s="3"/>
      <c r="G159" s="3"/>
      <c r="H159" s="2" t="s">
        <v>105</v>
      </c>
      <c r="I159" s="2" t="s">
        <v>112</v>
      </c>
      <c r="J159" s="2" t="s">
        <v>113</v>
      </c>
      <c r="K159" s="3"/>
      <c r="L159" s="2" t="s">
        <v>264</v>
      </c>
      <c r="M159" s="2" t="s">
        <v>130</v>
      </c>
      <c r="N159" s="2" t="s">
        <v>149</v>
      </c>
      <c r="O159" s="2" t="s">
        <v>105</v>
      </c>
      <c r="P159" s="3"/>
      <c r="Q159" s="2" t="s">
        <v>113</v>
      </c>
      <c r="R159" s="2" t="s">
        <v>116</v>
      </c>
      <c r="S159" s="2" t="s">
        <v>106</v>
      </c>
      <c r="T159" s="2" t="s">
        <v>126</v>
      </c>
      <c r="U159" s="3"/>
      <c r="V159" s="2" t="s">
        <v>126</v>
      </c>
      <c r="W159" s="3"/>
      <c r="X159" s="3"/>
      <c r="Y159" s="2" t="s">
        <v>116</v>
      </c>
      <c r="Z159" s="3"/>
      <c r="AA159" s="3"/>
      <c r="AB159" s="2" t="s">
        <v>170</v>
      </c>
      <c r="AC159" s="2" t="s">
        <v>127</v>
      </c>
      <c r="AD159" s="2" t="s">
        <v>139</v>
      </c>
      <c r="AE159" s="2" t="s">
        <v>118</v>
      </c>
      <c r="AF159" s="2" t="s">
        <v>196</v>
      </c>
      <c r="AG159" s="2" t="s">
        <v>116</v>
      </c>
      <c r="AH159" s="3"/>
      <c r="AI159" s="3"/>
      <c r="AJ159" s="2" t="s">
        <v>119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2" t="s">
        <v>116</v>
      </c>
      <c r="AW159" s="3"/>
      <c r="AX159" s="3"/>
      <c r="AY159" s="3"/>
      <c r="AZ159" s="3"/>
      <c r="BA159" s="3"/>
      <c r="BB159" s="3"/>
      <c r="BC159" s="3"/>
      <c r="BD159" s="2" t="s">
        <v>116</v>
      </c>
      <c r="BE159" s="2" t="s">
        <v>179</v>
      </c>
      <c r="BF159" s="2" t="s">
        <v>111</v>
      </c>
      <c r="BG159" s="2" t="s">
        <v>112</v>
      </c>
      <c r="BH159" s="3"/>
      <c r="BI159" s="3"/>
      <c r="BJ159" s="2" t="s">
        <v>103</v>
      </c>
      <c r="BK159" s="2" t="s">
        <v>105</v>
      </c>
      <c r="BL159" s="2" t="s">
        <v>113</v>
      </c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2" t="s">
        <v>103</v>
      </c>
      <c r="CD159" s="2" t="s">
        <v>109</v>
      </c>
      <c r="CE159" s="3"/>
      <c r="CF159" s="3"/>
      <c r="CG159" s="3"/>
      <c r="CH159" s="3"/>
      <c r="CI159" s="4" t="s">
        <v>103</v>
      </c>
      <c r="CJ159" s="2" t="s">
        <v>126</v>
      </c>
      <c r="CK159" s="2" t="s">
        <v>109</v>
      </c>
      <c r="CL159" s="3"/>
      <c r="CM159" s="3"/>
      <c r="CN159" s="3"/>
      <c r="CO159" s="2" t="s">
        <v>126</v>
      </c>
      <c r="CP159" s="3"/>
      <c r="CQ159" s="3"/>
      <c r="CR159" s="3"/>
      <c r="CS159" s="3"/>
      <c r="CT159" s="3"/>
      <c r="CU159" s="3"/>
      <c r="CV159" s="3"/>
      <c r="CW159" s="3"/>
      <c r="CX159" s="2" t="s">
        <v>113</v>
      </c>
      <c r="CY159" s="2" t="s">
        <v>136</v>
      </c>
    </row>
    <row r="160" spans="1:103" ht="15.75" customHeight="1" x14ac:dyDescent="0.2">
      <c r="A160" s="2" t="s">
        <v>154</v>
      </c>
      <c r="B160" s="2" t="s">
        <v>196</v>
      </c>
      <c r="C160" s="2" t="s">
        <v>312</v>
      </c>
      <c r="D160" s="3"/>
      <c r="E160" s="2" t="s">
        <v>103</v>
      </c>
      <c r="F160" s="3"/>
      <c r="G160" s="3"/>
      <c r="H160" s="2" t="s">
        <v>137</v>
      </c>
      <c r="I160" s="2" t="s">
        <v>265</v>
      </c>
      <c r="J160" s="2" t="s">
        <v>110</v>
      </c>
      <c r="K160" s="3"/>
      <c r="L160" s="2" t="s">
        <v>153</v>
      </c>
      <c r="M160" s="2" t="s">
        <v>109</v>
      </c>
      <c r="N160" s="2" t="s">
        <v>142</v>
      </c>
      <c r="O160" s="2" t="s">
        <v>105</v>
      </c>
      <c r="P160" s="3"/>
      <c r="Q160" s="2" t="s">
        <v>109</v>
      </c>
      <c r="R160" s="2" t="s">
        <v>113</v>
      </c>
      <c r="S160" s="2" t="s">
        <v>142</v>
      </c>
      <c r="T160" s="2" t="s">
        <v>126</v>
      </c>
      <c r="U160" s="3"/>
      <c r="V160" s="2" t="s">
        <v>156</v>
      </c>
      <c r="W160" s="3"/>
      <c r="X160" s="3"/>
      <c r="Y160" s="2" t="s">
        <v>117</v>
      </c>
      <c r="Z160" s="3"/>
      <c r="AA160" s="3"/>
      <c r="AB160" s="2" t="s">
        <v>196</v>
      </c>
      <c r="AC160" s="2" t="s">
        <v>166</v>
      </c>
      <c r="AD160" s="2" t="s">
        <v>115</v>
      </c>
      <c r="AE160" s="2" t="s">
        <v>113</v>
      </c>
      <c r="AF160" s="2" t="s">
        <v>137</v>
      </c>
      <c r="AG160" s="3"/>
      <c r="AH160" s="3"/>
      <c r="AI160" s="3"/>
      <c r="AJ160" s="2" t="s">
        <v>142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2" t="s">
        <v>111</v>
      </c>
      <c r="AW160" s="2" t="s">
        <v>118</v>
      </c>
      <c r="AX160" s="3"/>
      <c r="AY160" s="2" t="s">
        <v>109</v>
      </c>
      <c r="AZ160" s="3"/>
      <c r="BA160" s="3"/>
      <c r="BB160" s="3"/>
      <c r="BC160" s="3"/>
      <c r="BD160" s="2" t="s">
        <v>116</v>
      </c>
      <c r="BE160" s="2" t="s">
        <v>208</v>
      </c>
      <c r="BF160" s="3"/>
      <c r="BG160" s="2" t="s">
        <v>182</v>
      </c>
      <c r="BH160" s="3"/>
      <c r="BI160" s="3"/>
      <c r="BJ160" s="3"/>
      <c r="BK160" s="3"/>
      <c r="BL160" s="2" t="s">
        <v>105</v>
      </c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2">
        <f t="shared" ref="CC160:CC161" si="5">1/2</f>
        <v>0.5</v>
      </c>
      <c r="CD160" s="2" t="s">
        <v>126</v>
      </c>
      <c r="CE160" s="3"/>
      <c r="CF160" s="3"/>
      <c r="CG160" s="3"/>
      <c r="CH160" s="3"/>
      <c r="CI160" s="2" t="s">
        <v>103</v>
      </c>
      <c r="CJ160" s="2" t="s">
        <v>110</v>
      </c>
      <c r="CK160" s="2" t="s">
        <v>126</v>
      </c>
      <c r="CL160" s="3"/>
      <c r="CM160" s="3"/>
      <c r="CN160" s="3"/>
      <c r="CO160" s="4" t="s">
        <v>120</v>
      </c>
      <c r="CP160" s="3"/>
      <c r="CQ160" s="3"/>
      <c r="CR160" s="3"/>
      <c r="CS160" s="3"/>
      <c r="CT160" s="3"/>
      <c r="CU160" s="3"/>
      <c r="CV160" s="3"/>
      <c r="CW160" s="3"/>
      <c r="CX160" s="2" t="s">
        <v>110</v>
      </c>
      <c r="CY160" s="2" t="s">
        <v>156</v>
      </c>
    </row>
    <row r="161" spans="1:103" ht="15.75" customHeight="1" x14ac:dyDescent="0.2">
      <c r="A161" s="2" t="s">
        <v>105</v>
      </c>
      <c r="B161" s="2" t="s">
        <v>196</v>
      </c>
      <c r="C161" s="2" t="s">
        <v>312</v>
      </c>
      <c r="D161" s="3"/>
      <c r="E161" s="2" t="s">
        <v>103</v>
      </c>
      <c r="F161" s="3"/>
      <c r="G161" s="3"/>
      <c r="H161" s="2" t="s">
        <v>116</v>
      </c>
      <c r="I161" s="2" t="s">
        <v>118</v>
      </c>
      <c r="J161" s="3"/>
      <c r="K161" s="3"/>
      <c r="L161" s="2" t="s">
        <v>106</v>
      </c>
      <c r="M161" s="2" t="s">
        <v>126</v>
      </c>
      <c r="N161" s="2" t="s">
        <v>130</v>
      </c>
      <c r="O161" s="3"/>
      <c r="P161" s="3"/>
      <c r="Q161" s="3"/>
      <c r="R161" s="3"/>
      <c r="S161" s="2" t="s">
        <v>129</v>
      </c>
      <c r="T161" s="2" t="s">
        <v>118</v>
      </c>
      <c r="U161" s="3"/>
      <c r="V161" s="2" t="s">
        <v>105</v>
      </c>
      <c r="W161" s="3"/>
      <c r="X161" s="3"/>
      <c r="Y161" s="2" t="s">
        <v>103</v>
      </c>
      <c r="Z161" s="3"/>
      <c r="AA161" s="3"/>
      <c r="AB161" s="2" t="s">
        <v>117</v>
      </c>
      <c r="AC161" s="2" t="s">
        <v>117</v>
      </c>
      <c r="AD161" s="2" t="s">
        <v>117</v>
      </c>
      <c r="AE161" s="3"/>
      <c r="AF161" s="3"/>
      <c r="AG161" s="3"/>
      <c r="AH161" s="3"/>
      <c r="AI161" s="3"/>
      <c r="AJ161" s="2" t="s">
        <v>135</v>
      </c>
      <c r="AK161" s="3"/>
      <c r="AL161" s="2" t="s">
        <v>103</v>
      </c>
      <c r="AM161" s="3"/>
      <c r="AN161" s="3"/>
      <c r="AO161" s="3"/>
      <c r="AP161" s="3"/>
      <c r="AQ161" s="3"/>
      <c r="AR161" s="3"/>
      <c r="AS161" s="3"/>
      <c r="AT161" s="2" t="s">
        <v>103</v>
      </c>
      <c r="AU161" s="2" t="s">
        <v>103</v>
      </c>
      <c r="AV161" s="2" t="s">
        <v>103</v>
      </c>
      <c r="AW161" s="2" t="s">
        <v>105</v>
      </c>
      <c r="AX161" s="3"/>
      <c r="AY161" s="4" t="s">
        <v>109</v>
      </c>
      <c r="AZ161" s="3"/>
      <c r="BA161" s="3"/>
      <c r="BB161" s="3"/>
      <c r="BC161" s="3"/>
      <c r="BD161" s="3"/>
      <c r="BE161" s="3"/>
      <c r="BF161" s="2" t="s">
        <v>116</v>
      </c>
      <c r="BG161" s="4" t="s">
        <v>156</v>
      </c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2">
        <f t="shared" si="5"/>
        <v>0.5</v>
      </c>
      <c r="CD161" s="2" t="s">
        <v>120</v>
      </c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spans="1:103" ht="15.75" customHeight="1" x14ac:dyDescent="0.2">
      <c r="A162" s="2" t="s">
        <v>103</v>
      </c>
      <c r="B162" s="2" t="s">
        <v>141</v>
      </c>
      <c r="C162" s="2" t="s">
        <v>312</v>
      </c>
      <c r="D162" s="3"/>
      <c r="E162" s="2" t="s">
        <v>103</v>
      </c>
      <c r="F162" s="3"/>
      <c r="G162" s="3"/>
      <c r="H162" s="2" t="s">
        <v>166</v>
      </c>
      <c r="I162" s="2" t="s">
        <v>172</v>
      </c>
      <c r="J162" s="3"/>
      <c r="K162" s="3"/>
      <c r="L162" s="2" t="s">
        <v>128</v>
      </c>
      <c r="M162" s="2" t="s">
        <v>130</v>
      </c>
      <c r="N162" s="2" t="s">
        <v>135</v>
      </c>
      <c r="O162" s="3"/>
      <c r="P162" s="3"/>
      <c r="Q162" s="4" t="s">
        <v>120</v>
      </c>
      <c r="R162" s="2" t="s">
        <v>121</v>
      </c>
      <c r="S162" s="4" t="s">
        <v>134</v>
      </c>
      <c r="T162" s="2" t="s">
        <v>108</v>
      </c>
      <c r="U162" s="3"/>
      <c r="V162" s="2" t="s">
        <v>108</v>
      </c>
      <c r="W162" s="3"/>
      <c r="X162" s="3"/>
      <c r="Y162" s="2" t="s">
        <v>111</v>
      </c>
      <c r="Z162" s="3"/>
      <c r="AA162" s="3"/>
      <c r="AB162" s="2" t="s">
        <v>116</v>
      </c>
      <c r="AC162" s="2" t="s">
        <v>111</v>
      </c>
      <c r="AD162" s="2" t="s">
        <v>111</v>
      </c>
      <c r="AE162" s="3"/>
      <c r="AF162" s="3"/>
      <c r="AG162" s="2" t="s">
        <v>116</v>
      </c>
      <c r="AH162" s="2" t="s">
        <v>103</v>
      </c>
      <c r="AI162" s="3"/>
      <c r="AJ162" s="4" t="s">
        <v>145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2" t="s">
        <v>117</v>
      </c>
      <c r="AW162" s="2" t="s">
        <v>105</v>
      </c>
      <c r="AX162" s="3"/>
      <c r="AY162" s="2" t="s">
        <v>126</v>
      </c>
      <c r="AZ162" s="3"/>
      <c r="BA162" s="3"/>
      <c r="BB162" s="2" t="s">
        <v>103</v>
      </c>
      <c r="BC162" s="2" t="s">
        <v>105</v>
      </c>
      <c r="BD162" s="2" t="s">
        <v>116</v>
      </c>
      <c r="BE162" s="2" t="s">
        <v>123</v>
      </c>
      <c r="BF162" s="2" t="s">
        <v>117</v>
      </c>
      <c r="BG162" s="2" t="s">
        <v>109</v>
      </c>
      <c r="BH162" s="3"/>
      <c r="BI162" s="3"/>
      <c r="BJ162" s="2" t="s">
        <v>137</v>
      </c>
      <c r="BK162" s="2" t="s">
        <v>161</v>
      </c>
      <c r="BL162" s="2" t="s">
        <v>154</v>
      </c>
      <c r="BM162" s="2" t="s">
        <v>139</v>
      </c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4">
        <f>1 +(1/2)</f>
        <v>1.5</v>
      </c>
      <c r="CD162" s="2" t="s">
        <v>123</v>
      </c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spans="1:103" ht="15.75" customHeight="1" x14ac:dyDescent="0.2">
      <c r="A163" s="2" t="s">
        <v>116</v>
      </c>
      <c r="B163" s="2" t="s">
        <v>141</v>
      </c>
      <c r="C163" s="2" t="s">
        <v>312</v>
      </c>
      <c r="D163" s="3"/>
      <c r="E163" s="2" t="s">
        <v>103</v>
      </c>
      <c r="F163" s="3"/>
      <c r="G163" s="3"/>
      <c r="H163" s="2" t="s">
        <v>137</v>
      </c>
      <c r="I163" s="2" t="s">
        <v>123</v>
      </c>
      <c r="J163" s="2" t="s">
        <v>104</v>
      </c>
      <c r="K163" s="3"/>
      <c r="L163" s="2" t="s">
        <v>207</v>
      </c>
      <c r="M163" s="2" t="s">
        <v>130</v>
      </c>
      <c r="N163" s="2" t="s">
        <v>134</v>
      </c>
      <c r="O163" s="2" t="s">
        <v>120</v>
      </c>
      <c r="P163" s="2" t="s">
        <v>121</v>
      </c>
      <c r="Q163" s="3"/>
      <c r="R163" s="3"/>
      <c r="S163" s="2" t="s">
        <v>165</v>
      </c>
      <c r="T163" s="2" t="s">
        <v>107</v>
      </c>
      <c r="U163" s="3"/>
      <c r="V163" s="2" t="s">
        <v>156</v>
      </c>
      <c r="W163" s="3"/>
      <c r="X163" s="3"/>
      <c r="Y163" s="2" t="s">
        <v>111</v>
      </c>
      <c r="Z163" s="3"/>
      <c r="AA163" s="3"/>
      <c r="AB163" s="2" t="s">
        <v>137</v>
      </c>
      <c r="AC163" s="2" t="s">
        <v>196</v>
      </c>
      <c r="AD163" s="2" t="s">
        <v>121</v>
      </c>
      <c r="AE163" s="3"/>
      <c r="AF163" s="2" t="s">
        <v>111</v>
      </c>
      <c r="AG163" s="2" t="s">
        <v>103</v>
      </c>
      <c r="AH163" s="2" t="s">
        <v>103</v>
      </c>
      <c r="AI163" s="3"/>
      <c r="AJ163" s="2" t="s">
        <v>106</v>
      </c>
      <c r="AK163" s="3"/>
      <c r="AL163" s="2" t="s">
        <v>105</v>
      </c>
      <c r="AM163" s="2" t="s">
        <v>117</v>
      </c>
      <c r="AN163" s="3"/>
      <c r="AO163" s="3"/>
      <c r="AP163" s="3"/>
      <c r="AQ163" s="2" t="s">
        <v>103</v>
      </c>
      <c r="AR163" s="3"/>
      <c r="AS163" s="3"/>
      <c r="AT163" s="2" t="s">
        <v>137</v>
      </c>
      <c r="AU163" s="2" t="s">
        <v>266</v>
      </c>
      <c r="AV163" s="2" t="s">
        <v>103</v>
      </c>
      <c r="AW163" s="2" t="s">
        <v>105</v>
      </c>
      <c r="AX163" s="2" t="s">
        <v>105</v>
      </c>
      <c r="AY163" s="2" t="s">
        <v>130</v>
      </c>
      <c r="AZ163" s="3"/>
      <c r="BA163" s="3"/>
      <c r="BB163" s="4">
        <f>1 +(1/2)</f>
        <v>1.5</v>
      </c>
      <c r="BC163" s="2" t="s">
        <v>104</v>
      </c>
      <c r="BD163" s="2" t="s">
        <v>103</v>
      </c>
      <c r="BE163" s="2" t="s">
        <v>110</v>
      </c>
      <c r="BF163" s="2" t="s">
        <v>111</v>
      </c>
      <c r="BG163" s="2" t="s">
        <v>114</v>
      </c>
      <c r="BH163" s="3"/>
      <c r="BI163" s="3"/>
      <c r="BJ163" s="4">
        <f>1 +(1/2)</f>
        <v>1.5</v>
      </c>
      <c r="BK163" s="2" t="s">
        <v>108</v>
      </c>
      <c r="BL163" s="3"/>
      <c r="BM163" s="2" t="s">
        <v>154</v>
      </c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2">
        <f>3/4</f>
        <v>0.75</v>
      </c>
      <c r="CD163" s="2" t="s">
        <v>114</v>
      </c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2" t="s">
        <v>105</v>
      </c>
      <c r="CY163" s="2" t="s">
        <v>104</v>
      </c>
    </row>
    <row r="164" spans="1:103" ht="15.75" customHeight="1" x14ac:dyDescent="0.2">
      <c r="A164" s="2" t="s">
        <v>117</v>
      </c>
      <c r="B164" s="2" t="s">
        <v>141</v>
      </c>
      <c r="C164" s="2" t="s">
        <v>312</v>
      </c>
      <c r="D164" s="3"/>
      <c r="E164" s="2" t="s">
        <v>103</v>
      </c>
      <c r="F164" s="3"/>
      <c r="G164" s="3"/>
      <c r="H164" s="2" t="s">
        <v>116</v>
      </c>
      <c r="I164" s="2" t="s">
        <v>170</v>
      </c>
      <c r="J164" s="3"/>
      <c r="K164" s="3"/>
      <c r="L164" s="2" t="s">
        <v>165</v>
      </c>
      <c r="M164" s="2" t="s">
        <v>126</v>
      </c>
      <c r="N164" s="2" t="s">
        <v>145</v>
      </c>
      <c r="O164" s="3"/>
      <c r="P164" s="3"/>
      <c r="Q164" s="2" t="s">
        <v>110</v>
      </c>
      <c r="R164" s="2" t="s">
        <v>117</v>
      </c>
      <c r="S164" s="2" t="s">
        <v>112</v>
      </c>
      <c r="T164" s="2" t="s">
        <v>105</v>
      </c>
      <c r="U164" s="3"/>
      <c r="V164" s="2" t="s">
        <v>105</v>
      </c>
      <c r="W164" s="3"/>
      <c r="X164" s="3"/>
      <c r="Y164" s="2" t="s">
        <v>116</v>
      </c>
      <c r="Z164" s="3"/>
      <c r="AA164" s="3"/>
      <c r="AB164" s="2" t="s">
        <v>116</v>
      </c>
      <c r="AC164" s="2" t="s">
        <v>121</v>
      </c>
      <c r="AD164" s="2" t="s">
        <v>116</v>
      </c>
      <c r="AE164" s="3"/>
      <c r="AF164" s="3"/>
      <c r="AG164" s="3"/>
      <c r="AH164" s="3"/>
      <c r="AI164" s="3"/>
      <c r="AJ164" s="4" t="s">
        <v>145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2" t="s">
        <v>103</v>
      </c>
      <c r="AW164" s="2" t="s">
        <v>121</v>
      </c>
      <c r="AX164" s="3"/>
      <c r="AY164" s="4" t="s">
        <v>108</v>
      </c>
      <c r="AZ164" s="3"/>
      <c r="BA164" s="3"/>
      <c r="BB164" s="3"/>
      <c r="BC164" s="3"/>
      <c r="BD164" s="3"/>
      <c r="BE164" s="3"/>
      <c r="BF164" s="4">
        <f>1 +(1/2)</f>
        <v>1.5</v>
      </c>
      <c r="BG164" s="2" t="s">
        <v>107</v>
      </c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2">
        <f>1/2</f>
        <v>0.5</v>
      </c>
      <c r="CD164" s="2" t="s">
        <v>146</v>
      </c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spans="1:103" ht="15.75" customHeight="1" x14ac:dyDescent="0.2">
      <c r="A165" s="2" t="s">
        <v>111</v>
      </c>
      <c r="B165" s="2" t="s">
        <v>141</v>
      </c>
      <c r="C165" s="2" t="s">
        <v>312</v>
      </c>
      <c r="D165" s="3"/>
      <c r="E165" s="2" t="s">
        <v>103</v>
      </c>
      <c r="F165" s="3"/>
      <c r="G165" s="3"/>
      <c r="H165" s="2" t="s">
        <v>111</v>
      </c>
      <c r="I165" s="2" t="s">
        <v>202</v>
      </c>
      <c r="J165" s="3"/>
      <c r="K165" s="3"/>
      <c r="L165" s="2" t="s">
        <v>125</v>
      </c>
      <c r="M165" s="2" t="s">
        <v>109</v>
      </c>
      <c r="N165" s="2" t="s">
        <v>134</v>
      </c>
      <c r="O165" s="2" t="s">
        <v>126</v>
      </c>
      <c r="P165" s="3"/>
      <c r="Q165" s="3"/>
      <c r="R165" s="3"/>
      <c r="S165" s="2" t="s">
        <v>131</v>
      </c>
      <c r="T165" s="2" t="s">
        <v>113</v>
      </c>
      <c r="U165" s="3"/>
      <c r="V165" s="2" t="s">
        <v>110</v>
      </c>
      <c r="W165" s="3"/>
      <c r="X165" s="3"/>
      <c r="Y165" s="2" t="s">
        <v>111</v>
      </c>
      <c r="Z165" s="3"/>
      <c r="AA165" s="3"/>
      <c r="AB165" s="2" t="s">
        <v>137</v>
      </c>
      <c r="AC165" s="4" t="s">
        <v>151</v>
      </c>
      <c r="AD165" s="2" t="s">
        <v>137</v>
      </c>
      <c r="AE165" s="3"/>
      <c r="AF165" s="2" t="s">
        <v>116</v>
      </c>
      <c r="AG165" s="2" t="s">
        <v>103</v>
      </c>
      <c r="AH165" s="2" t="s">
        <v>116</v>
      </c>
      <c r="AI165" s="3"/>
      <c r="AJ165" s="2" t="s">
        <v>267</v>
      </c>
      <c r="AK165" s="3"/>
      <c r="AL165" s="2" t="s">
        <v>103</v>
      </c>
      <c r="AM165" s="3"/>
      <c r="AN165" s="3"/>
      <c r="AO165" s="3"/>
      <c r="AP165" s="3"/>
      <c r="AQ165" s="3"/>
      <c r="AR165" s="3"/>
      <c r="AS165" s="3"/>
      <c r="AT165" s="2" t="s">
        <v>103</v>
      </c>
      <c r="AU165" s="2" t="s">
        <v>118</v>
      </c>
      <c r="AV165" s="2" t="s">
        <v>116</v>
      </c>
      <c r="AW165" s="2" t="s">
        <v>139</v>
      </c>
      <c r="AX165" s="2" t="s">
        <v>121</v>
      </c>
      <c r="AY165" s="2" t="s">
        <v>109</v>
      </c>
      <c r="AZ165" s="3"/>
      <c r="BA165" s="3"/>
      <c r="BB165" s="3"/>
      <c r="BC165" s="3"/>
      <c r="BD165" s="4">
        <f>1 +(1/2)</f>
        <v>1.5</v>
      </c>
      <c r="BE165" s="2" t="s">
        <v>110</v>
      </c>
      <c r="BF165" s="2" t="s">
        <v>103</v>
      </c>
      <c r="BG165" s="2" t="s">
        <v>104</v>
      </c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2" t="s">
        <v>103</v>
      </c>
      <c r="CD165" s="2" t="s">
        <v>107</v>
      </c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spans="1:103" ht="15.75" customHeight="1" x14ac:dyDescent="0.2">
      <c r="A166" s="2" t="s">
        <v>121</v>
      </c>
      <c r="B166" s="2" t="s">
        <v>141</v>
      </c>
      <c r="C166" s="2" t="s">
        <v>312</v>
      </c>
      <c r="D166" s="3"/>
      <c r="E166" s="2" t="s">
        <v>103</v>
      </c>
      <c r="F166" s="3"/>
      <c r="G166" s="3"/>
      <c r="H166" s="4">
        <f>1 +(1/2)</f>
        <v>1.5</v>
      </c>
      <c r="I166" s="2" t="s">
        <v>115</v>
      </c>
      <c r="J166" s="3"/>
      <c r="K166" s="3"/>
      <c r="L166" s="2" t="s">
        <v>135</v>
      </c>
      <c r="M166" s="2" t="s">
        <v>126</v>
      </c>
      <c r="N166" s="2" t="s">
        <v>145</v>
      </c>
      <c r="O166" s="3"/>
      <c r="P166" s="3"/>
      <c r="Q166" s="3"/>
      <c r="R166" s="3"/>
      <c r="S166" s="2" t="s">
        <v>130</v>
      </c>
      <c r="T166" s="2" t="s">
        <v>115</v>
      </c>
      <c r="U166" s="3"/>
      <c r="V166" s="2" t="s">
        <v>115</v>
      </c>
      <c r="W166" s="3"/>
      <c r="X166" s="3"/>
      <c r="Y166" s="2" t="s">
        <v>116</v>
      </c>
      <c r="Z166" s="3"/>
      <c r="AA166" s="3"/>
      <c r="AB166" s="2" t="s">
        <v>116</v>
      </c>
      <c r="AC166" s="3"/>
      <c r="AD166" s="2" t="s">
        <v>116</v>
      </c>
      <c r="AE166" s="3"/>
      <c r="AF166" s="2" t="s">
        <v>116</v>
      </c>
      <c r="AG166" s="3"/>
      <c r="AH166" s="3"/>
      <c r="AI166" s="3"/>
      <c r="AJ166" s="2" t="s">
        <v>131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2" t="s">
        <v>116</v>
      </c>
      <c r="AW166" s="2" t="s">
        <v>196</v>
      </c>
      <c r="AX166" s="3"/>
      <c r="AY166" s="2" t="s">
        <v>130</v>
      </c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4">
        <f>1 +(1/2)</f>
        <v>1.5</v>
      </c>
      <c r="CD166" s="2" t="s">
        <v>112</v>
      </c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spans="1:103" ht="15.75" customHeight="1" x14ac:dyDescent="0.2">
      <c r="A167" s="2" t="s">
        <v>115</v>
      </c>
      <c r="B167" s="2" t="s">
        <v>141</v>
      </c>
      <c r="C167" s="2" t="s">
        <v>312</v>
      </c>
      <c r="D167" s="3"/>
      <c r="E167" s="2" t="s">
        <v>103</v>
      </c>
      <c r="F167" s="3"/>
      <c r="G167" s="3"/>
      <c r="H167" s="2" t="s">
        <v>154</v>
      </c>
      <c r="I167" s="2" t="s">
        <v>160</v>
      </c>
      <c r="J167" s="2" t="s">
        <v>104</v>
      </c>
      <c r="K167" s="3"/>
      <c r="L167" s="2" t="s">
        <v>144</v>
      </c>
      <c r="M167" s="2" t="s">
        <v>129</v>
      </c>
      <c r="N167" s="2" t="s">
        <v>142</v>
      </c>
      <c r="O167" s="3"/>
      <c r="P167" s="3"/>
      <c r="Q167" s="2" t="s">
        <v>159</v>
      </c>
      <c r="R167" s="2" t="s">
        <v>107</v>
      </c>
      <c r="S167" s="2" t="s">
        <v>134</v>
      </c>
      <c r="T167" s="2" t="s">
        <v>113</v>
      </c>
      <c r="U167" s="3"/>
      <c r="V167" s="2" t="s">
        <v>104</v>
      </c>
      <c r="W167" s="3"/>
      <c r="X167" s="3"/>
      <c r="Y167" s="2" t="s">
        <v>121</v>
      </c>
      <c r="Z167" s="3"/>
      <c r="AA167" s="3"/>
      <c r="AB167" s="2" t="s">
        <v>115</v>
      </c>
      <c r="AC167" s="2" t="s">
        <v>115</v>
      </c>
      <c r="AD167" s="2" t="s">
        <v>115</v>
      </c>
      <c r="AE167" s="3"/>
      <c r="AF167" s="2" t="s">
        <v>121</v>
      </c>
      <c r="AG167" s="3"/>
      <c r="AH167" s="3"/>
      <c r="AI167" s="3"/>
      <c r="AJ167" s="2" t="s">
        <v>149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2" t="s">
        <v>116</v>
      </c>
      <c r="AW167" s="2" t="s">
        <v>113</v>
      </c>
      <c r="AX167" s="3"/>
      <c r="AY167" s="2" t="s">
        <v>130</v>
      </c>
      <c r="AZ167" s="3"/>
      <c r="BA167" s="3"/>
      <c r="BB167" s="3"/>
      <c r="BC167" s="3"/>
      <c r="BD167" s="2" t="s">
        <v>116</v>
      </c>
      <c r="BE167" s="2" t="s">
        <v>123</v>
      </c>
      <c r="BF167" s="2" t="s">
        <v>117</v>
      </c>
      <c r="BG167" s="2" t="s">
        <v>208</v>
      </c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2" t="s">
        <v>103</v>
      </c>
      <c r="CD167" s="2" t="s">
        <v>109</v>
      </c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2" t="s">
        <v>113</v>
      </c>
      <c r="CY167" s="2" t="s">
        <v>136</v>
      </c>
    </row>
    <row r="168" spans="1:103" ht="15.75" customHeight="1" x14ac:dyDescent="0.2">
      <c r="A168" s="2" t="s">
        <v>137</v>
      </c>
      <c r="B168" s="2" t="s">
        <v>141</v>
      </c>
      <c r="C168" s="2" t="s">
        <v>312</v>
      </c>
      <c r="D168" s="3"/>
      <c r="E168" s="2" t="s">
        <v>103</v>
      </c>
      <c r="F168" s="3"/>
      <c r="G168" s="3"/>
      <c r="H168" s="2" t="s">
        <v>117</v>
      </c>
      <c r="I168" s="2" t="s">
        <v>115</v>
      </c>
      <c r="J168" s="3"/>
      <c r="K168" s="3"/>
      <c r="L168" s="2" t="s">
        <v>155</v>
      </c>
      <c r="M168" s="2" t="s">
        <v>126</v>
      </c>
      <c r="N168" s="2" t="s">
        <v>130</v>
      </c>
      <c r="O168" s="3"/>
      <c r="P168" s="3"/>
      <c r="Q168" s="3"/>
      <c r="R168" s="3"/>
      <c r="S168" s="2" t="s">
        <v>130</v>
      </c>
      <c r="T168" s="2" t="s">
        <v>116</v>
      </c>
      <c r="U168" s="3"/>
      <c r="V168" s="2" t="s">
        <v>117</v>
      </c>
      <c r="W168" s="3"/>
      <c r="X168" s="3"/>
      <c r="Y168" s="2" t="s">
        <v>103</v>
      </c>
      <c r="Z168" s="3"/>
      <c r="AA168" s="3"/>
      <c r="AB168" s="2" t="s">
        <v>103</v>
      </c>
      <c r="AC168" s="3"/>
      <c r="AD168" s="2" t="s">
        <v>103</v>
      </c>
      <c r="AE168" s="3"/>
      <c r="AF168" s="2" t="s">
        <v>103</v>
      </c>
      <c r="AG168" s="3"/>
      <c r="AH168" s="3"/>
      <c r="AI168" s="3"/>
      <c r="AJ168" s="2" t="s">
        <v>130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2" t="s">
        <v>103</v>
      </c>
      <c r="AW168" s="2" t="s">
        <v>105</v>
      </c>
      <c r="AX168" s="3"/>
      <c r="AY168" s="2" t="s">
        <v>109</v>
      </c>
      <c r="AZ168" s="3"/>
      <c r="BA168" s="3"/>
      <c r="BB168" s="3"/>
      <c r="BC168" s="3"/>
      <c r="BD168" s="4">
        <f>1 +(1/2)</f>
        <v>1.5</v>
      </c>
      <c r="BE168" s="2" t="s">
        <v>136</v>
      </c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2" t="s">
        <v>103</v>
      </c>
      <c r="CD168" s="2" t="s">
        <v>136</v>
      </c>
      <c r="CE168" s="3"/>
      <c r="CF168" s="3"/>
      <c r="CG168" s="3"/>
      <c r="CH168" s="3"/>
      <c r="CI168" s="2" t="s">
        <v>103</v>
      </c>
      <c r="CJ168" s="2" t="s">
        <v>109</v>
      </c>
      <c r="CK168" s="2" t="s">
        <v>104</v>
      </c>
      <c r="CL168" s="3"/>
      <c r="CM168" s="3"/>
      <c r="CN168" s="3"/>
      <c r="CO168" s="2" t="s">
        <v>110</v>
      </c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spans="1:103" ht="15.75" customHeight="1" x14ac:dyDescent="0.2">
      <c r="A169" s="2" t="s">
        <v>118</v>
      </c>
      <c r="B169" s="2" t="s">
        <v>141</v>
      </c>
      <c r="C169" s="2" t="s">
        <v>312</v>
      </c>
      <c r="D169" s="3"/>
      <c r="E169" s="2" t="s">
        <v>103</v>
      </c>
      <c r="F169" s="3"/>
      <c r="G169" s="3"/>
      <c r="H169" s="2" t="s">
        <v>126</v>
      </c>
      <c r="I169" s="2" t="s">
        <v>268</v>
      </c>
      <c r="J169" s="2" t="s">
        <v>126</v>
      </c>
      <c r="K169" s="3"/>
      <c r="L169" s="2" t="s">
        <v>269</v>
      </c>
      <c r="M169" s="2" t="s">
        <v>130</v>
      </c>
      <c r="N169" s="2" t="s">
        <v>131</v>
      </c>
      <c r="O169" s="2" t="s">
        <v>104</v>
      </c>
      <c r="P169" s="3"/>
      <c r="Q169" s="2" t="s">
        <v>165</v>
      </c>
      <c r="R169" s="2" t="s">
        <v>114</v>
      </c>
      <c r="S169" s="2" t="s">
        <v>174</v>
      </c>
      <c r="T169" s="2" t="s">
        <v>182</v>
      </c>
      <c r="U169" s="3"/>
      <c r="V169" s="2" t="s">
        <v>182</v>
      </c>
      <c r="W169" s="3"/>
      <c r="X169" s="3"/>
      <c r="Y169" s="2" t="s">
        <v>117</v>
      </c>
      <c r="Z169" s="3"/>
      <c r="AA169" s="3"/>
      <c r="AB169" s="2" t="s">
        <v>103</v>
      </c>
      <c r="AC169" s="3"/>
      <c r="AD169" s="2" t="s">
        <v>103</v>
      </c>
      <c r="AE169" s="3"/>
      <c r="AF169" s="2" t="s">
        <v>103</v>
      </c>
      <c r="AG169" s="3"/>
      <c r="AH169" s="3"/>
      <c r="AI169" s="3"/>
      <c r="AJ169" s="2" t="s">
        <v>130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2" t="s">
        <v>113</v>
      </c>
      <c r="AX169" s="3"/>
      <c r="AY169" s="2" t="s">
        <v>145</v>
      </c>
      <c r="AZ169" s="3"/>
      <c r="BA169" s="3"/>
      <c r="BB169" s="2" t="s">
        <v>117</v>
      </c>
      <c r="BC169" s="2" t="s">
        <v>108</v>
      </c>
      <c r="BD169" s="2" t="s">
        <v>118</v>
      </c>
      <c r="BE169" s="2" t="s">
        <v>159</v>
      </c>
      <c r="BF169" s="2" t="s">
        <v>146</v>
      </c>
      <c r="BG169" s="2" t="s">
        <v>222</v>
      </c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2" t="s">
        <v>116</v>
      </c>
      <c r="CD169" s="2" t="s">
        <v>130</v>
      </c>
      <c r="CE169" s="3"/>
      <c r="CF169" s="3"/>
      <c r="CG169" s="3"/>
      <c r="CH169" s="3"/>
      <c r="CI169" s="2" t="s">
        <v>117</v>
      </c>
      <c r="CJ169" s="2" t="s">
        <v>114</v>
      </c>
      <c r="CK169" s="2" t="s">
        <v>145</v>
      </c>
      <c r="CL169" s="3"/>
      <c r="CM169" s="3"/>
      <c r="CN169" s="3"/>
      <c r="CO169" s="2" t="s">
        <v>130</v>
      </c>
      <c r="CP169" s="3"/>
      <c r="CQ169" s="3"/>
      <c r="CR169" s="3"/>
      <c r="CS169" s="3"/>
      <c r="CT169" s="3"/>
      <c r="CU169" s="3"/>
      <c r="CV169" s="3"/>
      <c r="CW169" s="3"/>
      <c r="CX169" s="2" t="s">
        <v>109</v>
      </c>
      <c r="CY169" s="4" t="s">
        <v>145</v>
      </c>
    </row>
    <row r="170" spans="1:103" ht="15.75" customHeight="1" x14ac:dyDescent="0.2">
      <c r="A170" s="2" t="s">
        <v>154</v>
      </c>
      <c r="B170" s="2" t="s">
        <v>141</v>
      </c>
      <c r="C170" s="2" t="s">
        <v>312</v>
      </c>
      <c r="D170" s="3"/>
      <c r="E170" s="2" t="s">
        <v>103</v>
      </c>
      <c r="F170" s="3"/>
      <c r="G170" s="3"/>
      <c r="H170" s="2" t="s">
        <v>122</v>
      </c>
      <c r="I170" s="2" t="s">
        <v>140</v>
      </c>
      <c r="J170" s="2" t="s">
        <v>139</v>
      </c>
      <c r="K170" s="3"/>
      <c r="L170" s="2" t="s">
        <v>232</v>
      </c>
      <c r="M170" s="2" t="s">
        <v>130</v>
      </c>
      <c r="N170" s="2" t="s">
        <v>142</v>
      </c>
      <c r="O170" s="2" t="s">
        <v>113</v>
      </c>
      <c r="P170" s="3"/>
      <c r="Q170" s="2" t="s">
        <v>120</v>
      </c>
      <c r="R170" s="2" t="s">
        <v>104</v>
      </c>
      <c r="S170" s="2" t="s">
        <v>270</v>
      </c>
      <c r="T170" s="2" t="s">
        <v>126</v>
      </c>
      <c r="U170" s="3"/>
      <c r="V170" s="2" t="s">
        <v>126</v>
      </c>
      <c r="W170" s="3"/>
      <c r="X170" s="3"/>
      <c r="Y170" s="2" t="s">
        <v>117</v>
      </c>
      <c r="Z170" s="3"/>
      <c r="AA170" s="3"/>
      <c r="AB170" s="2" t="s">
        <v>110</v>
      </c>
      <c r="AC170" s="2" t="s">
        <v>118</v>
      </c>
      <c r="AD170" s="2" t="s">
        <v>110</v>
      </c>
      <c r="AE170" s="3"/>
      <c r="AF170" s="2" t="s">
        <v>154</v>
      </c>
      <c r="AG170" s="2" t="s">
        <v>121</v>
      </c>
      <c r="AH170" s="3"/>
      <c r="AI170" s="3"/>
      <c r="AJ170" s="2" t="s">
        <v>174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2" t="s">
        <v>105</v>
      </c>
      <c r="AW170" s="2" t="s">
        <v>113</v>
      </c>
      <c r="AX170" s="3"/>
      <c r="AY170" s="2" t="s">
        <v>130</v>
      </c>
      <c r="AZ170" s="3"/>
      <c r="BA170" s="3"/>
      <c r="BB170" s="3"/>
      <c r="BC170" s="3"/>
      <c r="BD170" s="2" t="s">
        <v>117</v>
      </c>
      <c r="BE170" s="4" t="s">
        <v>156</v>
      </c>
      <c r="BF170" s="2" t="s">
        <v>137</v>
      </c>
      <c r="BG170" s="2" t="s">
        <v>145</v>
      </c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2" t="s">
        <v>103</v>
      </c>
      <c r="CD170" s="2" t="s">
        <v>123</v>
      </c>
      <c r="CE170" s="3"/>
      <c r="CF170" s="3"/>
      <c r="CG170" s="3"/>
      <c r="CH170" s="3"/>
      <c r="CI170" s="2" t="s">
        <v>117</v>
      </c>
      <c r="CJ170" s="2" t="s">
        <v>112</v>
      </c>
      <c r="CK170" s="2" t="s">
        <v>165</v>
      </c>
      <c r="CL170" s="3"/>
      <c r="CM170" s="3"/>
      <c r="CN170" s="3"/>
      <c r="CO170" s="2" t="s">
        <v>186</v>
      </c>
      <c r="CP170" s="3"/>
      <c r="CQ170" s="3"/>
      <c r="CR170" s="3"/>
      <c r="CS170" s="3"/>
      <c r="CT170" s="3"/>
      <c r="CU170" s="3"/>
      <c r="CV170" s="2" t="s">
        <v>113</v>
      </c>
      <c r="CW170" s="3"/>
      <c r="CX170" s="2" t="s">
        <v>105</v>
      </c>
      <c r="CY170" s="4" t="s">
        <v>104</v>
      </c>
    </row>
    <row r="171" spans="1:103" ht="15.75" customHeight="1" x14ac:dyDescent="0.2">
      <c r="A171" s="2" t="s">
        <v>105</v>
      </c>
      <c r="B171" s="2" t="s">
        <v>141</v>
      </c>
      <c r="C171" s="2" t="s">
        <v>312</v>
      </c>
      <c r="D171" s="3"/>
      <c r="E171" s="2" t="s">
        <v>103</v>
      </c>
      <c r="F171" s="3"/>
      <c r="G171" s="3"/>
      <c r="H171" s="2" t="s">
        <v>108</v>
      </c>
      <c r="I171" s="2" t="s">
        <v>129</v>
      </c>
      <c r="J171" s="2" t="s">
        <v>108</v>
      </c>
      <c r="K171" s="2" t="s">
        <v>117</v>
      </c>
      <c r="L171" s="2" t="s">
        <v>229</v>
      </c>
      <c r="M171" s="2" t="s">
        <v>186</v>
      </c>
      <c r="N171" s="2" t="s">
        <v>155</v>
      </c>
      <c r="O171" s="2" t="s">
        <v>108</v>
      </c>
      <c r="P171" s="3"/>
      <c r="Q171" s="2" t="s">
        <v>131</v>
      </c>
      <c r="R171" s="2" t="s">
        <v>109</v>
      </c>
      <c r="S171" s="2" t="s">
        <v>119</v>
      </c>
      <c r="T171" s="2" t="s">
        <v>181</v>
      </c>
      <c r="U171" s="3"/>
      <c r="V171" s="2" t="s">
        <v>109</v>
      </c>
      <c r="W171" s="3"/>
      <c r="X171" s="3"/>
      <c r="Y171" s="4" t="s">
        <v>121</v>
      </c>
      <c r="Z171" s="3"/>
      <c r="AA171" s="3"/>
      <c r="AB171" s="2" t="s">
        <v>139</v>
      </c>
      <c r="AC171" s="2" t="s">
        <v>168</v>
      </c>
      <c r="AD171" s="2" t="s">
        <v>110</v>
      </c>
      <c r="AE171" s="3"/>
      <c r="AF171" s="2" t="s">
        <v>139</v>
      </c>
      <c r="AG171" s="2" t="s">
        <v>103</v>
      </c>
      <c r="AH171" s="2" t="s">
        <v>103</v>
      </c>
      <c r="AI171" s="3"/>
      <c r="AJ171" s="2" t="s">
        <v>271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2" t="s">
        <v>116</v>
      </c>
      <c r="AW171" s="2" t="s">
        <v>113</v>
      </c>
      <c r="AX171" s="3"/>
      <c r="AY171" s="2" t="s">
        <v>130</v>
      </c>
      <c r="AZ171" s="4">
        <f>1 +(1/2)</f>
        <v>1.5</v>
      </c>
      <c r="BA171" s="2" t="s">
        <v>113</v>
      </c>
      <c r="BB171" s="3"/>
      <c r="BC171" s="3"/>
      <c r="BD171" s="2" t="s">
        <v>117</v>
      </c>
      <c r="BE171" s="2" t="s">
        <v>126</v>
      </c>
      <c r="BF171" s="2" t="s">
        <v>124</v>
      </c>
      <c r="BG171" s="2" t="s">
        <v>165</v>
      </c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2">
        <f>1/2</f>
        <v>0.5</v>
      </c>
      <c r="CD171" s="2" t="s">
        <v>136</v>
      </c>
      <c r="CE171" s="3"/>
      <c r="CF171" s="3"/>
      <c r="CG171" s="3"/>
      <c r="CH171" s="3"/>
      <c r="CI171" s="2" t="s">
        <v>103</v>
      </c>
      <c r="CJ171" s="2" t="s">
        <v>123</v>
      </c>
      <c r="CK171" s="2" t="s">
        <v>145</v>
      </c>
      <c r="CL171" s="3"/>
      <c r="CM171" s="3"/>
      <c r="CN171" s="3"/>
      <c r="CO171" s="2" t="s">
        <v>109</v>
      </c>
      <c r="CP171" s="3"/>
      <c r="CQ171" s="3"/>
      <c r="CR171" s="3"/>
      <c r="CS171" s="3"/>
      <c r="CT171" s="3"/>
      <c r="CU171" s="3"/>
      <c r="CV171" s="3"/>
      <c r="CW171" s="3"/>
      <c r="CX171" s="2" t="s">
        <v>160</v>
      </c>
      <c r="CY171" s="4" t="s">
        <v>272</v>
      </c>
    </row>
    <row r="172" spans="1:103" ht="15.75" customHeight="1" x14ac:dyDescent="0.2">
      <c r="A172" s="2" t="s">
        <v>103</v>
      </c>
      <c r="B172" s="2" t="s">
        <v>124</v>
      </c>
      <c r="C172" s="2" t="s">
        <v>312</v>
      </c>
      <c r="D172" s="3"/>
      <c r="E172" s="2" t="s">
        <v>103</v>
      </c>
      <c r="F172" s="3"/>
      <c r="G172" s="3"/>
      <c r="H172" s="2" t="s">
        <v>113</v>
      </c>
      <c r="I172" s="2" t="s">
        <v>182</v>
      </c>
      <c r="J172" s="2" t="s">
        <v>167</v>
      </c>
      <c r="K172" s="2" t="s">
        <v>115</v>
      </c>
      <c r="L172" s="2" t="s">
        <v>157</v>
      </c>
      <c r="M172" s="2" t="s">
        <v>130</v>
      </c>
      <c r="N172" s="2" t="s">
        <v>178</v>
      </c>
      <c r="O172" s="2" t="s">
        <v>113</v>
      </c>
      <c r="P172" s="3"/>
      <c r="Q172" s="2" t="s">
        <v>130</v>
      </c>
      <c r="R172" s="2" t="s">
        <v>126</v>
      </c>
      <c r="S172" s="2" t="s">
        <v>183</v>
      </c>
      <c r="T172" s="2" t="s">
        <v>208</v>
      </c>
      <c r="U172" s="3"/>
      <c r="V172" s="2" t="s">
        <v>208</v>
      </c>
      <c r="W172" s="3"/>
      <c r="X172" s="3"/>
      <c r="Y172" s="2" t="s">
        <v>121</v>
      </c>
      <c r="Z172" s="3"/>
      <c r="AA172" s="3"/>
      <c r="AB172" s="2" t="s">
        <v>124</v>
      </c>
      <c r="AC172" s="2" t="s">
        <v>139</v>
      </c>
      <c r="AD172" s="2" t="s">
        <v>196</v>
      </c>
      <c r="AE172" s="3"/>
      <c r="AF172" s="2" t="s">
        <v>105</v>
      </c>
      <c r="AG172" s="3"/>
      <c r="AH172" s="2" t="s">
        <v>103</v>
      </c>
      <c r="AI172" s="3"/>
      <c r="AJ172" s="2" t="s">
        <v>273</v>
      </c>
      <c r="AK172" s="3"/>
      <c r="AL172" s="2" t="s">
        <v>103</v>
      </c>
      <c r="AM172" s="3"/>
      <c r="AN172" s="3"/>
      <c r="AO172" s="3"/>
      <c r="AP172" s="3"/>
      <c r="AQ172" s="3"/>
      <c r="AR172" s="3"/>
      <c r="AS172" s="3"/>
      <c r="AT172" s="3"/>
      <c r="AU172" s="3"/>
      <c r="AV172" s="2" t="s">
        <v>111</v>
      </c>
      <c r="AW172" s="2" t="s">
        <v>108</v>
      </c>
      <c r="AX172" s="3"/>
      <c r="AY172" s="2" t="s">
        <v>129</v>
      </c>
      <c r="AZ172" s="3"/>
      <c r="BA172" s="3"/>
      <c r="BB172" s="3"/>
      <c r="BC172" s="3"/>
      <c r="BD172" s="2" t="s">
        <v>137</v>
      </c>
      <c r="BE172" s="2" t="s">
        <v>123</v>
      </c>
      <c r="BF172" s="2" t="s">
        <v>196</v>
      </c>
      <c r="BG172" s="2" t="s">
        <v>131</v>
      </c>
      <c r="BH172" s="4">
        <f>2 +(1/2)</f>
        <v>2.5</v>
      </c>
      <c r="BI172" s="2" t="s">
        <v>107</v>
      </c>
      <c r="BJ172" s="2" t="s">
        <v>117</v>
      </c>
      <c r="BK172" s="2" t="s">
        <v>107</v>
      </c>
      <c r="BL172" s="2" t="s">
        <v>108</v>
      </c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2" t="s">
        <v>103</v>
      </c>
      <c r="CD172" s="2" t="s">
        <v>109</v>
      </c>
      <c r="CE172" s="3"/>
      <c r="CF172" s="3"/>
      <c r="CG172" s="3"/>
      <c r="CH172" s="3"/>
      <c r="CI172" s="2" t="s">
        <v>116</v>
      </c>
      <c r="CJ172" s="2" t="s">
        <v>126</v>
      </c>
      <c r="CK172" s="2" t="s">
        <v>130</v>
      </c>
      <c r="CL172" s="3"/>
      <c r="CM172" s="3"/>
      <c r="CN172" s="3"/>
      <c r="CO172" s="2" t="s">
        <v>171</v>
      </c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spans="1:103" ht="15.75" customHeight="1" x14ac:dyDescent="0.2">
      <c r="A173" s="2" t="s">
        <v>116</v>
      </c>
      <c r="B173" s="2" t="s">
        <v>124</v>
      </c>
      <c r="C173" s="2" t="s">
        <v>312</v>
      </c>
      <c r="D173" s="3"/>
      <c r="E173" s="2" t="s">
        <v>103</v>
      </c>
      <c r="F173" s="3"/>
      <c r="G173" s="3"/>
      <c r="H173" s="2" t="s">
        <v>146</v>
      </c>
      <c r="I173" s="2" t="s">
        <v>260</v>
      </c>
      <c r="J173" s="2" t="s">
        <v>113</v>
      </c>
      <c r="K173" s="3"/>
      <c r="L173" s="2" t="s">
        <v>157</v>
      </c>
      <c r="M173" s="2" t="s">
        <v>112</v>
      </c>
      <c r="N173" s="2" t="s">
        <v>142</v>
      </c>
      <c r="O173" s="2" t="s">
        <v>126</v>
      </c>
      <c r="P173" s="3"/>
      <c r="Q173" s="2" t="s">
        <v>145</v>
      </c>
      <c r="R173" s="2" t="s">
        <v>109</v>
      </c>
      <c r="S173" s="2" t="s">
        <v>183</v>
      </c>
      <c r="T173" s="2" t="s">
        <v>136</v>
      </c>
      <c r="U173" s="3"/>
      <c r="V173" s="2" t="s">
        <v>208</v>
      </c>
      <c r="W173" s="3"/>
      <c r="X173" s="3"/>
      <c r="Y173" s="2" t="s">
        <v>117</v>
      </c>
      <c r="Z173" s="3"/>
      <c r="AA173" s="3"/>
      <c r="AB173" s="2" t="s">
        <v>139</v>
      </c>
      <c r="AC173" s="2" t="s">
        <v>167</v>
      </c>
      <c r="AD173" s="2" t="s">
        <v>139</v>
      </c>
      <c r="AE173" s="2" t="s">
        <v>110</v>
      </c>
      <c r="AF173" s="2" t="s">
        <v>166</v>
      </c>
      <c r="AG173" s="2" t="s">
        <v>103</v>
      </c>
      <c r="AH173" s="2" t="s">
        <v>103</v>
      </c>
      <c r="AI173" s="3"/>
      <c r="AJ173" s="2" t="s">
        <v>215</v>
      </c>
      <c r="AK173" s="3"/>
      <c r="AL173" s="2" t="s">
        <v>124</v>
      </c>
      <c r="AM173" s="2" t="s">
        <v>115</v>
      </c>
      <c r="AN173" s="3"/>
      <c r="AO173" s="3"/>
      <c r="AP173" s="3"/>
      <c r="AQ173" s="3"/>
      <c r="AR173" s="3"/>
      <c r="AS173" s="3"/>
      <c r="AT173" s="2" t="s">
        <v>139</v>
      </c>
      <c r="AU173" s="4" t="s">
        <v>274</v>
      </c>
      <c r="AV173" s="2" t="s">
        <v>117</v>
      </c>
      <c r="AW173" s="2" t="s">
        <v>113</v>
      </c>
      <c r="AX173" s="3"/>
      <c r="AY173" s="2" t="s">
        <v>221</v>
      </c>
      <c r="AZ173" s="3"/>
      <c r="BA173" s="3"/>
      <c r="BB173" s="2" t="s">
        <v>117</v>
      </c>
      <c r="BC173" s="2" t="s">
        <v>126</v>
      </c>
      <c r="BD173" s="2" t="s">
        <v>111</v>
      </c>
      <c r="BE173" s="2" t="s">
        <v>109</v>
      </c>
      <c r="BF173" s="2" t="s">
        <v>113</v>
      </c>
      <c r="BG173" s="2" t="s">
        <v>254</v>
      </c>
      <c r="BH173" s="2" t="s">
        <v>121</v>
      </c>
      <c r="BI173" s="2" t="s">
        <v>136</v>
      </c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2">
        <f t="shared" ref="CC173:CC174" si="6">1/2</f>
        <v>0.5</v>
      </c>
      <c r="CD173" s="2" t="s">
        <v>104</v>
      </c>
      <c r="CE173" s="3"/>
      <c r="CF173" s="3"/>
      <c r="CG173" s="3"/>
      <c r="CH173" s="3"/>
      <c r="CI173" s="2" t="s">
        <v>116</v>
      </c>
      <c r="CJ173" s="2" t="s">
        <v>171</v>
      </c>
      <c r="CK173" s="2" t="s">
        <v>145</v>
      </c>
      <c r="CL173" s="3"/>
      <c r="CM173" s="3"/>
      <c r="CN173" s="3"/>
      <c r="CO173" s="2" t="s">
        <v>152</v>
      </c>
      <c r="CP173" s="3"/>
      <c r="CQ173" s="3"/>
      <c r="CR173" s="3"/>
      <c r="CS173" s="3"/>
      <c r="CT173" s="3"/>
      <c r="CU173" s="3"/>
      <c r="CV173" s="3"/>
      <c r="CW173" s="3"/>
      <c r="CX173" s="2" t="s">
        <v>109</v>
      </c>
      <c r="CY173" s="2" t="s">
        <v>145</v>
      </c>
    </row>
    <row r="174" spans="1:103" ht="15.75" customHeight="1" x14ac:dyDescent="0.2">
      <c r="A174" s="2" t="s">
        <v>117</v>
      </c>
      <c r="B174" s="2" t="s">
        <v>124</v>
      </c>
      <c r="C174" s="2" t="s">
        <v>312</v>
      </c>
      <c r="D174" s="3"/>
      <c r="E174" s="2" t="s">
        <v>103</v>
      </c>
      <c r="F174" s="3"/>
      <c r="G174" s="3"/>
      <c r="H174" s="2" t="s">
        <v>121</v>
      </c>
      <c r="I174" s="2" t="s">
        <v>123</v>
      </c>
      <c r="J174" s="2" t="s">
        <v>121</v>
      </c>
      <c r="K174" s="3"/>
      <c r="L174" s="2" t="s">
        <v>153</v>
      </c>
      <c r="M174" s="2" t="s">
        <v>109</v>
      </c>
      <c r="N174" s="2" t="s">
        <v>134</v>
      </c>
      <c r="O174" s="2" t="s">
        <v>105</v>
      </c>
      <c r="P174" s="3"/>
      <c r="Q174" s="2" t="s">
        <v>109</v>
      </c>
      <c r="R174" s="2" t="s">
        <v>126</v>
      </c>
      <c r="S174" s="2" t="s">
        <v>149</v>
      </c>
      <c r="T174" s="2" t="s">
        <v>107</v>
      </c>
      <c r="U174" s="3"/>
      <c r="V174" s="2" t="s">
        <v>136</v>
      </c>
      <c r="W174" s="3"/>
      <c r="X174" s="3"/>
      <c r="Y174" s="2" t="s">
        <v>116</v>
      </c>
      <c r="Z174" s="3"/>
      <c r="AA174" s="3"/>
      <c r="AB174" s="2" t="s">
        <v>154</v>
      </c>
      <c r="AC174" s="2" t="s">
        <v>111</v>
      </c>
      <c r="AD174" s="2" t="s">
        <v>105</v>
      </c>
      <c r="AE174" s="3"/>
      <c r="AF174" s="2" t="s">
        <v>154</v>
      </c>
      <c r="AG174" s="2" t="s">
        <v>121</v>
      </c>
      <c r="AH174" s="3"/>
      <c r="AI174" s="3"/>
      <c r="AJ174" s="2" t="s">
        <v>125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2" t="s">
        <v>116</v>
      </c>
      <c r="AW174" s="2" t="s">
        <v>139</v>
      </c>
      <c r="AX174" s="3"/>
      <c r="AY174" s="2" t="s">
        <v>112</v>
      </c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2">
        <f t="shared" si="6"/>
        <v>0.5</v>
      </c>
      <c r="CD174" s="2" t="s">
        <v>126</v>
      </c>
      <c r="CE174" s="3"/>
      <c r="CF174" s="3"/>
      <c r="CG174" s="3"/>
      <c r="CH174" s="3"/>
      <c r="CI174" s="2" t="s">
        <v>103</v>
      </c>
      <c r="CJ174" s="2" t="s">
        <v>126</v>
      </c>
      <c r="CK174" s="2" t="s">
        <v>121</v>
      </c>
      <c r="CL174" s="3"/>
      <c r="CM174" s="3"/>
      <c r="CN174" s="3"/>
      <c r="CO174" s="2" t="s">
        <v>116</v>
      </c>
      <c r="CP174" s="3"/>
      <c r="CQ174" s="3"/>
      <c r="CR174" s="3"/>
      <c r="CS174" s="3"/>
      <c r="CT174" s="3"/>
      <c r="CU174" s="3"/>
      <c r="CV174" s="2" t="s">
        <v>113</v>
      </c>
      <c r="CW174" s="3"/>
      <c r="CX174" s="2" t="s">
        <v>107</v>
      </c>
      <c r="CY174" s="2" t="s">
        <v>109</v>
      </c>
    </row>
    <row r="175" spans="1:103" ht="15.75" customHeight="1" x14ac:dyDescent="0.2">
      <c r="A175" s="2" t="s">
        <v>111</v>
      </c>
      <c r="B175" s="2" t="s">
        <v>124</v>
      </c>
      <c r="C175" s="2" t="s">
        <v>312</v>
      </c>
      <c r="D175" s="3"/>
      <c r="E175" s="2" t="s">
        <v>103</v>
      </c>
      <c r="F175" s="3"/>
      <c r="G175" s="3"/>
      <c r="H175" s="2" t="s">
        <v>139</v>
      </c>
      <c r="I175" s="2" t="s">
        <v>275</v>
      </c>
      <c r="J175" s="3"/>
      <c r="K175" s="3"/>
      <c r="L175" s="2" t="s">
        <v>144</v>
      </c>
      <c r="M175" s="2" t="s">
        <v>112</v>
      </c>
      <c r="N175" s="2" t="s">
        <v>149</v>
      </c>
      <c r="O175" s="2" t="s">
        <v>105</v>
      </c>
      <c r="P175" s="3"/>
      <c r="Q175" s="2" t="s">
        <v>130</v>
      </c>
      <c r="R175" s="2" t="s">
        <v>136</v>
      </c>
      <c r="S175" s="4" t="s">
        <v>130</v>
      </c>
      <c r="T175" s="2" t="s">
        <v>132</v>
      </c>
      <c r="U175" s="3"/>
      <c r="V175" s="2" t="s">
        <v>136</v>
      </c>
      <c r="W175" s="3"/>
      <c r="X175" s="3"/>
      <c r="Y175" s="2" t="s">
        <v>115</v>
      </c>
      <c r="Z175" s="3"/>
      <c r="AA175" s="3"/>
      <c r="AB175" s="2" t="s">
        <v>139</v>
      </c>
      <c r="AC175" s="2" t="s">
        <v>139</v>
      </c>
      <c r="AD175" s="2" t="s">
        <v>151</v>
      </c>
      <c r="AE175" s="3"/>
      <c r="AF175" s="2" t="s">
        <v>115</v>
      </c>
      <c r="AG175" s="2" t="s">
        <v>121</v>
      </c>
      <c r="AH175" s="3"/>
      <c r="AI175" s="3"/>
      <c r="AJ175" s="2" t="s">
        <v>125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2" t="s">
        <v>116</v>
      </c>
      <c r="AW175" s="2" t="s">
        <v>139</v>
      </c>
      <c r="AX175" s="3"/>
      <c r="AY175" s="2" t="s">
        <v>109</v>
      </c>
      <c r="AZ175" s="4">
        <f>3 +(1/2)</f>
        <v>3.5</v>
      </c>
      <c r="BA175" s="2" t="s">
        <v>167</v>
      </c>
      <c r="BB175" s="3"/>
      <c r="BC175" s="3"/>
      <c r="BD175" s="4">
        <f>1 +(1/2)</f>
        <v>1.5</v>
      </c>
      <c r="BE175" s="2" t="s">
        <v>126</v>
      </c>
      <c r="BF175" s="2" t="s">
        <v>117</v>
      </c>
      <c r="BG175" s="2" t="s">
        <v>152</v>
      </c>
      <c r="BH175" s="3"/>
      <c r="BI175" s="3"/>
      <c r="BJ175" s="2" t="s">
        <v>103</v>
      </c>
      <c r="BK175" s="2" t="s">
        <v>115</v>
      </c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2" t="s">
        <v>111</v>
      </c>
      <c r="CD175" s="2" t="s">
        <v>220</v>
      </c>
      <c r="CE175" s="3"/>
      <c r="CF175" s="3"/>
      <c r="CG175" s="3"/>
      <c r="CH175" s="3"/>
      <c r="CI175" s="2" t="s">
        <v>116</v>
      </c>
      <c r="CJ175" s="2" t="s">
        <v>130</v>
      </c>
      <c r="CK175" s="2" t="s">
        <v>145</v>
      </c>
      <c r="CL175" s="3"/>
      <c r="CM175" s="3"/>
      <c r="CN175" s="3"/>
      <c r="CO175" s="2" t="s">
        <v>112</v>
      </c>
      <c r="CP175" s="3"/>
      <c r="CQ175" s="3"/>
      <c r="CR175" s="3"/>
      <c r="CS175" s="3"/>
      <c r="CT175" s="3"/>
      <c r="CU175" s="3"/>
      <c r="CV175" s="3"/>
      <c r="CW175" s="3"/>
      <c r="CX175" s="2" t="s">
        <v>131</v>
      </c>
      <c r="CY175" s="2" t="s">
        <v>106</v>
      </c>
    </row>
    <row r="176" spans="1:103" ht="15.75" customHeight="1" x14ac:dyDescent="0.2">
      <c r="A176" s="2" t="s">
        <v>121</v>
      </c>
      <c r="B176" s="2" t="s">
        <v>124</v>
      </c>
      <c r="C176" s="2" t="s">
        <v>312</v>
      </c>
      <c r="D176" s="3"/>
      <c r="E176" s="2" t="s">
        <v>103</v>
      </c>
      <c r="F176" s="3"/>
      <c r="G176" s="3"/>
      <c r="H176" s="2" t="s">
        <v>151</v>
      </c>
      <c r="I176" s="2" t="s">
        <v>126</v>
      </c>
      <c r="J176" s="3"/>
      <c r="K176" s="3"/>
      <c r="L176" s="2" t="s">
        <v>257</v>
      </c>
      <c r="M176" s="2" t="s">
        <v>112</v>
      </c>
      <c r="N176" s="2" t="s">
        <v>131</v>
      </c>
      <c r="O176" s="3"/>
      <c r="P176" s="3"/>
      <c r="Q176" s="2" t="s">
        <v>120</v>
      </c>
      <c r="R176" s="2" t="s">
        <v>104</v>
      </c>
      <c r="S176" s="2" t="s">
        <v>165</v>
      </c>
      <c r="T176" s="2" t="s">
        <v>108</v>
      </c>
      <c r="U176" s="3"/>
      <c r="V176" s="2" t="s">
        <v>108</v>
      </c>
      <c r="W176" s="3"/>
      <c r="X176" s="3"/>
      <c r="Y176" s="2" t="s">
        <v>116</v>
      </c>
      <c r="Z176" s="3"/>
      <c r="AA176" s="3"/>
      <c r="AB176" s="2" t="s">
        <v>137</v>
      </c>
      <c r="AC176" s="2" t="s">
        <v>116</v>
      </c>
      <c r="AD176" s="2" t="s">
        <v>137</v>
      </c>
      <c r="AE176" s="3"/>
      <c r="AF176" s="2" t="s">
        <v>121</v>
      </c>
      <c r="AG176" s="2" t="s">
        <v>103</v>
      </c>
      <c r="AH176" s="3"/>
      <c r="AI176" s="3"/>
      <c r="AJ176" s="2" t="s">
        <v>106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2" t="s">
        <v>116</v>
      </c>
      <c r="AW176" s="2" t="s">
        <v>110</v>
      </c>
      <c r="AX176" s="3"/>
      <c r="AY176" s="2" t="s">
        <v>112</v>
      </c>
      <c r="AZ176" s="2" t="s">
        <v>103</v>
      </c>
      <c r="BA176" s="2" t="s">
        <v>113</v>
      </c>
      <c r="BB176" s="2" t="s">
        <v>103</v>
      </c>
      <c r="BC176" s="2" t="s">
        <v>118</v>
      </c>
      <c r="BD176" s="3"/>
      <c r="BE176" s="3"/>
      <c r="BF176" s="4">
        <f>1 +(1/2)</f>
        <v>1.5</v>
      </c>
      <c r="BG176" s="2" t="s">
        <v>107</v>
      </c>
      <c r="BH176" s="3"/>
      <c r="BI176" s="3"/>
      <c r="BJ176" s="2" t="s">
        <v>103</v>
      </c>
      <c r="BK176" s="2" t="s">
        <v>110</v>
      </c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2" t="s">
        <v>118</v>
      </c>
      <c r="CD176" s="2" t="s">
        <v>142</v>
      </c>
      <c r="CE176" s="3"/>
      <c r="CF176" s="3"/>
      <c r="CG176" s="3"/>
      <c r="CH176" s="3"/>
      <c r="CI176" s="2">
        <f>1/2</f>
        <v>0.5</v>
      </c>
      <c r="CJ176" s="2" t="s">
        <v>105</v>
      </c>
      <c r="CK176" s="2" t="s">
        <v>113</v>
      </c>
      <c r="CL176" s="3"/>
      <c r="CM176" s="3"/>
      <c r="CN176" s="3"/>
      <c r="CO176" s="2" t="s">
        <v>105</v>
      </c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spans="1:103" ht="15.75" customHeight="1" x14ac:dyDescent="0.2">
      <c r="A177" s="2" t="s">
        <v>115</v>
      </c>
      <c r="B177" s="2" t="s">
        <v>124</v>
      </c>
      <c r="C177" s="2" t="s">
        <v>312</v>
      </c>
      <c r="D177" s="3"/>
      <c r="E177" s="2" t="s">
        <v>103</v>
      </c>
      <c r="F177" s="3"/>
      <c r="G177" s="3"/>
      <c r="H177" s="2" t="s">
        <v>139</v>
      </c>
      <c r="I177" s="2" t="s">
        <v>276</v>
      </c>
      <c r="J177" s="2" t="s">
        <v>105</v>
      </c>
      <c r="K177" s="3"/>
      <c r="L177" s="2" t="s">
        <v>133</v>
      </c>
      <c r="M177" s="2" t="s">
        <v>145</v>
      </c>
      <c r="N177" s="2" t="s">
        <v>149</v>
      </c>
      <c r="O177" s="3"/>
      <c r="P177" s="3"/>
      <c r="Q177" s="2" t="s">
        <v>136</v>
      </c>
      <c r="R177" s="2" t="s">
        <v>122</v>
      </c>
      <c r="S177" s="2" t="s">
        <v>149</v>
      </c>
      <c r="T177" s="2" t="s">
        <v>132</v>
      </c>
      <c r="U177" s="3"/>
      <c r="V177" s="2" t="s">
        <v>126</v>
      </c>
      <c r="W177" s="3"/>
      <c r="X177" s="3"/>
      <c r="Y177" s="2" t="s">
        <v>121</v>
      </c>
      <c r="Z177" s="3"/>
      <c r="AA177" s="3"/>
      <c r="AB177" s="2" t="s">
        <v>118</v>
      </c>
      <c r="AC177" s="2" t="s">
        <v>127</v>
      </c>
      <c r="AD177" s="2" t="s">
        <v>118</v>
      </c>
      <c r="AE177" s="3"/>
      <c r="AF177" s="2" t="s">
        <v>117</v>
      </c>
      <c r="AG177" s="3"/>
      <c r="AH177" s="2" t="s">
        <v>103</v>
      </c>
      <c r="AI177" s="3"/>
      <c r="AJ177" s="2" t="s">
        <v>177</v>
      </c>
      <c r="AK177" s="3"/>
      <c r="AL177" s="2" t="s">
        <v>103</v>
      </c>
      <c r="AM177" s="3"/>
      <c r="AN177" s="3"/>
      <c r="AO177" s="3"/>
      <c r="AP177" s="3"/>
      <c r="AQ177" s="3"/>
      <c r="AR177" s="3"/>
      <c r="AS177" s="3"/>
      <c r="AT177" s="3"/>
      <c r="AU177" s="3"/>
      <c r="AV177" s="2" t="s">
        <v>116</v>
      </c>
      <c r="AW177" s="2" t="s">
        <v>110</v>
      </c>
      <c r="AX177" s="3"/>
      <c r="AY177" s="2" t="s">
        <v>112</v>
      </c>
      <c r="AZ177" s="3"/>
      <c r="BA177" s="3"/>
      <c r="BB177" s="2" t="s">
        <v>103</v>
      </c>
      <c r="BC177" s="2" t="s">
        <v>139</v>
      </c>
      <c r="BD177" s="2" t="s">
        <v>116</v>
      </c>
      <c r="BE177" s="2" t="s">
        <v>104</v>
      </c>
      <c r="BF177" s="2" t="s">
        <v>118</v>
      </c>
      <c r="BG177" s="2" t="s">
        <v>277</v>
      </c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4">
        <f>1 +(1/2)</f>
        <v>1.5</v>
      </c>
      <c r="CD177" s="2" t="s">
        <v>171</v>
      </c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2" t="s">
        <v>105</v>
      </c>
      <c r="CY177" s="2" t="s">
        <v>108</v>
      </c>
    </row>
    <row r="178" spans="1:103" ht="15.75" customHeight="1" x14ac:dyDescent="0.2">
      <c r="A178" s="2" t="s">
        <v>137</v>
      </c>
      <c r="B178" s="2" t="s">
        <v>124</v>
      </c>
      <c r="C178" s="2" t="s">
        <v>312</v>
      </c>
      <c r="D178" s="3"/>
      <c r="E178" s="2" t="s">
        <v>103</v>
      </c>
      <c r="F178" s="3"/>
      <c r="G178" s="3"/>
      <c r="H178" s="2" t="s">
        <v>105</v>
      </c>
      <c r="I178" s="2" t="s">
        <v>111</v>
      </c>
      <c r="J178" s="2" t="s">
        <v>113</v>
      </c>
      <c r="K178" s="2" t="s">
        <v>124</v>
      </c>
      <c r="L178" s="2" t="s">
        <v>125</v>
      </c>
      <c r="M178" s="2" t="s">
        <v>126</v>
      </c>
      <c r="N178" s="2" t="s">
        <v>171</v>
      </c>
      <c r="O178" s="3"/>
      <c r="P178" s="3"/>
      <c r="Q178" s="3"/>
      <c r="R178" s="3"/>
      <c r="S178" s="2" t="s">
        <v>176</v>
      </c>
      <c r="T178" s="2" t="s">
        <v>116</v>
      </c>
      <c r="U178" s="3"/>
      <c r="V178" s="2" t="s">
        <v>116</v>
      </c>
      <c r="W178" s="3"/>
      <c r="X178" s="3"/>
      <c r="Y178" s="2" t="s">
        <v>103</v>
      </c>
      <c r="Z178" s="3"/>
      <c r="AA178" s="3"/>
      <c r="AB178" s="2" t="s">
        <v>116</v>
      </c>
      <c r="AC178" s="2" t="s">
        <v>103</v>
      </c>
      <c r="AD178" s="2" t="s">
        <v>116</v>
      </c>
      <c r="AE178" s="3"/>
      <c r="AF178" s="2" t="s">
        <v>116</v>
      </c>
      <c r="AG178" s="3"/>
      <c r="AH178" s="3"/>
      <c r="AI178" s="3"/>
      <c r="AJ178" s="2" t="s">
        <v>145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2" t="s">
        <v>103</v>
      </c>
      <c r="AW178" s="2" t="s">
        <v>139</v>
      </c>
      <c r="AX178" s="3"/>
      <c r="AY178" s="2" t="s">
        <v>112</v>
      </c>
      <c r="AZ178" s="3"/>
      <c r="BA178" s="3"/>
      <c r="BB178" s="2" t="s">
        <v>116</v>
      </c>
      <c r="BC178" s="2" t="s">
        <v>113</v>
      </c>
      <c r="BD178" s="2" t="s">
        <v>103</v>
      </c>
      <c r="BE178" s="2" t="s">
        <v>126</v>
      </c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2" t="s">
        <v>137</v>
      </c>
      <c r="CD178" s="2" t="s">
        <v>165</v>
      </c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2" t="s">
        <v>113</v>
      </c>
      <c r="CY178" s="2" t="s">
        <v>136</v>
      </c>
    </row>
    <row r="179" spans="1:103" ht="15.75" customHeight="1" x14ac:dyDescent="0.2">
      <c r="A179" s="2" t="s">
        <v>118</v>
      </c>
      <c r="B179" s="2" t="s">
        <v>124</v>
      </c>
      <c r="C179" s="2" t="s">
        <v>312</v>
      </c>
      <c r="D179" s="3"/>
      <c r="E179" s="2" t="s">
        <v>103</v>
      </c>
      <c r="F179" s="3"/>
      <c r="G179" s="3"/>
      <c r="H179" s="2" t="s">
        <v>196</v>
      </c>
      <c r="I179" s="2" t="s">
        <v>173</v>
      </c>
      <c r="J179" s="2" t="s">
        <v>105</v>
      </c>
      <c r="K179" s="2" t="s">
        <v>110</v>
      </c>
      <c r="L179" s="2" t="s">
        <v>128</v>
      </c>
      <c r="M179" s="2" t="s">
        <v>109</v>
      </c>
      <c r="N179" s="2" t="s">
        <v>186</v>
      </c>
      <c r="O179" s="3"/>
      <c r="P179" s="3"/>
      <c r="Q179" s="3"/>
      <c r="R179" s="3"/>
      <c r="S179" s="2" t="s">
        <v>135</v>
      </c>
      <c r="T179" s="2" t="s">
        <v>110</v>
      </c>
      <c r="U179" s="3"/>
      <c r="V179" s="2" t="s">
        <v>110</v>
      </c>
      <c r="W179" s="3"/>
      <c r="X179" s="3"/>
      <c r="Y179" s="2" t="s">
        <v>116</v>
      </c>
      <c r="Z179" s="3"/>
      <c r="AA179" s="3"/>
      <c r="AB179" s="2" t="s">
        <v>111</v>
      </c>
      <c r="AC179" s="2" t="s">
        <v>103</v>
      </c>
      <c r="AD179" s="2" t="s">
        <v>111</v>
      </c>
      <c r="AE179" s="3"/>
      <c r="AF179" s="2" t="s">
        <v>111</v>
      </c>
      <c r="AG179" s="3"/>
      <c r="AH179" s="3"/>
      <c r="AI179" s="3"/>
      <c r="AJ179" s="2" t="s">
        <v>109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2" t="s">
        <v>103</v>
      </c>
      <c r="AW179" s="2" t="s">
        <v>105</v>
      </c>
      <c r="AX179" s="3"/>
      <c r="AY179" s="2" t="s">
        <v>109</v>
      </c>
      <c r="AZ179" s="3"/>
      <c r="BA179" s="3"/>
      <c r="BB179" s="2" t="s">
        <v>111</v>
      </c>
      <c r="BC179" s="2" t="s">
        <v>104</v>
      </c>
      <c r="BD179" s="2" t="s">
        <v>116</v>
      </c>
      <c r="BE179" s="2" t="s">
        <v>107</v>
      </c>
      <c r="BF179" s="2" t="s">
        <v>121</v>
      </c>
      <c r="BG179" s="2" t="s">
        <v>109</v>
      </c>
      <c r="BH179" s="3"/>
      <c r="BI179" s="3"/>
      <c r="BJ179" s="3"/>
      <c r="BK179" s="3"/>
      <c r="BL179" s="3"/>
      <c r="BM179" s="2" t="s">
        <v>105</v>
      </c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2" t="s">
        <v>111</v>
      </c>
      <c r="CD179" s="2" t="s">
        <v>145</v>
      </c>
      <c r="CE179" s="3"/>
      <c r="CF179" s="3"/>
      <c r="CG179" s="3"/>
      <c r="CH179" s="3"/>
      <c r="CI179" s="2" t="s">
        <v>103</v>
      </c>
      <c r="CJ179" s="2" t="s">
        <v>113</v>
      </c>
      <c r="CK179" s="2" t="s">
        <v>113</v>
      </c>
      <c r="CL179" s="3"/>
      <c r="CM179" s="3"/>
      <c r="CN179" s="3"/>
      <c r="CO179" s="2" t="s">
        <v>105</v>
      </c>
      <c r="CP179" s="3"/>
      <c r="CQ179" s="3"/>
      <c r="CR179" s="3"/>
      <c r="CS179" s="3"/>
      <c r="CT179" s="3"/>
      <c r="CU179" s="3"/>
      <c r="CV179" s="3"/>
      <c r="CW179" s="3"/>
      <c r="CX179" s="2" t="s">
        <v>105</v>
      </c>
      <c r="CY179" s="2" t="s">
        <v>104</v>
      </c>
    </row>
    <row r="180" spans="1:103" ht="15.75" customHeight="1" x14ac:dyDescent="0.2">
      <c r="A180" s="2" t="s">
        <v>154</v>
      </c>
      <c r="B180" s="2" t="s">
        <v>124</v>
      </c>
      <c r="C180" s="2" t="s">
        <v>312</v>
      </c>
      <c r="D180" s="3"/>
      <c r="E180" s="3"/>
      <c r="F180" s="2" t="s">
        <v>103</v>
      </c>
      <c r="G180" s="3"/>
      <c r="H180" s="2" t="s">
        <v>111</v>
      </c>
      <c r="I180" s="2" t="s">
        <v>137</v>
      </c>
      <c r="J180" s="2" t="s">
        <v>122</v>
      </c>
      <c r="K180" s="3"/>
      <c r="L180" s="2" t="s">
        <v>135</v>
      </c>
      <c r="M180" s="2" t="s">
        <v>107</v>
      </c>
      <c r="N180" s="2" t="s">
        <v>130</v>
      </c>
      <c r="O180" s="3"/>
      <c r="P180" s="3"/>
      <c r="Q180" s="3"/>
      <c r="R180" s="3"/>
      <c r="S180" s="2" t="s">
        <v>220</v>
      </c>
      <c r="T180" s="2" t="s">
        <v>111</v>
      </c>
      <c r="U180" s="3"/>
      <c r="V180" s="2" t="s">
        <v>115</v>
      </c>
      <c r="W180" s="3"/>
      <c r="X180" s="3"/>
      <c r="Y180" s="2" t="s">
        <v>116</v>
      </c>
      <c r="Z180" s="3"/>
      <c r="AA180" s="3"/>
      <c r="AB180" s="2" t="s">
        <v>103</v>
      </c>
      <c r="AC180" s="2" t="s">
        <v>116</v>
      </c>
      <c r="AD180" s="2" t="s">
        <v>103</v>
      </c>
      <c r="AE180" s="3"/>
      <c r="AF180" s="3"/>
      <c r="AG180" s="3"/>
      <c r="AH180" s="3"/>
      <c r="AI180" s="3"/>
      <c r="AJ180" s="2" t="s">
        <v>112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2" t="s">
        <v>116</v>
      </c>
      <c r="AW180" s="2" t="s">
        <v>115</v>
      </c>
      <c r="AX180" s="3"/>
      <c r="AY180" s="2" t="s">
        <v>126</v>
      </c>
      <c r="AZ180" s="3"/>
      <c r="BA180" s="3"/>
      <c r="BB180" s="3"/>
      <c r="BC180" s="3"/>
      <c r="BD180" s="2" t="s">
        <v>117</v>
      </c>
      <c r="BE180" s="2" t="s">
        <v>114</v>
      </c>
      <c r="BF180" s="3"/>
      <c r="BG180" s="3"/>
      <c r="BH180" s="3"/>
      <c r="BI180" s="3"/>
      <c r="BJ180" s="3"/>
      <c r="BK180" s="3"/>
      <c r="BL180" s="3"/>
      <c r="BM180" s="2" t="s">
        <v>116</v>
      </c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2" t="s">
        <v>103</v>
      </c>
      <c r="CD180" s="2" t="s">
        <v>112</v>
      </c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2" t="s">
        <v>126</v>
      </c>
      <c r="CW180" s="3"/>
      <c r="CX180" s="2" t="s">
        <v>105</v>
      </c>
      <c r="CY180" s="2" t="s">
        <v>108</v>
      </c>
    </row>
    <row r="181" spans="1:103" ht="15.75" customHeight="1" x14ac:dyDescent="0.2">
      <c r="A181" s="2" t="s">
        <v>105</v>
      </c>
      <c r="B181" s="2" t="s">
        <v>124</v>
      </c>
      <c r="C181" s="2" t="s">
        <v>312</v>
      </c>
      <c r="D181" s="3"/>
      <c r="E181" s="2" t="s">
        <v>103</v>
      </c>
      <c r="F181" s="3"/>
      <c r="G181" s="3"/>
      <c r="H181" s="2" t="s">
        <v>154</v>
      </c>
      <c r="I181" s="2" t="s">
        <v>113</v>
      </c>
      <c r="J181" s="2" t="s">
        <v>104</v>
      </c>
      <c r="K181" s="3"/>
      <c r="L181" s="2" t="s">
        <v>125</v>
      </c>
      <c r="M181" s="2" t="s">
        <v>109</v>
      </c>
      <c r="N181" s="2" t="s">
        <v>176</v>
      </c>
      <c r="O181" s="3"/>
      <c r="P181" s="3"/>
      <c r="Q181" s="3"/>
      <c r="R181" s="3"/>
      <c r="S181" s="2" t="s">
        <v>176</v>
      </c>
      <c r="T181" s="2" t="s">
        <v>105</v>
      </c>
      <c r="U181" s="3"/>
      <c r="V181" s="2" t="s">
        <v>105</v>
      </c>
      <c r="W181" s="3"/>
      <c r="X181" s="3"/>
      <c r="Y181" s="2" t="s">
        <v>116</v>
      </c>
      <c r="Z181" s="3"/>
      <c r="AA181" s="3"/>
      <c r="AB181" s="2" t="s">
        <v>115</v>
      </c>
      <c r="AC181" s="2" t="s">
        <v>111</v>
      </c>
      <c r="AD181" s="2" t="s">
        <v>115</v>
      </c>
      <c r="AE181" s="3"/>
      <c r="AF181" s="2" t="s">
        <v>111</v>
      </c>
      <c r="AG181" s="3"/>
      <c r="AH181" s="2" t="s">
        <v>103</v>
      </c>
      <c r="AI181" s="3"/>
      <c r="AJ181" s="2" t="s">
        <v>106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2" t="s">
        <v>116</v>
      </c>
      <c r="AW181" s="2" t="s">
        <v>196</v>
      </c>
      <c r="AX181" s="3"/>
      <c r="AY181" s="2" t="s">
        <v>112</v>
      </c>
      <c r="AZ181" s="3"/>
      <c r="BA181" s="3"/>
      <c r="BB181" s="2" t="s">
        <v>116</v>
      </c>
      <c r="BC181" s="2" t="s">
        <v>107</v>
      </c>
      <c r="BD181" s="4">
        <f>1 +(1/2)</f>
        <v>1.5</v>
      </c>
      <c r="BE181" s="4" t="s">
        <v>110</v>
      </c>
      <c r="BF181" s="2" t="s">
        <v>111</v>
      </c>
      <c r="BG181" s="2" t="s">
        <v>112</v>
      </c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2" t="s">
        <v>103</v>
      </c>
      <c r="CD181" s="2" t="s">
        <v>126</v>
      </c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2" t="s">
        <v>105</v>
      </c>
      <c r="CY181" s="2" t="s">
        <v>104</v>
      </c>
    </row>
    <row r="182" spans="1:103" ht="15.75" customHeight="1" x14ac:dyDescent="0.2">
      <c r="A182" s="2" t="s">
        <v>103</v>
      </c>
      <c r="B182" s="2" t="s">
        <v>138</v>
      </c>
      <c r="C182" s="2" t="s">
        <v>312</v>
      </c>
      <c r="D182" s="3"/>
      <c r="E182" s="2" t="s">
        <v>103</v>
      </c>
      <c r="F182" s="3"/>
      <c r="G182" s="3"/>
      <c r="H182" s="2" t="s">
        <v>185</v>
      </c>
      <c r="I182" s="2" t="s">
        <v>278</v>
      </c>
      <c r="J182" s="2" t="s">
        <v>126</v>
      </c>
      <c r="K182" s="2" t="s">
        <v>126</v>
      </c>
      <c r="L182" s="2" t="s">
        <v>133</v>
      </c>
      <c r="M182" s="2" t="s">
        <v>109</v>
      </c>
      <c r="N182" s="2" t="s">
        <v>222</v>
      </c>
      <c r="O182" s="2" t="s">
        <v>105</v>
      </c>
      <c r="P182" s="3"/>
      <c r="Q182" s="2" t="s">
        <v>109</v>
      </c>
      <c r="R182" s="2" t="s">
        <v>108</v>
      </c>
      <c r="S182" s="2" t="s">
        <v>149</v>
      </c>
      <c r="T182" s="2" t="s">
        <v>107</v>
      </c>
      <c r="U182" s="3"/>
      <c r="V182" s="2" t="s">
        <v>107</v>
      </c>
      <c r="W182" s="3"/>
      <c r="X182" s="3"/>
      <c r="Y182" s="2" t="s">
        <v>117</v>
      </c>
      <c r="Z182" s="3"/>
      <c r="AA182" s="3"/>
      <c r="AB182" s="2" t="s">
        <v>124</v>
      </c>
      <c r="AC182" s="4" t="s">
        <v>120</v>
      </c>
      <c r="AD182" s="2" t="s">
        <v>124</v>
      </c>
      <c r="AE182" s="3"/>
      <c r="AF182" s="2" t="s">
        <v>170</v>
      </c>
      <c r="AG182" s="3"/>
      <c r="AH182" s="3"/>
      <c r="AI182" s="3"/>
      <c r="AJ182" s="2" t="s">
        <v>125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2" t="s">
        <v>224</v>
      </c>
      <c r="AX182" s="2" t="s">
        <v>117</v>
      </c>
      <c r="AY182" s="2" t="s">
        <v>145</v>
      </c>
      <c r="AZ182" s="3"/>
      <c r="BA182" s="3"/>
      <c r="BB182" s="4" t="s">
        <v>137</v>
      </c>
      <c r="BC182" s="2" t="s">
        <v>216</v>
      </c>
      <c r="BD182" s="2" t="s">
        <v>137</v>
      </c>
      <c r="BE182" s="2" t="s">
        <v>220</v>
      </c>
      <c r="BF182" s="2" t="s">
        <v>124</v>
      </c>
      <c r="BG182" s="2" t="s">
        <v>131</v>
      </c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2" t="s">
        <v>103</v>
      </c>
      <c r="CD182" s="2" t="s">
        <v>181</v>
      </c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2" t="s">
        <v>113</v>
      </c>
      <c r="CY182" s="2" t="s">
        <v>136</v>
      </c>
    </row>
    <row r="183" spans="1:103" ht="15.75" customHeight="1" x14ac:dyDescent="0.2">
      <c r="A183" s="2" t="s">
        <v>116</v>
      </c>
      <c r="B183" s="2" t="s">
        <v>138</v>
      </c>
      <c r="C183" s="2" t="s">
        <v>312</v>
      </c>
      <c r="D183" s="3"/>
      <c r="E183" s="2" t="s">
        <v>103</v>
      </c>
      <c r="F183" s="3"/>
      <c r="G183" s="3"/>
      <c r="H183" s="2" t="s">
        <v>205</v>
      </c>
      <c r="I183" s="2" t="s">
        <v>171</v>
      </c>
      <c r="J183" s="2" t="s">
        <v>108</v>
      </c>
      <c r="K183" s="3"/>
      <c r="L183" s="2" t="s">
        <v>223</v>
      </c>
      <c r="M183" s="2" t="s">
        <v>131</v>
      </c>
      <c r="N183" s="2" t="s">
        <v>155</v>
      </c>
      <c r="O183" s="2" t="s">
        <v>105</v>
      </c>
      <c r="P183" s="3"/>
      <c r="Q183" s="2" t="s">
        <v>109</v>
      </c>
      <c r="R183" s="2" t="s">
        <v>108</v>
      </c>
      <c r="S183" s="2" t="s">
        <v>177</v>
      </c>
      <c r="T183" s="2" t="s">
        <v>132</v>
      </c>
      <c r="U183" s="3"/>
      <c r="V183" s="4" t="s">
        <v>123</v>
      </c>
      <c r="W183" s="3"/>
      <c r="X183" s="3"/>
      <c r="Y183" s="2" t="s">
        <v>115</v>
      </c>
      <c r="Z183" s="3"/>
      <c r="AA183" s="3"/>
      <c r="AB183" s="2" t="s">
        <v>110</v>
      </c>
      <c r="AC183" s="2" t="s">
        <v>113</v>
      </c>
      <c r="AD183" s="2" t="s">
        <v>122</v>
      </c>
      <c r="AE183" s="3"/>
      <c r="AF183" s="4" t="s">
        <v>118</v>
      </c>
      <c r="AG183" s="3"/>
      <c r="AH183" s="3"/>
      <c r="AI183" s="3"/>
      <c r="AJ183" s="2" t="s">
        <v>174</v>
      </c>
      <c r="AK183" s="3"/>
      <c r="AL183" s="2" t="s">
        <v>126</v>
      </c>
      <c r="AM183" s="2" t="s">
        <v>108</v>
      </c>
      <c r="AN183" s="2" t="s">
        <v>108</v>
      </c>
      <c r="AO183" s="2" t="s">
        <v>108</v>
      </c>
      <c r="AP183" s="3"/>
      <c r="AQ183" s="3"/>
      <c r="AR183" s="3"/>
      <c r="AS183" s="3"/>
      <c r="AT183" s="2" t="s">
        <v>108</v>
      </c>
      <c r="AU183" s="2" t="s">
        <v>112</v>
      </c>
      <c r="AV183" s="2" t="s">
        <v>121</v>
      </c>
      <c r="AW183" s="2" t="s">
        <v>108</v>
      </c>
      <c r="AX183" s="2" t="s">
        <v>117</v>
      </c>
      <c r="AY183" s="2" t="s">
        <v>129</v>
      </c>
      <c r="AZ183" s="3"/>
      <c r="BA183" s="3"/>
      <c r="BB183" s="2" t="s">
        <v>115</v>
      </c>
      <c r="BC183" s="2" t="s">
        <v>109</v>
      </c>
      <c r="BD183" s="2" t="s">
        <v>117</v>
      </c>
      <c r="BE183" s="2" t="s">
        <v>126</v>
      </c>
      <c r="BF183" s="2" t="s">
        <v>118</v>
      </c>
      <c r="BG183" s="2" t="s">
        <v>145</v>
      </c>
      <c r="BH183" s="2" t="s">
        <v>117</v>
      </c>
      <c r="BI183" s="2" t="s">
        <v>126</v>
      </c>
      <c r="BJ183" s="2" t="s">
        <v>103</v>
      </c>
      <c r="BK183" s="2" t="s">
        <v>139</v>
      </c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2" t="s">
        <v>103</v>
      </c>
      <c r="CD183" s="2" t="s">
        <v>109</v>
      </c>
      <c r="CE183" s="3"/>
      <c r="CF183" s="3"/>
      <c r="CG183" s="3"/>
      <c r="CH183" s="3"/>
      <c r="CI183" s="4">
        <f>1 +(1/2)</f>
        <v>1.5</v>
      </c>
      <c r="CJ183" s="2" t="s">
        <v>126</v>
      </c>
      <c r="CK183" s="2" t="s">
        <v>126</v>
      </c>
      <c r="CL183" s="3"/>
      <c r="CM183" s="3"/>
      <c r="CN183" s="3"/>
      <c r="CO183" s="2" t="s">
        <v>113</v>
      </c>
      <c r="CP183" s="3"/>
      <c r="CQ183" s="3"/>
      <c r="CR183" s="3"/>
      <c r="CS183" s="3"/>
      <c r="CT183" s="3"/>
      <c r="CU183" s="3"/>
      <c r="CV183" s="3"/>
      <c r="CW183" s="3"/>
      <c r="CX183" s="2" t="s">
        <v>110</v>
      </c>
      <c r="CY183" s="2" t="s">
        <v>156</v>
      </c>
    </row>
    <row r="184" spans="1:103" ht="15.75" customHeight="1" x14ac:dyDescent="0.2">
      <c r="A184" s="2" t="s">
        <v>117</v>
      </c>
      <c r="B184" s="2" t="s">
        <v>138</v>
      </c>
      <c r="C184" s="2" t="s">
        <v>312</v>
      </c>
      <c r="D184" s="3"/>
      <c r="E184" s="2" t="s">
        <v>103</v>
      </c>
      <c r="F184" s="3"/>
      <c r="G184" s="3"/>
      <c r="H184" s="2" t="s">
        <v>110</v>
      </c>
      <c r="I184" s="2" t="s">
        <v>279</v>
      </c>
      <c r="J184" s="2" t="s">
        <v>105</v>
      </c>
      <c r="K184" s="3"/>
      <c r="L184" s="2" t="s">
        <v>133</v>
      </c>
      <c r="M184" s="2" t="s">
        <v>145</v>
      </c>
      <c r="N184" s="2" t="s">
        <v>142</v>
      </c>
      <c r="O184" s="2" t="s">
        <v>110</v>
      </c>
      <c r="P184" s="3"/>
      <c r="Q184" s="2" t="s">
        <v>130</v>
      </c>
      <c r="R184" s="2" t="s">
        <v>132</v>
      </c>
      <c r="S184" s="2" t="s">
        <v>106</v>
      </c>
      <c r="T184" s="2" t="s">
        <v>107</v>
      </c>
      <c r="U184" s="3"/>
      <c r="V184" s="2" t="s">
        <v>126</v>
      </c>
      <c r="W184" s="3"/>
      <c r="X184" s="3"/>
      <c r="Y184" s="2" t="s">
        <v>111</v>
      </c>
      <c r="Z184" s="3"/>
      <c r="AA184" s="3"/>
      <c r="AB184" s="2" t="s">
        <v>115</v>
      </c>
      <c r="AC184" s="2" t="s">
        <v>105</v>
      </c>
      <c r="AD184" s="2" t="s">
        <v>115</v>
      </c>
      <c r="AE184" s="3"/>
      <c r="AF184" s="2" t="s">
        <v>154</v>
      </c>
      <c r="AG184" s="2" t="s">
        <v>103</v>
      </c>
      <c r="AH184" s="3"/>
      <c r="AI184" s="3"/>
      <c r="AJ184" s="2" t="s">
        <v>106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2" t="s">
        <v>116</v>
      </c>
      <c r="AW184" s="2" t="s">
        <v>107</v>
      </c>
      <c r="AX184" s="3"/>
      <c r="AY184" s="2" t="s">
        <v>131</v>
      </c>
      <c r="AZ184" s="3"/>
      <c r="BA184" s="3"/>
      <c r="BB184" s="3"/>
      <c r="BC184" s="3"/>
      <c r="BD184" s="2" t="s">
        <v>115</v>
      </c>
      <c r="BE184" s="2" t="s">
        <v>112</v>
      </c>
      <c r="BF184" s="2" t="s">
        <v>115</v>
      </c>
      <c r="BG184" s="2" t="s">
        <v>129</v>
      </c>
      <c r="BH184" s="3"/>
      <c r="BI184" s="3"/>
      <c r="BJ184" s="2" t="s">
        <v>103</v>
      </c>
      <c r="BK184" s="2" t="s">
        <v>110</v>
      </c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2" t="s">
        <v>116</v>
      </c>
      <c r="CD184" s="2" t="s">
        <v>171</v>
      </c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2" t="s">
        <v>110</v>
      </c>
      <c r="CY184" s="2" t="s">
        <v>107</v>
      </c>
    </row>
    <row r="185" spans="1:103" ht="15.75" customHeight="1" x14ac:dyDescent="0.2">
      <c r="A185" s="2" t="s">
        <v>111</v>
      </c>
      <c r="B185" s="2" t="s">
        <v>138</v>
      </c>
      <c r="C185" s="2" t="s">
        <v>312</v>
      </c>
      <c r="D185" s="3"/>
      <c r="E185" s="3"/>
      <c r="F185" s="2" t="s">
        <v>103</v>
      </c>
      <c r="G185" s="3"/>
      <c r="H185" s="2" t="s">
        <v>118</v>
      </c>
      <c r="I185" s="2" t="s">
        <v>141</v>
      </c>
      <c r="J185" s="3"/>
      <c r="K185" s="3"/>
      <c r="L185" s="2" t="s">
        <v>106</v>
      </c>
      <c r="M185" s="2" t="s">
        <v>109</v>
      </c>
      <c r="N185" s="2" t="s">
        <v>129</v>
      </c>
      <c r="O185" s="3"/>
      <c r="P185" s="3"/>
      <c r="Q185" s="2" t="s">
        <v>123</v>
      </c>
      <c r="R185" s="2" t="s">
        <v>110</v>
      </c>
      <c r="S185" s="4" t="s">
        <v>238</v>
      </c>
      <c r="T185" s="2" t="s">
        <v>118</v>
      </c>
      <c r="U185" s="3"/>
      <c r="V185" s="2" t="s">
        <v>105</v>
      </c>
      <c r="W185" s="3"/>
      <c r="X185" s="3"/>
      <c r="Y185" s="2" t="s">
        <v>103</v>
      </c>
      <c r="Z185" s="3"/>
      <c r="AA185" s="3"/>
      <c r="AB185" s="4" t="s">
        <v>117</v>
      </c>
      <c r="AC185" s="2" t="s">
        <v>103</v>
      </c>
      <c r="AD185" s="2" t="s">
        <v>117</v>
      </c>
      <c r="AE185" s="3"/>
      <c r="AF185" s="2" t="s">
        <v>116</v>
      </c>
      <c r="AG185" s="3"/>
      <c r="AH185" s="3"/>
      <c r="AI185" s="3"/>
      <c r="AJ185" s="2" t="s">
        <v>134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2" t="s">
        <v>116</v>
      </c>
      <c r="AW185" s="2" t="s">
        <v>113</v>
      </c>
      <c r="AX185" s="3"/>
      <c r="AY185" s="2" t="s">
        <v>130</v>
      </c>
      <c r="AZ185" s="3"/>
      <c r="BA185" s="3"/>
      <c r="BB185" s="3"/>
      <c r="BC185" s="3"/>
      <c r="BD185" s="4">
        <f>1 +(1/4)</f>
        <v>1.25</v>
      </c>
      <c r="BE185" s="2" t="s">
        <v>126</v>
      </c>
      <c r="BF185" s="4">
        <f>2 +(3/4)</f>
        <v>2.75</v>
      </c>
      <c r="BG185" s="2" t="s">
        <v>280</v>
      </c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2" t="s">
        <v>111</v>
      </c>
      <c r="CD185" s="4" t="s">
        <v>134</v>
      </c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spans="1:103" ht="15.75" customHeight="1" x14ac:dyDescent="0.2">
      <c r="A186" s="2" t="s">
        <v>121</v>
      </c>
      <c r="B186" s="2" t="s">
        <v>138</v>
      </c>
      <c r="C186" s="2" t="s">
        <v>312</v>
      </c>
      <c r="D186" s="3"/>
      <c r="E186" s="2" t="s">
        <v>103</v>
      </c>
      <c r="F186" s="3"/>
      <c r="G186" s="3"/>
      <c r="H186" s="2" t="s">
        <v>151</v>
      </c>
      <c r="I186" s="2" t="s">
        <v>281</v>
      </c>
      <c r="J186" s="2" t="s">
        <v>117</v>
      </c>
      <c r="K186" s="2" t="s">
        <v>109</v>
      </c>
      <c r="L186" s="2" t="s">
        <v>128</v>
      </c>
      <c r="M186" s="2" t="s">
        <v>109</v>
      </c>
      <c r="N186" s="4" t="s">
        <v>130</v>
      </c>
      <c r="O186" s="3"/>
      <c r="P186" s="3"/>
      <c r="Q186" s="2" t="s">
        <v>109</v>
      </c>
      <c r="R186" s="2" t="s">
        <v>113</v>
      </c>
      <c r="S186" s="2" t="s">
        <v>135</v>
      </c>
      <c r="T186" s="2" t="s">
        <v>108</v>
      </c>
      <c r="U186" s="3"/>
      <c r="V186" s="2" t="s">
        <v>104</v>
      </c>
      <c r="W186" s="3"/>
      <c r="X186" s="3"/>
      <c r="Y186" s="2" t="s">
        <v>116</v>
      </c>
      <c r="Z186" s="3"/>
      <c r="AA186" s="3"/>
      <c r="AB186" s="2" t="s">
        <v>116</v>
      </c>
      <c r="AC186" s="2" t="s">
        <v>121</v>
      </c>
      <c r="AD186" s="2" t="s">
        <v>116</v>
      </c>
      <c r="AE186" s="3"/>
      <c r="AF186" s="2" t="s">
        <v>103</v>
      </c>
      <c r="AG186" s="3"/>
      <c r="AH186" s="3"/>
      <c r="AI186" s="3"/>
      <c r="AJ186" s="2" t="s">
        <v>145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2" t="s">
        <v>103</v>
      </c>
      <c r="AW186" s="2" t="s">
        <v>104</v>
      </c>
      <c r="AX186" s="3"/>
      <c r="AY186" s="2" t="s">
        <v>145</v>
      </c>
      <c r="AZ186" s="3"/>
      <c r="BA186" s="3"/>
      <c r="BB186" s="2" t="s">
        <v>103</v>
      </c>
      <c r="BC186" s="2" t="s">
        <v>124</v>
      </c>
      <c r="BD186" s="2" t="s">
        <v>116</v>
      </c>
      <c r="BE186" s="2" t="s">
        <v>126</v>
      </c>
      <c r="BF186" s="2" t="s">
        <v>111</v>
      </c>
      <c r="BG186" s="2" t="s">
        <v>126</v>
      </c>
      <c r="BH186" s="3"/>
      <c r="BI186" s="3"/>
      <c r="BJ186" s="2" t="s">
        <v>116</v>
      </c>
      <c r="BK186" s="2" t="s">
        <v>115</v>
      </c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2" t="s">
        <v>116</v>
      </c>
      <c r="CD186" s="2" t="s">
        <v>109</v>
      </c>
      <c r="CE186" s="3"/>
      <c r="CF186" s="3"/>
      <c r="CG186" s="3"/>
      <c r="CH186" s="3"/>
      <c r="CI186" s="2">
        <f>1/2</f>
        <v>0.5</v>
      </c>
      <c r="CJ186" s="2" t="s">
        <v>113</v>
      </c>
      <c r="CK186" s="2" t="s">
        <v>105</v>
      </c>
      <c r="CL186" s="3"/>
      <c r="CM186" s="3"/>
      <c r="CN186" s="3"/>
      <c r="CO186" s="2" t="s">
        <v>121</v>
      </c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spans="1:103" ht="15.75" customHeight="1" x14ac:dyDescent="0.2">
      <c r="A187" s="2" t="s">
        <v>115</v>
      </c>
      <c r="B187" s="2" t="s">
        <v>138</v>
      </c>
      <c r="C187" s="2" t="s">
        <v>312</v>
      </c>
      <c r="D187" s="3"/>
      <c r="E187" s="2" t="s">
        <v>103</v>
      </c>
      <c r="F187" s="3"/>
      <c r="G187" s="3"/>
      <c r="H187" s="2" t="s">
        <v>170</v>
      </c>
      <c r="I187" s="2" t="s">
        <v>224</v>
      </c>
      <c r="J187" s="2" t="s">
        <v>137</v>
      </c>
      <c r="K187" s="3"/>
      <c r="L187" s="2" t="s">
        <v>282</v>
      </c>
      <c r="M187" s="2" t="s">
        <v>109</v>
      </c>
      <c r="N187" s="2" t="s">
        <v>134</v>
      </c>
      <c r="O187" s="2" t="s">
        <v>121</v>
      </c>
      <c r="P187" s="3"/>
      <c r="Q187" s="2" t="s">
        <v>109</v>
      </c>
      <c r="R187" s="2" t="s">
        <v>107</v>
      </c>
      <c r="S187" s="4" t="s">
        <v>283</v>
      </c>
      <c r="T187" s="2" t="s">
        <v>121</v>
      </c>
      <c r="U187" s="3"/>
      <c r="V187" s="2" t="s">
        <v>121</v>
      </c>
      <c r="W187" s="3"/>
      <c r="X187" s="3"/>
      <c r="Y187" s="2" t="s">
        <v>118</v>
      </c>
      <c r="Z187" s="3"/>
      <c r="AA187" s="3"/>
      <c r="AB187" s="4" t="s">
        <v>117</v>
      </c>
      <c r="AC187" s="2" t="s">
        <v>121</v>
      </c>
      <c r="AD187" s="2" t="s">
        <v>117</v>
      </c>
      <c r="AE187" s="3"/>
      <c r="AF187" s="3"/>
      <c r="AG187" s="3"/>
      <c r="AH187" s="3"/>
      <c r="AI187" s="3"/>
      <c r="AJ187" s="2" t="s">
        <v>135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2" t="s">
        <v>103</v>
      </c>
      <c r="AW187" s="2" t="s">
        <v>196</v>
      </c>
      <c r="AX187" s="2" t="s">
        <v>121</v>
      </c>
      <c r="AY187" s="2" t="s">
        <v>171</v>
      </c>
      <c r="AZ187" s="3"/>
      <c r="BA187" s="3"/>
      <c r="BB187" s="3"/>
      <c r="BC187" s="3"/>
      <c r="BD187" s="4">
        <f>2 +(1/2)</f>
        <v>2.5</v>
      </c>
      <c r="BE187" s="2" t="s">
        <v>113</v>
      </c>
      <c r="BF187" s="2" t="s">
        <v>117</v>
      </c>
      <c r="BG187" s="2" t="s">
        <v>126</v>
      </c>
      <c r="BH187" s="3"/>
      <c r="BI187" s="3"/>
      <c r="BJ187" s="2" t="s">
        <v>116</v>
      </c>
      <c r="BK187" s="2" t="s">
        <v>108</v>
      </c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2" t="s">
        <v>121</v>
      </c>
      <c r="CD187" s="2" t="s">
        <v>135</v>
      </c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2" t="s">
        <v>105</v>
      </c>
      <c r="CY187" s="2" t="s">
        <v>108</v>
      </c>
    </row>
    <row r="188" spans="1:103" ht="15.75" customHeight="1" x14ac:dyDescent="0.2">
      <c r="A188" s="2" t="s">
        <v>137</v>
      </c>
      <c r="B188" s="2" t="s">
        <v>138</v>
      </c>
      <c r="C188" s="2" t="s">
        <v>312</v>
      </c>
      <c r="D188" s="3"/>
      <c r="E188" s="2" t="s">
        <v>103</v>
      </c>
      <c r="F188" s="3"/>
      <c r="G188" s="3"/>
      <c r="H188" s="2" t="s">
        <v>146</v>
      </c>
      <c r="I188" s="2" t="s">
        <v>145</v>
      </c>
      <c r="J188" s="2" t="s">
        <v>123</v>
      </c>
      <c r="K188" s="2" t="s">
        <v>109</v>
      </c>
      <c r="L188" s="2" t="s">
        <v>157</v>
      </c>
      <c r="M188" s="2" t="s">
        <v>131</v>
      </c>
      <c r="N188" s="2" t="s">
        <v>284</v>
      </c>
      <c r="O188" s="2" t="s">
        <v>108</v>
      </c>
      <c r="P188" s="3"/>
      <c r="Q188" s="2" t="s">
        <v>145</v>
      </c>
      <c r="R188" s="2" t="s">
        <v>109</v>
      </c>
      <c r="S188" s="2" t="s">
        <v>174</v>
      </c>
      <c r="T188" s="2" t="s">
        <v>143</v>
      </c>
      <c r="U188" s="3"/>
      <c r="V188" s="2" t="s">
        <v>112</v>
      </c>
      <c r="W188" s="3"/>
      <c r="X188" s="3"/>
      <c r="Y188" s="2" t="s">
        <v>139</v>
      </c>
      <c r="Z188" s="3"/>
      <c r="AA188" s="3"/>
      <c r="AB188" s="2" t="s">
        <v>205</v>
      </c>
      <c r="AC188" s="2" t="s">
        <v>233</v>
      </c>
      <c r="AD188" s="2" t="s">
        <v>113</v>
      </c>
      <c r="AE188" s="3"/>
      <c r="AF188" s="2" t="s">
        <v>118</v>
      </c>
      <c r="AG188" s="2" t="s">
        <v>103</v>
      </c>
      <c r="AH188" s="3"/>
      <c r="AI188" s="3"/>
      <c r="AJ188" s="2" t="s">
        <v>190</v>
      </c>
      <c r="AK188" s="3"/>
      <c r="AL188" s="2" t="s">
        <v>285</v>
      </c>
      <c r="AM188" s="2" t="s">
        <v>138</v>
      </c>
      <c r="AN188" s="2" t="s">
        <v>105</v>
      </c>
      <c r="AO188" s="2" t="s">
        <v>126</v>
      </c>
      <c r="AP188" s="3"/>
      <c r="AQ188" s="3"/>
      <c r="AR188" s="3"/>
      <c r="AS188" s="3"/>
      <c r="AT188" s="2" t="s">
        <v>136</v>
      </c>
      <c r="AU188" s="2" t="s">
        <v>186</v>
      </c>
      <c r="AV188" s="2" t="s">
        <v>117</v>
      </c>
      <c r="AW188" s="2" t="s">
        <v>107</v>
      </c>
      <c r="AX188" s="2" t="s">
        <v>121</v>
      </c>
      <c r="AY188" s="2" t="s">
        <v>131</v>
      </c>
      <c r="AZ188" s="3"/>
      <c r="BA188" s="3"/>
      <c r="BB188" s="2" t="s">
        <v>121</v>
      </c>
      <c r="BC188" s="3"/>
      <c r="BD188" s="2" t="s">
        <v>121</v>
      </c>
      <c r="BE188" s="2" t="s">
        <v>130</v>
      </c>
      <c r="BF188" s="2" t="s">
        <v>122</v>
      </c>
      <c r="BG188" s="4" t="s">
        <v>186</v>
      </c>
      <c r="BH188" s="3"/>
      <c r="BI188" s="3"/>
      <c r="BJ188" s="2" t="s">
        <v>105</v>
      </c>
      <c r="BK188" s="2" t="s">
        <v>109</v>
      </c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2">
        <f>1/2</f>
        <v>0.5</v>
      </c>
      <c r="CD188" s="2" t="s">
        <v>109</v>
      </c>
      <c r="CE188" s="3"/>
      <c r="CF188" s="3"/>
      <c r="CG188" s="3"/>
      <c r="CH188" s="3"/>
      <c r="CI188" s="2" t="s">
        <v>116</v>
      </c>
      <c r="CJ188" s="2" t="s">
        <v>112</v>
      </c>
      <c r="CK188" s="2" t="s">
        <v>145</v>
      </c>
      <c r="CL188" s="3"/>
      <c r="CM188" s="3"/>
      <c r="CN188" s="3"/>
      <c r="CO188" s="2" t="s">
        <v>108</v>
      </c>
      <c r="CP188" s="3"/>
      <c r="CQ188" s="3"/>
      <c r="CR188" s="3"/>
      <c r="CS188" s="3"/>
      <c r="CT188" s="3"/>
      <c r="CU188" s="3"/>
      <c r="CV188" s="2" t="s">
        <v>112</v>
      </c>
      <c r="CW188" s="3"/>
      <c r="CX188" s="2" t="s">
        <v>104</v>
      </c>
      <c r="CY188" s="2" t="s">
        <v>123</v>
      </c>
    </row>
    <row r="189" spans="1:103" ht="15.75" customHeight="1" x14ac:dyDescent="0.2">
      <c r="A189" s="2" t="s">
        <v>118</v>
      </c>
      <c r="B189" s="2" t="s">
        <v>138</v>
      </c>
      <c r="C189" s="2" t="s">
        <v>312</v>
      </c>
      <c r="D189" s="3"/>
      <c r="E189" s="2" t="s">
        <v>103</v>
      </c>
      <c r="F189" s="3"/>
      <c r="G189" s="3"/>
      <c r="H189" s="2" t="s">
        <v>205</v>
      </c>
      <c r="I189" s="2" t="s">
        <v>285</v>
      </c>
      <c r="J189" s="3"/>
      <c r="K189" s="3"/>
      <c r="L189" s="2" t="s">
        <v>128</v>
      </c>
      <c r="M189" s="2" t="s">
        <v>109</v>
      </c>
      <c r="N189" s="2" t="s">
        <v>134</v>
      </c>
      <c r="O189" s="2" t="s">
        <v>105</v>
      </c>
      <c r="P189" s="3"/>
      <c r="Q189" s="2" t="s">
        <v>107</v>
      </c>
      <c r="R189" s="2" t="s">
        <v>105</v>
      </c>
      <c r="S189" s="2" t="s">
        <v>142</v>
      </c>
      <c r="T189" s="2" t="s">
        <v>126</v>
      </c>
      <c r="U189" s="3"/>
      <c r="V189" s="2" t="s">
        <v>107</v>
      </c>
      <c r="W189" s="3"/>
      <c r="X189" s="3"/>
      <c r="Y189" s="2" t="s">
        <v>117</v>
      </c>
      <c r="Z189" s="3"/>
      <c r="AA189" s="3"/>
      <c r="AB189" s="2" t="s">
        <v>137</v>
      </c>
      <c r="AC189" s="2" t="s">
        <v>151</v>
      </c>
      <c r="AD189" s="2" t="s">
        <v>121</v>
      </c>
      <c r="AE189" s="3"/>
      <c r="AF189" s="3"/>
      <c r="AG189" s="3"/>
      <c r="AH189" s="3"/>
      <c r="AI189" s="3"/>
      <c r="AJ189" s="2" t="s">
        <v>142</v>
      </c>
      <c r="AK189" s="3"/>
      <c r="AL189" s="4" t="s">
        <v>117</v>
      </c>
      <c r="AM189" s="3"/>
      <c r="AN189" s="3"/>
      <c r="AO189" s="3"/>
      <c r="AP189" s="3"/>
      <c r="AQ189" s="3"/>
      <c r="AR189" s="3"/>
      <c r="AS189" s="3"/>
      <c r="AT189" s="2" t="s">
        <v>117</v>
      </c>
      <c r="AU189" s="2" t="s">
        <v>113</v>
      </c>
      <c r="AV189" s="2" t="s">
        <v>116</v>
      </c>
      <c r="AW189" s="2" t="s">
        <v>108</v>
      </c>
      <c r="AX189" s="3"/>
      <c r="AY189" s="2" t="s">
        <v>131</v>
      </c>
      <c r="AZ189" s="3"/>
      <c r="BA189" s="3"/>
      <c r="BB189" s="3"/>
      <c r="BC189" s="3"/>
      <c r="BD189" s="2" t="s">
        <v>116</v>
      </c>
      <c r="BE189" s="2" t="s">
        <v>126</v>
      </c>
      <c r="BF189" s="2" t="s">
        <v>110</v>
      </c>
      <c r="BG189" s="2" t="s">
        <v>145</v>
      </c>
      <c r="BH189" s="3"/>
      <c r="BI189" s="3"/>
      <c r="BJ189" s="2">
        <f>1/2</f>
        <v>0.5</v>
      </c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2" t="s">
        <v>117</v>
      </c>
      <c r="CD189" s="2" t="s">
        <v>143</v>
      </c>
      <c r="CE189" s="3"/>
      <c r="CF189" s="3"/>
      <c r="CG189" s="3"/>
      <c r="CH189" s="3"/>
      <c r="CI189" s="4" t="s">
        <v>117</v>
      </c>
      <c r="CJ189" s="2" t="s">
        <v>109</v>
      </c>
      <c r="CK189" s="2" t="s">
        <v>145</v>
      </c>
      <c r="CL189" s="3"/>
      <c r="CM189" s="3"/>
      <c r="CN189" s="3"/>
      <c r="CO189" s="2" t="s">
        <v>104</v>
      </c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spans="1:103" ht="15.75" customHeight="1" x14ac:dyDescent="0.2">
      <c r="A190" s="2" t="s">
        <v>154</v>
      </c>
      <c r="B190" s="2" t="s">
        <v>138</v>
      </c>
      <c r="C190" s="2" t="s">
        <v>312</v>
      </c>
      <c r="D190" s="3"/>
      <c r="E190" s="2" t="s">
        <v>103</v>
      </c>
      <c r="F190" s="3"/>
      <c r="G190" s="3"/>
      <c r="H190" s="2" t="s">
        <v>113</v>
      </c>
      <c r="I190" s="2" t="s">
        <v>158</v>
      </c>
      <c r="J190" s="3"/>
      <c r="K190" s="3"/>
      <c r="L190" s="2" t="s">
        <v>125</v>
      </c>
      <c r="M190" s="2" t="s">
        <v>109</v>
      </c>
      <c r="N190" s="2" t="s">
        <v>186</v>
      </c>
      <c r="O190" s="3"/>
      <c r="P190" s="3"/>
      <c r="Q190" s="2" t="s">
        <v>108</v>
      </c>
      <c r="R190" s="2" t="s">
        <v>121</v>
      </c>
      <c r="S190" s="2" t="s">
        <v>134</v>
      </c>
      <c r="T190" s="2" t="s">
        <v>146</v>
      </c>
      <c r="U190" s="3"/>
      <c r="V190" s="2" t="s">
        <v>108</v>
      </c>
      <c r="W190" s="3"/>
      <c r="X190" s="3"/>
      <c r="Y190" s="2" t="s">
        <v>116</v>
      </c>
      <c r="Z190" s="3"/>
      <c r="AA190" s="3"/>
      <c r="AB190" s="2" t="s">
        <v>111</v>
      </c>
      <c r="AC190" s="2" t="s">
        <v>103</v>
      </c>
      <c r="AD190" s="2" t="s">
        <v>117</v>
      </c>
      <c r="AE190" s="3"/>
      <c r="AF190" s="2" t="s">
        <v>116</v>
      </c>
      <c r="AG190" s="3"/>
      <c r="AH190" s="3"/>
      <c r="AI190" s="3"/>
      <c r="AJ190" s="2" t="s">
        <v>135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2" t="s">
        <v>103</v>
      </c>
      <c r="AW190" s="2" t="s">
        <v>104</v>
      </c>
      <c r="AX190" s="2" t="s">
        <v>117</v>
      </c>
      <c r="AY190" s="2" t="s">
        <v>145</v>
      </c>
      <c r="AZ190" s="3"/>
      <c r="BA190" s="3"/>
      <c r="BB190" s="4">
        <f>1 +(1/2)</f>
        <v>1.5</v>
      </c>
      <c r="BC190" s="2" t="s">
        <v>113</v>
      </c>
      <c r="BD190" s="2" t="s">
        <v>117</v>
      </c>
      <c r="BE190" s="2" t="s">
        <v>126</v>
      </c>
      <c r="BF190" s="2" t="s">
        <v>139</v>
      </c>
      <c r="BG190" s="2" t="s">
        <v>129</v>
      </c>
      <c r="BH190" s="3"/>
      <c r="BI190" s="3"/>
      <c r="BJ190" s="2" t="s">
        <v>103</v>
      </c>
      <c r="BK190" s="2" t="s">
        <v>139</v>
      </c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2" t="s">
        <v>103</v>
      </c>
      <c r="CD190" s="2" t="s">
        <v>126</v>
      </c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spans="1:103" ht="15.75" customHeight="1" x14ac:dyDescent="0.2">
      <c r="A191" s="2" t="s">
        <v>105</v>
      </c>
      <c r="B191" s="2" t="s">
        <v>138</v>
      </c>
      <c r="C191" s="2" t="s">
        <v>312</v>
      </c>
      <c r="D191" s="3"/>
      <c r="E191" s="2" t="s">
        <v>103</v>
      </c>
      <c r="F191" s="3"/>
      <c r="G191" s="3"/>
      <c r="H191" s="2" t="s">
        <v>124</v>
      </c>
      <c r="I191" s="2" t="s">
        <v>159</v>
      </c>
      <c r="J191" s="2" t="s">
        <v>108</v>
      </c>
      <c r="K191" s="3"/>
      <c r="L191" s="2" t="s">
        <v>133</v>
      </c>
      <c r="M191" s="2" t="s">
        <v>130</v>
      </c>
      <c r="N191" s="2" t="s">
        <v>106</v>
      </c>
      <c r="O191" s="3"/>
      <c r="P191" s="3"/>
      <c r="Q191" s="2" t="s">
        <v>109</v>
      </c>
      <c r="R191" s="2" t="s">
        <v>107</v>
      </c>
      <c r="S191" s="2" t="s">
        <v>177</v>
      </c>
      <c r="T191" s="2" t="s">
        <v>126</v>
      </c>
      <c r="U191" s="3"/>
      <c r="V191" s="2" t="s">
        <v>126</v>
      </c>
      <c r="W191" s="3"/>
      <c r="X191" s="3"/>
      <c r="Y191" s="2" t="s">
        <v>116</v>
      </c>
      <c r="Z191" s="3"/>
      <c r="AA191" s="3"/>
      <c r="AB191" s="2" t="s">
        <v>141</v>
      </c>
      <c r="AC191" s="2" t="s">
        <v>218</v>
      </c>
      <c r="AD191" s="2" t="s">
        <v>166</v>
      </c>
      <c r="AE191" s="3"/>
      <c r="AF191" s="2" t="s">
        <v>138</v>
      </c>
      <c r="AG191" s="2" t="s">
        <v>116</v>
      </c>
      <c r="AH191" s="3"/>
      <c r="AI191" s="3"/>
      <c r="AJ191" s="2" t="s">
        <v>286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2" t="s">
        <v>111</v>
      </c>
      <c r="AW191" s="2" t="s">
        <v>113</v>
      </c>
      <c r="AX191" s="3"/>
      <c r="AY191" s="2" t="s">
        <v>130</v>
      </c>
      <c r="AZ191" s="3"/>
      <c r="BA191" s="3"/>
      <c r="BB191" s="3"/>
      <c r="BC191" s="3"/>
      <c r="BD191" s="2" t="s">
        <v>117</v>
      </c>
      <c r="BE191" s="2" t="s">
        <v>112</v>
      </c>
      <c r="BF191" s="2" t="s">
        <v>105</v>
      </c>
      <c r="BG191" s="2" t="s">
        <v>287</v>
      </c>
      <c r="BH191" s="3"/>
      <c r="BI191" s="3"/>
      <c r="BJ191" s="2" t="s">
        <v>117</v>
      </c>
      <c r="BK191" s="2" t="s">
        <v>126</v>
      </c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2" t="s">
        <v>103</v>
      </c>
      <c r="CD191" s="2" t="s">
        <v>126</v>
      </c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2" t="s">
        <v>136</v>
      </c>
      <c r="CW191" s="3"/>
      <c r="CX191" s="2" t="s">
        <v>105</v>
      </c>
      <c r="CY191" s="2" t="s">
        <v>113</v>
      </c>
    </row>
    <row r="192" spans="1:103" ht="15.75" customHeight="1" x14ac:dyDescent="0.2">
      <c r="A192" s="2" t="s">
        <v>103</v>
      </c>
      <c r="B192" s="2" t="s">
        <v>113</v>
      </c>
      <c r="C192" s="2" t="s">
        <v>312</v>
      </c>
      <c r="D192" s="3"/>
      <c r="E192" s="2" t="s">
        <v>103</v>
      </c>
      <c r="F192" s="3"/>
      <c r="G192" s="3"/>
      <c r="H192" s="2" t="s">
        <v>113</v>
      </c>
      <c r="I192" s="2" t="s">
        <v>112</v>
      </c>
      <c r="J192" s="2" t="s">
        <v>121</v>
      </c>
      <c r="K192" s="3"/>
      <c r="L192" s="2" t="s">
        <v>133</v>
      </c>
      <c r="M192" s="2" t="s">
        <v>130</v>
      </c>
      <c r="N192" s="2" t="s">
        <v>134</v>
      </c>
      <c r="O192" s="2" t="s">
        <v>105</v>
      </c>
      <c r="P192" s="3"/>
      <c r="Q192" s="2" t="s">
        <v>104</v>
      </c>
      <c r="R192" s="2" t="s">
        <v>121</v>
      </c>
      <c r="S192" s="2" t="s">
        <v>106</v>
      </c>
      <c r="T192" s="2" t="s">
        <v>132</v>
      </c>
      <c r="U192" s="3"/>
      <c r="V192" s="2" t="s">
        <v>126</v>
      </c>
      <c r="W192" s="3"/>
      <c r="X192" s="3"/>
      <c r="Y192" s="2" t="s">
        <v>117</v>
      </c>
      <c r="Z192" s="3"/>
      <c r="AA192" s="3"/>
      <c r="AB192" s="2" t="s">
        <v>137</v>
      </c>
      <c r="AC192" s="2" t="s">
        <v>117</v>
      </c>
      <c r="AD192" s="2" t="s">
        <v>137</v>
      </c>
      <c r="AE192" s="3"/>
      <c r="AF192" s="2" t="s">
        <v>117</v>
      </c>
      <c r="AG192" s="3"/>
      <c r="AH192" s="2" t="s">
        <v>111</v>
      </c>
      <c r="AI192" s="3"/>
      <c r="AJ192" s="2" t="s">
        <v>267</v>
      </c>
      <c r="AK192" s="3"/>
      <c r="AL192" s="2" t="s">
        <v>121</v>
      </c>
      <c r="AM192" s="3"/>
      <c r="AN192" s="3"/>
      <c r="AO192" s="2" t="s">
        <v>117</v>
      </c>
      <c r="AP192" s="3"/>
      <c r="AQ192" s="3"/>
      <c r="AR192" s="3"/>
      <c r="AS192" s="3"/>
      <c r="AT192" s="2" t="s">
        <v>121</v>
      </c>
      <c r="AU192" s="2" t="s">
        <v>104</v>
      </c>
      <c r="AV192" s="2" t="s">
        <v>103</v>
      </c>
      <c r="AW192" s="2" t="s">
        <v>104</v>
      </c>
      <c r="AX192" s="3"/>
      <c r="AY192" s="2" t="s">
        <v>145</v>
      </c>
      <c r="AZ192" s="3"/>
      <c r="BA192" s="3"/>
      <c r="BB192" s="2" t="s">
        <v>103</v>
      </c>
      <c r="BC192" s="2" t="s">
        <v>108</v>
      </c>
      <c r="BD192" s="2" t="s">
        <v>103</v>
      </c>
      <c r="BE192" s="2" t="s">
        <v>105</v>
      </c>
      <c r="BF192" s="2" t="s">
        <v>110</v>
      </c>
      <c r="BG192" s="2" t="s">
        <v>135</v>
      </c>
      <c r="BH192" s="3"/>
      <c r="BI192" s="3"/>
      <c r="BJ192" s="4">
        <f>1 +(1/2)</f>
        <v>1.5</v>
      </c>
      <c r="BK192" s="2" t="s">
        <v>110</v>
      </c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2">
        <f t="shared" ref="CC192:CC193" si="7">1/2</f>
        <v>0.5</v>
      </c>
      <c r="CD192" s="2" t="s">
        <v>108</v>
      </c>
      <c r="CE192" s="3"/>
      <c r="CF192" s="3"/>
      <c r="CG192" s="3"/>
      <c r="CH192" s="3"/>
      <c r="CI192" s="2">
        <f>1/2</f>
        <v>0.5</v>
      </c>
      <c r="CJ192" s="2" t="s">
        <v>110</v>
      </c>
      <c r="CK192" s="2" t="s">
        <v>126</v>
      </c>
      <c r="CL192" s="3"/>
      <c r="CM192" s="3"/>
      <c r="CN192" s="3"/>
      <c r="CO192" s="2" t="s">
        <v>105</v>
      </c>
      <c r="CP192" s="3"/>
      <c r="CQ192" s="3"/>
      <c r="CR192" s="3"/>
      <c r="CS192" s="3"/>
      <c r="CT192" s="3"/>
      <c r="CU192" s="3"/>
      <c r="CV192" s="3"/>
      <c r="CW192" s="3"/>
      <c r="CX192" s="2" t="s">
        <v>105</v>
      </c>
      <c r="CY192" s="2" t="s">
        <v>108</v>
      </c>
    </row>
    <row r="193" spans="1:103" ht="15.75" customHeight="1" x14ac:dyDescent="0.2">
      <c r="A193" s="2" t="s">
        <v>116</v>
      </c>
      <c r="B193" s="2" t="s">
        <v>113</v>
      </c>
      <c r="C193" s="2" t="s">
        <v>312</v>
      </c>
      <c r="D193" s="3"/>
      <c r="E193" s="2" t="s">
        <v>103</v>
      </c>
      <c r="F193" s="3"/>
      <c r="G193" s="3"/>
      <c r="H193" s="2" t="s">
        <v>118</v>
      </c>
      <c r="I193" s="2" t="s">
        <v>143</v>
      </c>
      <c r="J193" s="3"/>
      <c r="K193" s="3"/>
      <c r="L193" s="2" t="s">
        <v>153</v>
      </c>
      <c r="M193" s="2" t="s">
        <v>109</v>
      </c>
      <c r="N193" s="2" t="s">
        <v>131</v>
      </c>
      <c r="O193" s="3"/>
      <c r="P193" s="3"/>
      <c r="Q193" s="2" t="s">
        <v>109</v>
      </c>
      <c r="R193" s="2" t="s">
        <v>108</v>
      </c>
      <c r="S193" s="2" t="s">
        <v>135</v>
      </c>
      <c r="T193" s="2" t="s">
        <v>136</v>
      </c>
      <c r="U193" s="3"/>
      <c r="V193" s="2" t="s">
        <v>136</v>
      </c>
      <c r="W193" s="3"/>
      <c r="X193" s="3"/>
      <c r="Y193" s="2" t="s">
        <v>116</v>
      </c>
      <c r="Z193" s="3"/>
      <c r="AA193" s="3"/>
      <c r="AB193" s="2" t="s">
        <v>118</v>
      </c>
      <c r="AC193" s="2" t="s">
        <v>121</v>
      </c>
      <c r="AD193" s="2" t="s">
        <v>118</v>
      </c>
      <c r="AE193" s="3"/>
      <c r="AF193" s="2" t="s">
        <v>111</v>
      </c>
      <c r="AG193" s="3"/>
      <c r="AH193" s="3"/>
      <c r="AI193" s="3"/>
      <c r="AJ193" s="2" t="s">
        <v>106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2" t="s">
        <v>103</v>
      </c>
      <c r="AW193" s="2" t="s">
        <v>113</v>
      </c>
      <c r="AX193" s="3"/>
      <c r="AY193" s="2" t="s">
        <v>130</v>
      </c>
      <c r="AZ193" s="3"/>
      <c r="BA193" s="3"/>
      <c r="BB193" s="2" t="s">
        <v>116</v>
      </c>
      <c r="BC193" s="2" t="s">
        <v>113</v>
      </c>
      <c r="BD193" s="3"/>
      <c r="BE193" s="3"/>
      <c r="BF193" s="2" t="s">
        <v>115</v>
      </c>
      <c r="BG193" s="2" t="s">
        <v>140</v>
      </c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2">
        <f t="shared" si="7"/>
        <v>0.5</v>
      </c>
      <c r="CD193" s="2" t="s">
        <v>107</v>
      </c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spans="1:103" ht="15.75" customHeight="1" x14ac:dyDescent="0.2">
      <c r="A194" s="2" t="s">
        <v>117</v>
      </c>
      <c r="B194" s="2" t="s">
        <v>113</v>
      </c>
      <c r="C194" s="2" t="s">
        <v>312</v>
      </c>
      <c r="D194" s="3"/>
      <c r="E194" s="2" t="s">
        <v>103</v>
      </c>
      <c r="F194" s="3"/>
      <c r="G194" s="3"/>
      <c r="H194" s="2" t="s">
        <v>118</v>
      </c>
      <c r="I194" s="2" t="s">
        <v>124</v>
      </c>
      <c r="J194" s="3"/>
      <c r="K194" s="3"/>
      <c r="L194" s="2" t="s">
        <v>155</v>
      </c>
      <c r="M194" s="2" t="s">
        <v>112</v>
      </c>
      <c r="N194" s="2" t="s">
        <v>129</v>
      </c>
      <c r="O194" s="3"/>
      <c r="P194" s="3"/>
      <c r="Q194" s="3"/>
      <c r="R194" s="3"/>
      <c r="S194" s="2" t="s">
        <v>145</v>
      </c>
      <c r="T194" s="2" t="s">
        <v>110</v>
      </c>
      <c r="U194" s="3"/>
      <c r="V194" s="2" t="s">
        <v>139</v>
      </c>
      <c r="W194" s="3"/>
      <c r="X194" s="3"/>
      <c r="Y194" s="2" t="s">
        <v>116</v>
      </c>
      <c r="Z194" s="3"/>
      <c r="AA194" s="3"/>
      <c r="AB194" s="2" t="s">
        <v>118</v>
      </c>
      <c r="AC194" s="2" t="s">
        <v>117</v>
      </c>
      <c r="AD194" s="2" t="s">
        <v>111</v>
      </c>
      <c r="AE194" s="3"/>
      <c r="AF194" s="3"/>
      <c r="AG194" s="3"/>
      <c r="AH194" s="2" t="s">
        <v>103</v>
      </c>
      <c r="AI194" s="3"/>
      <c r="AJ194" s="2" t="s">
        <v>134</v>
      </c>
      <c r="AK194" s="3"/>
      <c r="AL194" s="2" t="s">
        <v>103</v>
      </c>
      <c r="AM194" s="3"/>
      <c r="AN194" s="3"/>
      <c r="AO194" s="3"/>
      <c r="AP194" s="3"/>
      <c r="AQ194" s="3"/>
      <c r="AR194" s="3"/>
      <c r="AS194" s="3"/>
      <c r="AT194" s="2" t="s">
        <v>103</v>
      </c>
      <c r="AU194" s="2" t="s">
        <v>105</v>
      </c>
      <c r="AV194" s="2" t="s">
        <v>103</v>
      </c>
      <c r="AW194" s="2" t="s">
        <v>113</v>
      </c>
      <c r="AX194" s="3"/>
      <c r="AY194" s="2" t="s">
        <v>130</v>
      </c>
      <c r="AZ194" s="3"/>
      <c r="BA194" s="3"/>
      <c r="BB194" s="4">
        <f>1 +(1/2)</f>
        <v>1.5</v>
      </c>
      <c r="BC194" s="2" t="s">
        <v>124</v>
      </c>
      <c r="BD194" s="2" t="s">
        <v>103</v>
      </c>
      <c r="BE194" s="2" t="s">
        <v>113</v>
      </c>
      <c r="BF194" s="2" t="s">
        <v>117</v>
      </c>
      <c r="BG194" s="2" t="s">
        <v>123</v>
      </c>
      <c r="BH194" s="2" t="s">
        <v>103</v>
      </c>
      <c r="BI194" s="2" t="s">
        <v>105</v>
      </c>
      <c r="BJ194" s="2">
        <f>1/4</f>
        <v>0.25</v>
      </c>
      <c r="BK194" s="2" t="s">
        <v>105</v>
      </c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2">
        <f>1/4</f>
        <v>0.25</v>
      </c>
      <c r="CD194" s="2" t="s">
        <v>126</v>
      </c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spans="1:103" ht="15.75" customHeight="1" x14ac:dyDescent="0.2">
      <c r="A195" s="2" t="s">
        <v>111</v>
      </c>
      <c r="B195" s="2" t="s">
        <v>113</v>
      </c>
      <c r="C195" s="2" t="s">
        <v>312</v>
      </c>
      <c r="D195" s="3"/>
      <c r="E195" s="2" t="s">
        <v>103</v>
      </c>
      <c r="F195" s="3"/>
      <c r="G195" s="3"/>
      <c r="H195" s="2" t="s">
        <v>170</v>
      </c>
      <c r="I195" s="2" t="s">
        <v>288</v>
      </c>
      <c r="J195" s="2" t="s">
        <v>105</v>
      </c>
      <c r="K195" s="3"/>
      <c r="L195" s="2" t="s">
        <v>128</v>
      </c>
      <c r="M195" s="2" t="s">
        <v>109</v>
      </c>
      <c r="N195" s="2" t="s">
        <v>109</v>
      </c>
      <c r="O195" s="3"/>
      <c r="P195" s="3"/>
      <c r="Q195" s="2" t="s">
        <v>130</v>
      </c>
      <c r="R195" s="2" t="s">
        <v>107</v>
      </c>
      <c r="S195" s="2" t="s">
        <v>134</v>
      </c>
      <c r="T195" s="2" t="s">
        <v>110</v>
      </c>
      <c r="U195" s="3"/>
      <c r="V195" s="2" t="s">
        <v>110</v>
      </c>
      <c r="W195" s="3"/>
      <c r="X195" s="3"/>
      <c r="Y195" s="3"/>
      <c r="Z195" s="3"/>
      <c r="AA195" s="3"/>
      <c r="AB195" s="2" t="s">
        <v>116</v>
      </c>
      <c r="AC195" s="2" t="s">
        <v>121</v>
      </c>
      <c r="AD195" s="2" t="s">
        <v>137</v>
      </c>
      <c r="AE195" s="3"/>
      <c r="AF195" s="2" t="s">
        <v>116</v>
      </c>
      <c r="AG195" s="3"/>
      <c r="AH195" s="2" t="s">
        <v>103</v>
      </c>
      <c r="AI195" s="3"/>
      <c r="AJ195" s="2" t="s">
        <v>267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2" t="s">
        <v>151</v>
      </c>
      <c r="AX195" s="3"/>
      <c r="AY195" s="2" t="s">
        <v>109</v>
      </c>
      <c r="AZ195" s="3"/>
      <c r="BA195" s="3"/>
      <c r="BB195" s="3"/>
      <c r="BC195" s="3"/>
      <c r="BD195" s="2">
        <f t="shared" ref="BD195:BD196" si="8">1/2</f>
        <v>0.5</v>
      </c>
      <c r="BE195" s="2" t="s">
        <v>113</v>
      </c>
      <c r="BF195" s="2" t="s">
        <v>139</v>
      </c>
      <c r="BG195" s="2" t="s">
        <v>289</v>
      </c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2">
        <f t="shared" ref="CC195:CC196" si="9">1/2</f>
        <v>0.5</v>
      </c>
      <c r="CD195" s="2" t="s">
        <v>104</v>
      </c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2" t="s">
        <v>105</v>
      </c>
      <c r="CY195" s="2" t="s">
        <v>108</v>
      </c>
    </row>
    <row r="196" spans="1:103" ht="15.75" customHeight="1" x14ac:dyDescent="0.2">
      <c r="A196" s="2" t="s">
        <v>121</v>
      </c>
      <c r="B196" s="2" t="s">
        <v>113</v>
      </c>
      <c r="C196" s="2" t="s">
        <v>312</v>
      </c>
      <c r="D196" s="3"/>
      <c r="E196" s="2" t="s">
        <v>103</v>
      </c>
      <c r="F196" s="3"/>
      <c r="G196" s="3"/>
      <c r="H196" s="2" t="s">
        <v>137</v>
      </c>
      <c r="I196" s="2" t="s">
        <v>192</v>
      </c>
      <c r="J196" s="3"/>
      <c r="K196" s="3"/>
      <c r="L196" s="2" t="s">
        <v>119</v>
      </c>
      <c r="M196" s="2" t="s">
        <v>109</v>
      </c>
      <c r="N196" s="2" t="s">
        <v>131</v>
      </c>
      <c r="O196" s="2" t="s">
        <v>121</v>
      </c>
      <c r="P196" s="3"/>
      <c r="Q196" s="3"/>
      <c r="R196" s="3"/>
      <c r="S196" s="2" t="s">
        <v>135</v>
      </c>
      <c r="T196" s="2" t="s">
        <v>108</v>
      </c>
      <c r="U196" s="3"/>
      <c r="V196" s="4" t="s">
        <v>110</v>
      </c>
      <c r="W196" s="3"/>
      <c r="X196" s="3"/>
      <c r="Y196" s="2" t="s">
        <v>116</v>
      </c>
      <c r="Z196" s="3"/>
      <c r="AA196" s="3"/>
      <c r="AB196" s="2" t="s">
        <v>111</v>
      </c>
      <c r="AC196" s="2" t="s">
        <v>117</v>
      </c>
      <c r="AD196" s="2" t="s">
        <v>121</v>
      </c>
      <c r="AE196" s="3"/>
      <c r="AF196" s="2" t="s">
        <v>111</v>
      </c>
      <c r="AG196" s="3"/>
      <c r="AH196" s="3"/>
      <c r="AI196" s="3"/>
      <c r="AJ196" s="2" t="s">
        <v>142</v>
      </c>
      <c r="AK196" s="3"/>
      <c r="AL196" s="2" t="s">
        <v>116</v>
      </c>
      <c r="AM196" s="3"/>
      <c r="AN196" s="3"/>
      <c r="AO196" s="3"/>
      <c r="AP196" s="3"/>
      <c r="AQ196" s="3"/>
      <c r="AR196" s="3"/>
      <c r="AS196" s="3"/>
      <c r="AT196" s="2" t="s">
        <v>116</v>
      </c>
      <c r="AU196" s="2" t="s">
        <v>110</v>
      </c>
      <c r="AV196" s="3"/>
      <c r="AW196" s="2" t="s">
        <v>122</v>
      </c>
      <c r="AX196" s="3"/>
      <c r="AY196" s="2" t="s">
        <v>112</v>
      </c>
      <c r="AZ196" s="3"/>
      <c r="BA196" s="3"/>
      <c r="BB196" s="3"/>
      <c r="BC196" s="3"/>
      <c r="BD196" s="2">
        <f t="shared" si="8"/>
        <v>0.5</v>
      </c>
      <c r="BE196" s="2" t="s">
        <v>113</v>
      </c>
      <c r="BF196" s="4" t="s">
        <v>146</v>
      </c>
      <c r="BG196" s="2" t="s">
        <v>158</v>
      </c>
      <c r="BH196" s="3"/>
      <c r="BI196" s="3"/>
      <c r="BJ196" s="2" t="s">
        <v>103</v>
      </c>
      <c r="BK196" s="2" t="s">
        <v>110</v>
      </c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2">
        <f t="shared" si="9"/>
        <v>0.5</v>
      </c>
      <c r="CD196" s="2" t="s">
        <v>108</v>
      </c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spans="1:103" ht="15.75" customHeight="1" x14ac:dyDescent="0.2">
      <c r="A197" s="2" t="s">
        <v>115</v>
      </c>
      <c r="B197" s="2" t="s">
        <v>113</v>
      </c>
      <c r="C197" s="2" t="s">
        <v>312</v>
      </c>
      <c r="D197" s="3"/>
      <c r="E197" s="2" t="s">
        <v>103</v>
      </c>
      <c r="F197" s="3"/>
      <c r="G197" s="3"/>
      <c r="H197" s="2" t="s">
        <v>113</v>
      </c>
      <c r="I197" s="2" t="s">
        <v>182</v>
      </c>
      <c r="J197" s="2" t="s">
        <v>108</v>
      </c>
      <c r="K197" s="3"/>
      <c r="L197" s="2" t="s">
        <v>201</v>
      </c>
      <c r="M197" s="2" t="s">
        <v>131</v>
      </c>
      <c r="N197" s="2" t="s">
        <v>155</v>
      </c>
      <c r="O197" s="2" t="s">
        <v>108</v>
      </c>
      <c r="P197" s="3"/>
      <c r="Q197" s="2" t="s">
        <v>135</v>
      </c>
      <c r="R197" s="2" t="s">
        <v>109</v>
      </c>
      <c r="S197" s="4" t="s">
        <v>119</v>
      </c>
      <c r="T197" s="2" t="s">
        <v>120</v>
      </c>
      <c r="U197" s="3"/>
      <c r="V197" s="2" t="s">
        <v>109</v>
      </c>
      <c r="W197" s="3"/>
      <c r="X197" s="3"/>
      <c r="Y197" s="2" t="s">
        <v>115</v>
      </c>
      <c r="Z197" s="3"/>
      <c r="AA197" s="3"/>
      <c r="AB197" s="2" t="s">
        <v>108</v>
      </c>
      <c r="AC197" s="2" t="s">
        <v>113</v>
      </c>
      <c r="AD197" s="2" t="s">
        <v>108</v>
      </c>
      <c r="AE197" s="3"/>
      <c r="AF197" s="2" t="s">
        <v>105</v>
      </c>
      <c r="AG197" s="3"/>
      <c r="AH197" s="3"/>
      <c r="AI197" s="3"/>
      <c r="AJ197" s="2" t="s">
        <v>207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2" t="s">
        <v>113</v>
      </c>
      <c r="AX197" s="3"/>
      <c r="AY197" s="2" t="s">
        <v>130</v>
      </c>
      <c r="AZ197" s="3"/>
      <c r="BA197" s="3"/>
      <c r="BB197" s="3"/>
      <c r="BC197" s="3"/>
      <c r="BD197" s="2" t="s">
        <v>111</v>
      </c>
      <c r="BE197" s="2" t="s">
        <v>112</v>
      </c>
      <c r="BF197" s="2" t="s">
        <v>105</v>
      </c>
      <c r="BG197" s="2" t="s">
        <v>131</v>
      </c>
      <c r="BH197" s="3"/>
      <c r="BI197" s="3"/>
      <c r="BJ197" s="2" t="s">
        <v>117</v>
      </c>
      <c r="BK197" s="2" t="s">
        <v>126</v>
      </c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2" t="s">
        <v>103</v>
      </c>
      <c r="CD197" s="2" t="s">
        <v>109</v>
      </c>
      <c r="CE197" s="3"/>
      <c r="CF197" s="3"/>
      <c r="CG197" s="3"/>
      <c r="CH197" s="3"/>
      <c r="CI197" s="2" t="s">
        <v>103</v>
      </c>
      <c r="CJ197" s="2" t="s">
        <v>126</v>
      </c>
      <c r="CK197" s="2" t="s">
        <v>109</v>
      </c>
      <c r="CL197" s="3"/>
      <c r="CM197" s="3"/>
      <c r="CN197" s="3"/>
      <c r="CO197" s="2" t="s">
        <v>126</v>
      </c>
      <c r="CP197" s="3"/>
      <c r="CQ197" s="3"/>
      <c r="CR197" s="3"/>
      <c r="CS197" s="3"/>
      <c r="CT197" s="3"/>
      <c r="CU197" s="3"/>
      <c r="CV197" s="3"/>
      <c r="CW197" s="3"/>
      <c r="CX197" s="2" t="s">
        <v>113</v>
      </c>
      <c r="CY197" s="2" t="s">
        <v>136</v>
      </c>
    </row>
    <row r="198" spans="1:103" ht="15.75" customHeight="1" x14ac:dyDescent="0.2">
      <c r="A198" s="2" t="s">
        <v>137</v>
      </c>
      <c r="B198" s="2" t="s">
        <v>113</v>
      </c>
      <c r="C198" s="2" t="s">
        <v>312</v>
      </c>
      <c r="D198" s="3"/>
      <c r="E198" s="2" t="s">
        <v>103</v>
      </c>
      <c r="F198" s="3"/>
      <c r="G198" s="3"/>
      <c r="H198" s="2" t="s">
        <v>121</v>
      </c>
      <c r="I198" s="2" t="s">
        <v>156</v>
      </c>
      <c r="J198" s="3"/>
      <c r="K198" s="3"/>
      <c r="L198" s="2" t="s">
        <v>125</v>
      </c>
      <c r="M198" s="2" t="s">
        <v>109</v>
      </c>
      <c r="N198" s="2" t="s">
        <v>165</v>
      </c>
      <c r="O198" s="3"/>
      <c r="P198" s="3"/>
      <c r="Q198" s="2" t="s">
        <v>109</v>
      </c>
      <c r="R198" s="2" t="s">
        <v>113</v>
      </c>
      <c r="S198" s="2" t="s">
        <v>134</v>
      </c>
      <c r="T198" s="2" t="s">
        <v>108</v>
      </c>
      <c r="U198" s="3"/>
      <c r="V198" s="2" t="s">
        <v>108</v>
      </c>
      <c r="W198" s="3"/>
      <c r="X198" s="3"/>
      <c r="Y198" s="2" t="s">
        <v>121</v>
      </c>
      <c r="Z198" s="3"/>
      <c r="AA198" s="3"/>
      <c r="AB198" s="2" t="s">
        <v>115</v>
      </c>
      <c r="AC198" s="2" t="s">
        <v>103</v>
      </c>
      <c r="AD198" s="2" t="s">
        <v>115</v>
      </c>
      <c r="AE198" s="3"/>
      <c r="AF198" s="2" t="s">
        <v>154</v>
      </c>
      <c r="AG198" s="3"/>
      <c r="AH198" s="3"/>
      <c r="AI198" s="3"/>
      <c r="AJ198" s="2" t="s">
        <v>149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2" t="s">
        <v>117</v>
      </c>
      <c r="AW198" s="2" t="s">
        <v>110</v>
      </c>
      <c r="AX198" s="3"/>
      <c r="AY198" s="4" t="s">
        <v>112</v>
      </c>
      <c r="AZ198" s="3"/>
      <c r="BA198" s="3"/>
      <c r="BB198" s="3"/>
      <c r="BC198" s="3"/>
      <c r="BD198" s="2" t="s">
        <v>117</v>
      </c>
      <c r="BE198" s="2" t="s">
        <v>112</v>
      </c>
      <c r="BF198" s="2" t="s">
        <v>116</v>
      </c>
      <c r="BG198" s="2" t="s">
        <v>109</v>
      </c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2">
        <f>1/2</f>
        <v>0.5</v>
      </c>
      <c r="CD198" s="2" t="s">
        <v>126</v>
      </c>
      <c r="CE198" s="3"/>
      <c r="CF198" s="3"/>
      <c r="CG198" s="3"/>
      <c r="CH198" s="3"/>
      <c r="CI198" s="2" t="s">
        <v>103</v>
      </c>
      <c r="CJ198" s="2" t="s">
        <v>107</v>
      </c>
      <c r="CK198" s="2" t="s">
        <v>126</v>
      </c>
      <c r="CL198" s="3"/>
      <c r="CM198" s="3"/>
      <c r="CN198" s="3"/>
      <c r="CO198" s="2" t="s">
        <v>113</v>
      </c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spans="1:103" ht="15.75" customHeight="1" x14ac:dyDescent="0.2">
      <c r="A199" s="2" t="s">
        <v>118</v>
      </c>
      <c r="B199" s="2" t="s">
        <v>113</v>
      </c>
      <c r="C199" s="2" t="s">
        <v>312</v>
      </c>
      <c r="D199" s="3"/>
      <c r="E199" s="2" t="s">
        <v>103</v>
      </c>
      <c r="F199" s="3"/>
      <c r="G199" s="3"/>
      <c r="H199" s="2" t="s">
        <v>107</v>
      </c>
      <c r="I199" s="2" t="s">
        <v>131</v>
      </c>
      <c r="J199" s="2" t="s">
        <v>126</v>
      </c>
      <c r="K199" s="3"/>
      <c r="L199" s="2" t="s">
        <v>290</v>
      </c>
      <c r="M199" s="2" t="s">
        <v>131</v>
      </c>
      <c r="N199" s="2" t="s">
        <v>230</v>
      </c>
      <c r="O199" s="2" t="s">
        <v>113</v>
      </c>
      <c r="P199" s="3"/>
      <c r="Q199" s="2" t="s">
        <v>134</v>
      </c>
      <c r="R199" s="2" t="s">
        <v>130</v>
      </c>
      <c r="S199" s="2" t="s">
        <v>128</v>
      </c>
      <c r="T199" s="2" t="s">
        <v>130</v>
      </c>
      <c r="U199" s="3"/>
      <c r="V199" s="2" t="s">
        <v>129</v>
      </c>
      <c r="W199" s="3"/>
      <c r="X199" s="3"/>
      <c r="Y199" s="2" t="s">
        <v>137</v>
      </c>
      <c r="Z199" s="3"/>
      <c r="AA199" s="3"/>
      <c r="AB199" s="2" t="s">
        <v>107</v>
      </c>
      <c r="AC199" s="2" t="s">
        <v>126</v>
      </c>
      <c r="AD199" s="2" t="s">
        <v>146</v>
      </c>
      <c r="AE199" s="3"/>
      <c r="AF199" s="2" t="s">
        <v>136</v>
      </c>
      <c r="AG199" s="2" t="s">
        <v>103</v>
      </c>
      <c r="AH199" s="3"/>
      <c r="AI199" s="3"/>
      <c r="AJ199" s="2" t="s">
        <v>148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2" t="s">
        <v>115</v>
      </c>
      <c r="AW199" s="2" t="s">
        <v>104</v>
      </c>
      <c r="AX199" s="3"/>
      <c r="AY199" s="4" t="s">
        <v>130</v>
      </c>
      <c r="AZ199" s="2" t="s">
        <v>103</v>
      </c>
      <c r="BA199" s="2" t="s">
        <v>113</v>
      </c>
      <c r="BB199" s="2" t="s">
        <v>116</v>
      </c>
      <c r="BC199" s="2" t="s">
        <v>113</v>
      </c>
      <c r="BD199" s="2" t="s">
        <v>121</v>
      </c>
      <c r="BE199" s="2" t="s">
        <v>109</v>
      </c>
      <c r="BF199" s="2" t="s">
        <v>113</v>
      </c>
      <c r="BG199" s="2" t="s">
        <v>134</v>
      </c>
      <c r="BH199" s="3"/>
      <c r="BI199" s="3"/>
      <c r="BJ199" s="2" t="s">
        <v>116</v>
      </c>
      <c r="BK199" s="2" t="s">
        <v>110</v>
      </c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2" t="s">
        <v>103</v>
      </c>
      <c r="CD199" s="2" t="s">
        <v>109</v>
      </c>
      <c r="CE199" s="3"/>
      <c r="CF199" s="3"/>
      <c r="CG199" s="3"/>
      <c r="CH199" s="3"/>
      <c r="CI199" s="2" t="s">
        <v>103</v>
      </c>
      <c r="CJ199" s="2" t="s">
        <v>107</v>
      </c>
      <c r="CK199" s="2" t="s">
        <v>109</v>
      </c>
      <c r="CL199" s="3"/>
      <c r="CM199" s="3"/>
      <c r="CN199" s="3"/>
      <c r="CO199" s="2" t="s">
        <v>126</v>
      </c>
      <c r="CP199" s="3"/>
      <c r="CQ199" s="3"/>
      <c r="CR199" s="3"/>
      <c r="CS199" s="3"/>
      <c r="CT199" s="3"/>
      <c r="CU199" s="3"/>
      <c r="CV199" s="3"/>
      <c r="CW199" s="3"/>
      <c r="CX199" s="2" t="s">
        <v>108</v>
      </c>
      <c r="CY199" s="2" t="s">
        <v>123</v>
      </c>
    </row>
    <row r="200" spans="1:103" ht="15.75" customHeight="1" x14ac:dyDescent="0.2">
      <c r="A200" s="2" t="s">
        <v>154</v>
      </c>
      <c r="B200" s="2" t="s">
        <v>113</v>
      </c>
      <c r="C200" s="2" t="s">
        <v>312</v>
      </c>
      <c r="D200" s="3"/>
      <c r="E200" s="2" t="s">
        <v>103</v>
      </c>
      <c r="F200" s="3"/>
      <c r="G200" s="3"/>
      <c r="H200" s="2" t="s">
        <v>110</v>
      </c>
      <c r="I200" s="2" t="s">
        <v>109</v>
      </c>
      <c r="J200" s="2" t="s">
        <v>121</v>
      </c>
      <c r="K200" s="3"/>
      <c r="L200" s="2" t="s">
        <v>153</v>
      </c>
      <c r="M200" s="2" t="s">
        <v>112</v>
      </c>
      <c r="N200" s="2" t="s">
        <v>109</v>
      </c>
      <c r="O200" s="3"/>
      <c r="P200" s="3"/>
      <c r="Q200" s="2" t="s">
        <v>130</v>
      </c>
      <c r="R200" s="2" t="s">
        <v>126</v>
      </c>
      <c r="S200" s="2" t="s">
        <v>149</v>
      </c>
      <c r="T200" s="2" t="s">
        <v>146</v>
      </c>
      <c r="U200" s="3"/>
      <c r="V200" s="2" t="s">
        <v>146</v>
      </c>
      <c r="W200" s="3"/>
      <c r="X200" s="3"/>
      <c r="Y200" s="2" t="s">
        <v>117</v>
      </c>
      <c r="Z200" s="3"/>
      <c r="AA200" s="3"/>
      <c r="AB200" s="2" t="s">
        <v>118</v>
      </c>
      <c r="AC200" s="2" t="s">
        <v>139</v>
      </c>
      <c r="AD200" s="2" t="s">
        <v>118</v>
      </c>
      <c r="AE200" s="3"/>
      <c r="AF200" s="2" t="s">
        <v>115</v>
      </c>
      <c r="AG200" s="3"/>
      <c r="AH200" s="2" t="s">
        <v>103</v>
      </c>
      <c r="AI200" s="3"/>
      <c r="AJ200" s="2" t="s">
        <v>177</v>
      </c>
      <c r="AK200" s="3"/>
      <c r="AL200" s="2" t="s">
        <v>122</v>
      </c>
      <c r="AM200" s="2" t="s">
        <v>117</v>
      </c>
      <c r="AN200" s="3"/>
      <c r="AO200" s="3"/>
      <c r="AP200" s="3"/>
      <c r="AQ200" s="3"/>
      <c r="AR200" s="3"/>
      <c r="AS200" s="3"/>
      <c r="AT200" s="2" t="s">
        <v>151</v>
      </c>
      <c r="AU200" s="2" t="s">
        <v>136</v>
      </c>
      <c r="AV200" s="2" t="s">
        <v>116</v>
      </c>
      <c r="AW200" s="2" t="s">
        <v>124</v>
      </c>
      <c r="AX200" s="3"/>
      <c r="AY200" s="4" t="s">
        <v>112</v>
      </c>
      <c r="AZ200" s="3"/>
      <c r="BA200" s="3"/>
      <c r="BB200" s="3"/>
      <c r="BC200" s="3"/>
      <c r="BD200" s="2" t="s">
        <v>111</v>
      </c>
      <c r="BE200" s="2" t="s">
        <v>114</v>
      </c>
      <c r="BF200" s="2" t="s">
        <v>154</v>
      </c>
      <c r="BG200" s="2" t="s">
        <v>220</v>
      </c>
      <c r="BH200" s="3"/>
      <c r="BI200" s="3"/>
      <c r="BJ200" s="2" t="s">
        <v>103</v>
      </c>
      <c r="BK200" s="2" t="s">
        <v>115</v>
      </c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2" t="s">
        <v>103</v>
      </c>
      <c r="CD200" s="2" t="s">
        <v>123</v>
      </c>
      <c r="CE200" s="3"/>
      <c r="CF200" s="3"/>
      <c r="CG200" s="3"/>
      <c r="CH200" s="3"/>
      <c r="CI200" s="2" t="s">
        <v>103</v>
      </c>
      <c r="CJ200" s="2" t="s">
        <v>108</v>
      </c>
      <c r="CK200" s="2" t="s">
        <v>126</v>
      </c>
      <c r="CL200" s="3"/>
      <c r="CM200" s="3"/>
      <c r="CN200" s="3"/>
      <c r="CO200" s="2" t="s">
        <v>110</v>
      </c>
      <c r="CP200" s="3"/>
      <c r="CQ200" s="3"/>
      <c r="CR200" s="3"/>
      <c r="CS200" s="3"/>
      <c r="CT200" s="3"/>
      <c r="CU200" s="3"/>
      <c r="CV200" s="3"/>
      <c r="CW200" s="3"/>
      <c r="CX200" s="2" t="s">
        <v>105</v>
      </c>
      <c r="CY200" s="2" t="s">
        <v>108</v>
      </c>
    </row>
    <row r="201" spans="1:103" ht="15.75" customHeight="1" x14ac:dyDescent="0.2">
      <c r="A201" s="2" t="s">
        <v>105</v>
      </c>
      <c r="B201" s="2" t="s">
        <v>113</v>
      </c>
      <c r="C201" s="2" t="s">
        <v>312</v>
      </c>
      <c r="D201" s="3"/>
      <c r="E201" s="2" t="s">
        <v>103</v>
      </c>
      <c r="F201" s="3"/>
      <c r="G201" s="3"/>
      <c r="H201" s="2" t="s">
        <v>113</v>
      </c>
      <c r="I201" s="2" t="s">
        <v>130</v>
      </c>
      <c r="J201" s="2" t="s">
        <v>126</v>
      </c>
      <c r="K201" s="3"/>
      <c r="L201" s="2" t="s">
        <v>201</v>
      </c>
      <c r="M201" s="2" t="s">
        <v>135</v>
      </c>
      <c r="N201" s="2" t="s">
        <v>155</v>
      </c>
      <c r="O201" s="2" t="s">
        <v>113</v>
      </c>
      <c r="P201" s="3"/>
      <c r="Q201" s="2" t="s">
        <v>135</v>
      </c>
      <c r="R201" s="2" t="s">
        <v>109</v>
      </c>
      <c r="S201" s="2" t="s">
        <v>125</v>
      </c>
      <c r="T201" s="2" t="s">
        <v>109</v>
      </c>
      <c r="U201" s="3"/>
      <c r="V201" s="2" t="s">
        <v>143</v>
      </c>
      <c r="W201" s="3"/>
      <c r="X201" s="3"/>
      <c r="Y201" s="2" t="s">
        <v>121</v>
      </c>
      <c r="Z201" s="3"/>
      <c r="AA201" s="3"/>
      <c r="AB201" s="2" t="s">
        <v>105</v>
      </c>
      <c r="AC201" s="2" t="s">
        <v>107</v>
      </c>
      <c r="AD201" s="2" t="s">
        <v>105</v>
      </c>
      <c r="AE201" s="2" t="s">
        <v>113</v>
      </c>
      <c r="AF201" s="2" t="s">
        <v>113</v>
      </c>
      <c r="AG201" s="3"/>
      <c r="AH201" s="3"/>
      <c r="AI201" s="3"/>
      <c r="AJ201" s="2" t="s">
        <v>119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2" t="s">
        <v>111</v>
      </c>
      <c r="AW201" s="2" t="s">
        <v>139</v>
      </c>
      <c r="AX201" s="3"/>
      <c r="AY201" s="4" t="s">
        <v>112</v>
      </c>
      <c r="AZ201" s="4" t="s">
        <v>103</v>
      </c>
      <c r="BA201" s="2" t="s">
        <v>113</v>
      </c>
      <c r="BB201" s="2" t="s">
        <v>103</v>
      </c>
      <c r="BC201" s="2" t="s">
        <v>110</v>
      </c>
      <c r="BD201" s="2" t="s">
        <v>121</v>
      </c>
      <c r="BE201" s="2" t="s">
        <v>112</v>
      </c>
      <c r="BF201" s="2" t="s">
        <v>105</v>
      </c>
      <c r="BG201" s="2" t="s">
        <v>131</v>
      </c>
      <c r="BH201" s="3"/>
      <c r="BI201" s="3"/>
      <c r="BJ201" s="2" t="s">
        <v>116</v>
      </c>
      <c r="BK201" s="4" t="s">
        <v>107</v>
      </c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2" t="s">
        <v>103</v>
      </c>
      <c r="CD201" s="2" t="s">
        <v>109</v>
      </c>
      <c r="CE201" s="3"/>
      <c r="CF201" s="3"/>
      <c r="CG201" s="3"/>
      <c r="CH201" s="3"/>
      <c r="CI201" s="2" t="s">
        <v>103</v>
      </c>
      <c r="CJ201" s="2" t="s">
        <v>126</v>
      </c>
      <c r="CK201" s="2" t="s">
        <v>130</v>
      </c>
      <c r="CL201" s="3"/>
      <c r="CM201" s="3"/>
      <c r="CN201" s="3"/>
      <c r="CO201" s="2" t="s">
        <v>109</v>
      </c>
      <c r="CP201" s="3"/>
      <c r="CQ201" s="3"/>
      <c r="CR201" s="3"/>
      <c r="CS201" s="3"/>
      <c r="CT201" s="3"/>
      <c r="CU201" s="3"/>
      <c r="CV201" s="2"/>
      <c r="CW201" s="3"/>
      <c r="CX201" s="2" t="s">
        <v>113</v>
      </c>
      <c r="CY201" s="2" t="s">
        <v>136</v>
      </c>
    </row>
    <row r="202" spans="1:103" ht="15.75" customHeight="1" x14ac:dyDescent="0.2">
      <c r="A202" s="2" t="s">
        <v>103</v>
      </c>
      <c r="B202" s="2" t="s">
        <v>205</v>
      </c>
      <c r="C202" s="2" t="s">
        <v>312</v>
      </c>
      <c r="D202" s="3"/>
      <c r="E202" s="2" t="s">
        <v>103</v>
      </c>
      <c r="F202" s="3"/>
      <c r="G202" s="3"/>
      <c r="H202" s="2" t="s">
        <v>118</v>
      </c>
      <c r="I202" s="2" t="s">
        <v>265</v>
      </c>
      <c r="J202" s="2" t="s">
        <v>111</v>
      </c>
      <c r="K202" s="3"/>
      <c r="L202" s="2" t="s">
        <v>257</v>
      </c>
      <c r="M202" s="2" t="s">
        <v>130</v>
      </c>
      <c r="N202" s="2" t="s">
        <v>149</v>
      </c>
      <c r="O202" s="2" t="s">
        <v>126</v>
      </c>
      <c r="P202" s="3"/>
      <c r="Q202" s="2" t="s">
        <v>109</v>
      </c>
      <c r="R202" s="2" t="s">
        <v>113</v>
      </c>
      <c r="S202" s="2" t="s">
        <v>142</v>
      </c>
      <c r="T202" s="2" t="s">
        <v>104</v>
      </c>
      <c r="U202" s="3"/>
      <c r="V202" s="2" t="s">
        <v>104</v>
      </c>
      <c r="W202" s="3"/>
      <c r="X202" s="3"/>
      <c r="Y202" s="2" t="s">
        <v>111</v>
      </c>
      <c r="Z202" s="3"/>
      <c r="AA202" s="3"/>
      <c r="AB202" s="2" t="s">
        <v>151</v>
      </c>
      <c r="AC202" s="2" t="s">
        <v>117</v>
      </c>
      <c r="AD202" s="2" t="s">
        <v>105</v>
      </c>
      <c r="AE202" s="3"/>
      <c r="AF202" s="2" t="s">
        <v>115</v>
      </c>
      <c r="AG202" s="2" t="s">
        <v>117</v>
      </c>
      <c r="AH202" s="3"/>
      <c r="AI202" s="3"/>
      <c r="AJ202" s="2" t="s">
        <v>155</v>
      </c>
      <c r="AK202" s="3"/>
      <c r="AL202" s="2" t="s">
        <v>173</v>
      </c>
      <c r="AM202" s="2" t="s">
        <v>138</v>
      </c>
      <c r="AN202" s="3"/>
      <c r="AO202" s="2" t="s">
        <v>110</v>
      </c>
      <c r="AP202" s="3"/>
      <c r="AQ202" s="3"/>
      <c r="AR202" s="2" t="s">
        <v>103</v>
      </c>
      <c r="AS202" s="3"/>
      <c r="AT202" s="2" t="s">
        <v>108</v>
      </c>
      <c r="AU202" s="2" t="s">
        <v>143</v>
      </c>
      <c r="AV202" s="2" t="s">
        <v>117</v>
      </c>
      <c r="AW202" s="2" t="s">
        <v>113</v>
      </c>
      <c r="AX202" s="3"/>
      <c r="AY202" s="2" t="s">
        <v>130</v>
      </c>
      <c r="AZ202" s="3"/>
      <c r="BA202" s="3"/>
      <c r="BB202" s="3"/>
      <c r="BC202" s="3"/>
      <c r="BD202" s="3"/>
      <c r="BE202" s="3"/>
      <c r="BF202" s="2" t="s">
        <v>115</v>
      </c>
      <c r="BG202" s="2" t="s">
        <v>112</v>
      </c>
      <c r="BH202" s="3"/>
      <c r="BI202" s="3"/>
      <c r="BJ202" s="2" t="s">
        <v>103</v>
      </c>
      <c r="BK202" s="2" t="s">
        <v>113</v>
      </c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2" t="s">
        <v>103</v>
      </c>
      <c r="CD202" s="2" t="s">
        <v>132</v>
      </c>
      <c r="CE202" s="3"/>
      <c r="CF202" s="3"/>
      <c r="CG202" s="3"/>
      <c r="CH202" s="3"/>
      <c r="CI202" s="2" t="s">
        <v>103</v>
      </c>
      <c r="CJ202" s="2" t="s">
        <v>109</v>
      </c>
      <c r="CK202" s="2" t="s">
        <v>126</v>
      </c>
      <c r="CL202" s="3"/>
      <c r="CM202" s="3"/>
      <c r="CN202" s="3"/>
      <c r="CO202" s="2" t="s">
        <v>108</v>
      </c>
      <c r="CP202" s="3"/>
      <c r="CQ202" s="3"/>
      <c r="CR202" s="3"/>
      <c r="CS202" s="3"/>
      <c r="CT202" s="3"/>
      <c r="CU202" s="3"/>
      <c r="CV202" s="3"/>
      <c r="CW202" s="3"/>
      <c r="CX202" s="2" t="s">
        <v>105</v>
      </c>
      <c r="CY202" s="2" t="s">
        <v>104</v>
      </c>
    </row>
    <row r="203" spans="1:103" ht="15.75" customHeight="1" x14ac:dyDescent="0.2">
      <c r="A203" s="2" t="s">
        <v>116</v>
      </c>
      <c r="B203" s="2" t="s">
        <v>205</v>
      </c>
      <c r="C203" s="2" t="s">
        <v>312</v>
      </c>
      <c r="D203" s="3"/>
      <c r="E203" s="2" t="s">
        <v>103</v>
      </c>
      <c r="F203" s="3"/>
      <c r="G203" s="3"/>
      <c r="H203" s="2" t="s">
        <v>124</v>
      </c>
      <c r="I203" s="2" t="s">
        <v>140</v>
      </c>
      <c r="J203" s="2" t="s">
        <v>105</v>
      </c>
      <c r="K203" s="3"/>
      <c r="L203" s="2" t="s">
        <v>133</v>
      </c>
      <c r="M203" s="2" t="s">
        <v>130</v>
      </c>
      <c r="N203" s="2" t="s">
        <v>165</v>
      </c>
      <c r="O203" s="2" t="s">
        <v>105</v>
      </c>
      <c r="P203" s="3"/>
      <c r="Q203" s="3"/>
      <c r="R203" s="3"/>
      <c r="S203" s="2" t="s">
        <v>106</v>
      </c>
      <c r="T203" s="2" t="s">
        <v>126</v>
      </c>
      <c r="U203" s="3"/>
      <c r="V203" s="2" t="s">
        <v>126</v>
      </c>
      <c r="W203" s="3"/>
      <c r="X203" s="3"/>
      <c r="Y203" s="2" t="s">
        <v>116</v>
      </c>
      <c r="Z203" s="3"/>
      <c r="AA203" s="3"/>
      <c r="AB203" s="2" t="s">
        <v>118</v>
      </c>
      <c r="AC203" s="2" t="s">
        <v>196</v>
      </c>
      <c r="AD203" s="2" t="s">
        <v>118</v>
      </c>
      <c r="AE203" s="3"/>
      <c r="AF203" s="2" t="s">
        <v>116</v>
      </c>
      <c r="AG203" s="3"/>
      <c r="AH203" s="3"/>
      <c r="AI203" s="3"/>
      <c r="AJ203" s="2" t="s">
        <v>147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2" t="s">
        <v>116</v>
      </c>
      <c r="AW203" s="2" t="s">
        <v>104</v>
      </c>
      <c r="AX203" s="3"/>
      <c r="AY203" s="2" t="s">
        <v>145</v>
      </c>
      <c r="AZ203" s="3"/>
      <c r="BA203" s="3"/>
      <c r="BB203" s="3"/>
      <c r="BC203" s="3"/>
      <c r="BD203" s="2" t="s">
        <v>105</v>
      </c>
      <c r="BE203" s="2" t="s">
        <v>130</v>
      </c>
      <c r="BF203" s="2" t="s">
        <v>137</v>
      </c>
      <c r="BG203" s="2" t="s">
        <v>145</v>
      </c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2">
        <f>1/2</f>
        <v>0.5</v>
      </c>
      <c r="CD203" s="2" t="s">
        <v>136</v>
      </c>
      <c r="CE203" s="3"/>
      <c r="CF203" s="3"/>
      <c r="CG203" s="3"/>
      <c r="CH203" s="3"/>
      <c r="CI203" s="2" t="s">
        <v>103</v>
      </c>
      <c r="CJ203" s="2" t="s">
        <v>126</v>
      </c>
      <c r="CK203" s="2" t="s">
        <v>113</v>
      </c>
      <c r="CL203" s="3"/>
      <c r="CM203" s="3"/>
      <c r="CN203" s="3"/>
      <c r="CO203" s="2" t="s">
        <v>105</v>
      </c>
      <c r="CP203" s="3"/>
      <c r="CQ203" s="3"/>
      <c r="CR203" s="3"/>
      <c r="CS203" s="3"/>
      <c r="CT203" s="3"/>
      <c r="CU203" s="3"/>
      <c r="CV203" s="3"/>
      <c r="CW203" s="3"/>
      <c r="CX203" s="2" t="s">
        <v>105</v>
      </c>
      <c r="CY203" s="2" t="s">
        <v>108</v>
      </c>
    </row>
    <row r="204" spans="1:103" ht="15.75" customHeight="1" x14ac:dyDescent="0.2">
      <c r="A204" s="2" t="s">
        <v>117</v>
      </c>
      <c r="B204" s="2" t="s">
        <v>205</v>
      </c>
      <c r="C204" s="2" t="s">
        <v>312</v>
      </c>
      <c r="D204" s="3"/>
      <c r="E204" s="2" t="s">
        <v>103</v>
      </c>
      <c r="F204" s="3"/>
      <c r="G204" s="3"/>
      <c r="H204" s="3"/>
      <c r="I204" s="2" t="s">
        <v>115</v>
      </c>
      <c r="J204" s="3"/>
      <c r="K204" s="3"/>
      <c r="L204" s="2" t="s">
        <v>135</v>
      </c>
      <c r="M204" s="3"/>
      <c r="N204" s="2" t="s">
        <v>109</v>
      </c>
      <c r="O204" s="3"/>
      <c r="P204" s="3"/>
      <c r="Q204" s="2" t="s">
        <v>105</v>
      </c>
      <c r="R204" s="2" t="s">
        <v>116</v>
      </c>
      <c r="S204" s="2" t="s">
        <v>109</v>
      </c>
      <c r="T204" s="2" t="s">
        <v>115</v>
      </c>
      <c r="U204" s="3"/>
      <c r="V204" s="2" t="s">
        <v>115</v>
      </c>
      <c r="W204" s="3"/>
      <c r="X204" s="3"/>
      <c r="Y204" s="3"/>
      <c r="Z204" s="3"/>
      <c r="AA204" s="3"/>
      <c r="AB204" s="2" t="s">
        <v>116</v>
      </c>
      <c r="AC204" s="2" t="s">
        <v>103</v>
      </c>
      <c r="AD204" s="2" t="s">
        <v>103</v>
      </c>
      <c r="AE204" s="3"/>
      <c r="AF204" s="2" t="s">
        <v>103</v>
      </c>
      <c r="AG204" s="3"/>
      <c r="AH204" s="3"/>
      <c r="AI204" s="3"/>
      <c r="AJ204" s="2" t="s">
        <v>145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2" t="s">
        <v>137</v>
      </c>
      <c r="AX204" s="3"/>
      <c r="AY204" s="2" t="s">
        <v>109</v>
      </c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spans="1:103" ht="15.75" customHeight="1" x14ac:dyDescent="0.2">
      <c r="A205" s="2" t="s">
        <v>111</v>
      </c>
      <c r="B205" s="2" t="s">
        <v>205</v>
      </c>
      <c r="C205" s="2" t="s">
        <v>312</v>
      </c>
      <c r="D205" s="3"/>
      <c r="E205" s="2" t="s">
        <v>103</v>
      </c>
      <c r="F205" s="3"/>
      <c r="G205" s="3"/>
      <c r="H205" s="2" t="s">
        <v>110</v>
      </c>
      <c r="I205" s="2" t="s">
        <v>132</v>
      </c>
      <c r="J205" s="2" t="s">
        <v>110</v>
      </c>
      <c r="K205" s="3"/>
      <c r="L205" s="2" t="s">
        <v>190</v>
      </c>
      <c r="M205" s="2" t="s">
        <v>109</v>
      </c>
      <c r="N205" s="2" t="s">
        <v>149</v>
      </c>
      <c r="O205" s="3"/>
      <c r="P205" s="3"/>
      <c r="Q205" s="2" t="s">
        <v>109</v>
      </c>
      <c r="R205" s="2" t="s">
        <v>113</v>
      </c>
      <c r="S205" s="2" t="s">
        <v>142</v>
      </c>
      <c r="T205" s="4" t="s">
        <v>156</v>
      </c>
      <c r="U205" s="3"/>
      <c r="V205" s="2" t="s">
        <v>107</v>
      </c>
      <c r="W205" s="3"/>
      <c r="X205" s="3"/>
      <c r="Y205" s="2" t="s">
        <v>137</v>
      </c>
      <c r="Z205" s="3"/>
      <c r="AA205" s="3"/>
      <c r="AB205" s="2" t="s">
        <v>115</v>
      </c>
      <c r="AC205" s="2" t="s">
        <v>122</v>
      </c>
      <c r="AD205" s="2" t="s">
        <v>115</v>
      </c>
      <c r="AE205" s="3"/>
      <c r="AF205" s="3"/>
      <c r="AG205" s="3"/>
      <c r="AH205" s="3"/>
      <c r="AI205" s="3"/>
      <c r="AJ205" s="2" t="s">
        <v>106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2" t="s">
        <v>116</v>
      </c>
      <c r="AW205" s="2" t="s">
        <v>109</v>
      </c>
      <c r="AX205" s="3"/>
      <c r="AY205" s="2" t="s">
        <v>135</v>
      </c>
      <c r="AZ205" s="3"/>
      <c r="BA205" s="3"/>
      <c r="BB205" s="3"/>
      <c r="BC205" s="3"/>
      <c r="BD205" s="2" t="s">
        <v>117</v>
      </c>
      <c r="BE205" s="2" t="s">
        <v>136</v>
      </c>
      <c r="BF205" s="2" t="s">
        <v>118</v>
      </c>
      <c r="BG205" s="2" t="s">
        <v>130</v>
      </c>
      <c r="BH205" s="3"/>
      <c r="BI205" s="3"/>
      <c r="BJ205" s="2" t="s">
        <v>117</v>
      </c>
      <c r="BK205" s="2" t="s">
        <v>126</v>
      </c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2" t="s">
        <v>103</v>
      </c>
      <c r="CD205" s="2" t="s">
        <v>126</v>
      </c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2" t="s">
        <v>105</v>
      </c>
      <c r="CY205" s="2" t="s">
        <v>104</v>
      </c>
    </row>
    <row r="206" spans="1:103" ht="15.75" customHeight="1" x14ac:dyDescent="0.2">
      <c r="A206" s="2" t="s">
        <v>121</v>
      </c>
      <c r="B206" s="2" t="s">
        <v>205</v>
      </c>
      <c r="C206" s="2" t="s">
        <v>312</v>
      </c>
      <c r="D206" s="3"/>
      <c r="E206" s="2" t="s">
        <v>103</v>
      </c>
      <c r="F206" s="3"/>
      <c r="G206" s="3"/>
      <c r="H206" s="3"/>
      <c r="I206" s="2" t="s">
        <v>113</v>
      </c>
      <c r="J206" s="3"/>
      <c r="K206" s="3"/>
      <c r="L206" s="2" t="s">
        <v>106</v>
      </c>
      <c r="M206" s="3"/>
      <c r="N206" s="3"/>
      <c r="O206" s="3"/>
      <c r="P206" s="3"/>
      <c r="Q206" s="3"/>
      <c r="R206" s="3"/>
      <c r="S206" s="2" t="s">
        <v>109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spans="1:103" ht="15.75" customHeight="1" x14ac:dyDescent="0.2">
      <c r="A207" s="2" t="s">
        <v>115</v>
      </c>
      <c r="B207" s="2" t="s">
        <v>205</v>
      </c>
      <c r="C207" s="2" t="s">
        <v>312</v>
      </c>
      <c r="D207" s="3"/>
      <c r="E207" s="2" t="s">
        <v>103</v>
      </c>
      <c r="F207" s="3"/>
      <c r="G207" s="3"/>
      <c r="H207" s="2" t="s">
        <v>139</v>
      </c>
      <c r="I207" s="2" t="s">
        <v>182</v>
      </c>
      <c r="J207" s="2" t="s">
        <v>136</v>
      </c>
      <c r="K207" s="3"/>
      <c r="L207" s="2" t="s">
        <v>232</v>
      </c>
      <c r="M207" s="2" t="s">
        <v>145</v>
      </c>
      <c r="N207" s="2" t="s">
        <v>155</v>
      </c>
      <c r="O207" s="3"/>
      <c r="P207" s="3"/>
      <c r="Q207" s="2" t="s">
        <v>130</v>
      </c>
      <c r="R207" s="2" t="s">
        <v>109</v>
      </c>
      <c r="S207" s="2" t="s">
        <v>106</v>
      </c>
      <c r="T207" s="2" t="s">
        <v>132</v>
      </c>
      <c r="U207" s="3"/>
      <c r="V207" s="2" t="s">
        <v>132</v>
      </c>
      <c r="W207" s="3"/>
      <c r="X207" s="3"/>
      <c r="Y207" s="2" t="s">
        <v>116</v>
      </c>
      <c r="Z207" s="3"/>
      <c r="AA207" s="3"/>
      <c r="AB207" s="2" t="s">
        <v>196</v>
      </c>
      <c r="AC207" s="2" t="s">
        <v>113</v>
      </c>
      <c r="AD207" s="2" t="s">
        <v>196</v>
      </c>
      <c r="AE207" s="3"/>
      <c r="AF207" s="2" t="s">
        <v>127</v>
      </c>
      <c r="AG207" s="2" t="s">
        <v>103</v>
      </c>
      <c r="AH207" s="3"/>
      <c r="AI207" s="3"/>
      <c r="AJ207" s="2" t="s">
        <v>128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2" t="s">
        <v>111</v>
      </c>
      <c r="AW207" s="2" t="s">
        <v>110</v>
      </c>
      <c r="AX207" s="3"/>
      <c r="AY207" s="2" t="s">
        <v>130</v>
      </c>
      <c r="AZ207" s="3"/>
      <c r="BA207" s="3"/>
      <c r="BB207" s="4">
        <f>1 +(1/2)</f>
        <v>1.5</v>
      </c>
      <c r="BC207" s="2" t="s">
        <v>105</v>
      </c>
      <c r="BD207" s="2" t="s">
        <v>116</v>
      </c>
      <c r="BE207" s="2" t="s">
        <v>123</v>
      </c>
      <c r="BF207" s="2" t="s">
        <v>111</v>
      </c>
      <c r="BG207" s="2" t="s">
        <v>140</v>
      </c>
      <c r="BH207" s="3"/>
      <c r="BI207" s="3"/>
      <c r="BJ207" s="2" t="s">
        <v>117</v>
      </c>
      <c r="BK207" s="2" t="s">
        <v>167</v>
      </c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2" t="s">
        <v>103</v>
      </c>
      <c r="CD207" s="2" t="s">
        <v>136</v>
      </c>
      <c r="CE207" s="3"/>
      <c r="CF207" s="3"/>
      <c r="CG207" s="3"/>
      <c r="CH207" s="3"/>
      <c r="CI207" s="2" t="s">
        <v>116</v>
      </c>
      <c r="CJ207" s="4" t="s">
        <v>109</v>
      </c>
      <c r="CK207" s="2" t="s">
        <v>130</v>
      </c>
      <c r="CL207" s="3"/>
      <c r="CM207" s="3"/>
      <c r="CN207" s="3"/>
      <c r="CO207" s="2" t="s">
        <v>136</v>
      </c>
      <c r="CP207" s="3"/>
      <c r="CQ207" s="3"/>
      <c r="CR207" s="3"/>
      <c r="CS207" s="3"/>
      <c r="CT207" s="3"/>
      <c r="CU207" s="3"/>
      <c r="CV207" s="3"/>
      <c r="CW207" s="3"/>
      <c r="CX207" s="2" t="s">
        <v>110</v>
      </c>
      <c r="CY207" s="2" t="s">
        <v>104</v>
      </c>
    </row>
    <row r="208" spans="1:103" ht="15.75" customHeight="1" x14ac:dyDescent="0.2">
      <c r="A208" s="2" t="s">
        <v>137</v>
      </c>
      <c r="B208" s="2" t="s">
        <v>205</v>
      </c>
      <c r="C208" s="2" t="s">
        <v>312</v>
      </c>
      <c r="D208" s="3"/>
      <c r="E208" s="3"/>
      <c r="F208" s="3"/>
      <c r="G208" s="2" t="s">
        <v>103</v>
      </c>
      <c r="H208" s="2" t="s">
        <v>154</v>
      </c>
      <c r="I208" s="2" t="s">
        <v>120</v>
      </c>
      <c r="J208" s="2" t="s">
        <v>107</v>
      </c>
      <c r="K208" s="3"/>
      <c r="L208" s="2" t="s">
        <v>291</v>
      </c>
      <c r="M208" s="2" t="s">
        <v>130</v>
      </c>
      <c r="N208" s="2" t="s">
        <v>149</v>
      </c>
      <c r="O208" s="2" t="s">
        <v>113</v>
      </c>
      <c r="P208" s="3"/>
      <c r="Q208" s="2" t="s">
        <v>129</v>
      </c>
      <c r="R208" s="2" t="s">
        <v>126</v>
      </c>
      <c r="S208" s="2" t="s">
        <v>147</v>
      </c>
      <c r="T208" s="2" t="s">
        <v>113</v>
      </c>
      <c r="U208" s="3"/>
      <c r="V208" s="2" t="s">
        <v>104</v>
      </c>
      <c r="W208" s="3"/>
      <c r="X208" s="3"/>
      <c r="Y208" s="2" t="s">
        <v>117</v>
      </c>
      <c r="Z208" s="3"/>
      <c r="AA208" s="3"/>
      <c r="AB208" s="2" t="s">
        <v>110</v>
      </c>
      <c r="AC208" s="2" t="s">
        <v>117</v>
      </c>
      <c r="AD208" s="2" t="s">
        <v>110</v>
      </c>
      <c r="AE208" s="3"/>
      <c r="AF208" s="2" t="s">
        <v>110</v>
      </c>
      <c r="AG208" s="2" t="s">
        <v>103</v>
      </c>
      <c r="AH208" s="3"/>
      <c r="AI208" s="3"/>
      <c r="AJ208" s="2" t="s">
        <v>128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2" t="s">
        <v>103</v>
      </c>
      <c r="BA208" s="2" t="s">
        <v>113</v>
      </c>
      <c r="BB208" s="2" t="s">
        <v>116</v>
      </c>
      <c r="BC208" s="2" t="s">
        <v>126</v>
      </c>
      <c r="BD208" s="2" t="s">
        <v>116</v>
      </c>
      <c r="BE208" s="2" t="s">
        <v>208</v>
      </c>
      <c r="BF208" s="2" t="s">
        <v>117</v>
      </c>
      <c r="BG208" s="2" t="s">
        <v>194</v>
      </c>
      <c r="BH208" s="3"/>
      <c r="BI208" s="3"/>
      <c r="BJ208" s="2" t="s">
        <v>103</v>
      </c>
      <c r="BK208" s="2" t="s">
        <v>122</v>
      </c>
      <c r="BL208" s="2" t="s">
        <v>117</v>
      </c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2" t="s">
        <v>103</v>
      </c>
      <c r="CD208" s="2" t="s">
        <v>126</v>
      </c>
      <c r="CE208" s="3"/>
      <c r="CF208" s="3"/>
      <c r="CG208" s="3"/>
      <c r="CH208" s="3"/>
      <c r="CI208" s="2" t="s">
        <v>103</v>
      </c>
      <c r="CJ208" s="2" t="s">
        <v>126</v>
      </c>
      <c r="CK208" s="2" t="s">
        <v>130</v>
      </c>
      <c r="CL208" s="3"/>
      <c r="CM208" s="3"/>
      <c r="CN208" s="3"/>
      <c r="CO208" s="2" t="s">
        <v>126</v>
      </c>
      <c r="CP208" s="3"/>
      <c r="CQ208" s="3"/>
      <c r="CR208" s="3"/>
      <c r="CS208" s="3"/>
      <c r="CT208" s="3"/>
      <c r="CU208" s="3"/>
      <c r="CV208" s="3"/>
      <c r="CW208" s="3"/>
      <c r="CX208" s="2" t="s">
        <v>113</v>
      </c>
      <c r="CY208" s="2" t="s">
        <v>136</v>
      </c>
    </row>
    <row r="209" spans="1:103" ht="15.75" customHeight="1" x14ac:dyDescent="0.2">
      <c r="A209" s="2" t="s">
        <v>118</v>
      </c>
      <c r="B209" s="2" t="s">
        <v>205</v>
      </c>
      <c r="C209" s="2" t="s">
        <v>312</v>
      </c>
      <c r="D209" s="3"/>
      <c r="E209" s="2" t="s">
        <v>103</v>
      </c>
      <c r="F209" s="3"/>
      <c r="G209" s="3"/>
      <c r="H209" s="2" t="s">
        <v>111</v>
      </c>
      <c r="I209" s="2" t="s">
        <v>115</v>
      </c>
      <c r="J209" s="3"/>
      <c r="K209" s="3"/>
      <c r="L209" s="2" t="s">
        <v>174</v>
      </c>
      <c r="M209" s="2" t="s">
        <v>126</v>
      </c>
      <c r="N209" s="2" t="s">
        <v>112</v>
      </c>
      <c r="O209" s="2" t="s">
        <v>113</v>
      </c>
      <c r="P209" s="3"/>
      <c r="Q209" s="3"/>
      <c r="R209" s="3"/>
      <c r="S209" s="2" t="s">
        <v>145</v>
      </c>
      <c r="T209" s="2" t="s">
        <v>115</v>
      </c>
      <c r="U209" s="3"/>
      <c r="V209" s="2" t="s">
        <v>118</v>
      </c>
      <c r="W209" s="3"/>
      <c r="X209" s="3"/>
      <c r="Y209" s="2" t="s">
        <v>103</v>
      </c>
      <c r="Z209" s="3"/>
      <c r="AA209" s="3"/>
      <c r="AB209" s="2" t="s">
        <v>116</v>
      </c>
      <c r="AC209" s="3"/>
      <c r="AD209" s="2" t="s">
        <v>116</v>
      </c>
      <c r="AE209" s="3"/>
      <c r="AF209" s="3"/>
      <c r="AG209" s="3"/>
      <c r="AH209" s="3"/>
      <c r="AI209" s="3"/>
      <c r="AJ209" s="2" t="s">
        <v>145</v>
      </c>
      <c r="AK209" s="3"/>
      <c r="AL209" s="2" t="s">
        <v>117</v>
      </c>
      <c r="AM209" s="3"/>
      <c r="AN209" s="2" t="s">
        <v>103</v>
      </c>
      <c r="AO209" s="2" t="s">
        <v>116</v>
      </c>
      <c r="AP209" s="3"/>
      <c r="AQ209" s="3"/>
      <c r="AR209" s="3"/>
      <c r="AS209" s="3"/>
      <c r="AT209" s="2" t="s">
        <v>117</v>
      </c>
      <c r="AU209" s="2" t="s">
        <v>113</v>
      </c>
      <c r="AV209" s="2" t="s">
        <v>111</v>
      </c>
      <c r="AW209" s="2" t="s">
        <v>110</v>
      </c>
      <c r="AX209" s="3"/>
      <c r="AY209" s="2" t="s">
        <v>112</v>
      </c>
      <c r="AZ209" s="3"/>
      <c r="BA209" s="3"/>
      <c r="BB209" s="2" t="s">
        <v>116</v>
      </c>
      <c r="BC209" s="2" t="s">
        <v>105</v>
      </c>
      <c r="BD209" s="2" t="s">
        <v>103</v>
      </c>
      <c r="BE209" s="2" t="s">
        <v>108</v>
      </c>
      <c r="BF209" s="2" t="s">
        <v>103</v>
      </c>
      <c r="BG209" s="2" t="s">
        <v>107</v>
      </c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2">
        <f>1/2</f>
        <v>0.5</v>
      </c>
      <c r="CD209" s="2" t="s">
        <v>108</v>
      </c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spans="1:103" ht="15.75" customHeight="1" x14ac:dyDescent="0.2">
      <c r="A210" s="2" t="s">
        <v>154</v>
      </c>
      <c r="B210" s="2" t="s">
        <v>205</v>
      </c>
      <c r="C210" s="2" t="s">
        <v>312</v>
      </c>
      <c r="D210" s="3"/>
      <c r="E210" s="2" t="s">
        <v>103</v>
      </c>
      <c r="F210" s="3"/>
      <c r="G210" s="3"/>
      <c r="H210" s="2" t="s">
        <v>154</v>
      </c>
      <c r="I210" s="2" t="s">
        <v>255</v>
      </c>
      <c r="J210" s="2" t="s">
        <v>115</v>
      </c>
      <c r="K210" s="3"/>
      <c r="L210" s="2" t="s">
        <v>128</v>
      </c>
      <c r="M210" s="2" t="s">
        <v>109</v>
      </c>
      <c r="N210" s="2" t="s">
        <v>145</v>
      </c>
      <c r="O210" s="2" t="s">
        <v>105</v>
      </c>
      <c r="P210" s="3"/>
      <c r="Q210" s="4" t="s">
        <v>136</v>
      </c>
      <c r="R210" s="2" t="s">
        <v>105</v>
      </c>
      <c r="S210" s="2" t="s">
        <v>134</v>
      </c>
      <c r="T210" s="2" t="s">
        <v>139</v>
      </c>
      <c r="U210" s="3"/>
      <c r="V210" s="4" t="s">
        <v>124</v>
      </c>
      <c r="W210" s="3"/>
      <c r="X210" s="3"/>
      <c r="Y210" s="2" t="s">
        <v>103</v>
      </c>
      <c r="Z210" s="3"/>
      <c r="AA210" s="3"/>
      <c r="AB210" s="2" t="s">
        <v>111</v>
      </c>
      <c r="AC210" s="2" t="s">
        <v>116</v>
      </c>
      <c r="AD210" s="2" t="s">
        <v>111</v>
      </c>
      <c r="AE210" s="2" t="s">
        <v>116</v>
      </c>
      <c r="AF210" s="2" t="s">
        <v>116</v>
      </c>
      <c r="AG210" s="3"/>
      <c r="AH210" s="3"/>
      <c r="AI210" s="3"/>
      <c r="AJ210" s="2" t="s">
        <v>135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2" t="s">
        <v>103</v>
      </c>
      <c r="AW210" s="2" t="s">
        <v>105</v>
      </c>
      <c r="AX210" s="3"/>
      <c r="AY210" s="2" t="s">
        <v>109</v>
      </c>
      <c r="AZ210" s="3"/>
      <c r="BA210" s="3"/>
      <c r="BB210" s="3"/>
      <c r="BC210" s="3"/>
      <c r="BD210" s="2">
        <f t="shared" ref="BD210:BD211" si="10">1/2</f>
        <v>0.5</v>
      </c>
      <c r="BE210" s="2" t="s">
        <v>126</v>
      </c>
      <c r="BF210" s="4">
        <f t="shared" ref="BF210:BF211" si="11">1 +(1/2)</f>
        <v>1.5</v>
      </c>
      <c r="BG210" s="2" t="s">
        <v>107</v>
      </c>
      <c r="BH210" s="4">
        <f>1 +(1/2)</f>
        <v>1.5</v>
      </c>
      <c r="BI210" s="2" t="s">
        <v>161</v>
      </c>
      <c r="BJ210" s="2" t="s">
        <v>103</v>
      </c>
      <c r="BK210" s="2" t="s">
        <v>105</v>
      </c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2" t="s">
        <v>117</v>
      </c>
      <c r="CD210" s="2" t="s">
        <v>186</v>
      </c>
      <c r="CE210" s="3"/>
      <c r="CF210" s="3"/>
      <c r="CG210" s="3"/>
      <c r="CH210" s="3"/>
      <c r="CI210" s="2" t="s">
        <v>103</v>
      </c>
      <c r="CJ210" s="2" t="s">
        <v>123</v>
      </c>
      <c r="CK210" s="2" t="s">
        <v>109</v>
      </c>
      <c r="CL210" s="3"/>
      <c r="CM210" s="3"/>
      <c r="CN210" s="3"/>
      <c r="CO210" s="2" t="s">
        <v>108</v>
      </c>
      <c r="CP210" s="3"/>
      <c r="CQ210" s="3"/>
      <c r="CR210" s="3"/>
      <c r="CS210" s="3"/>
      <c r="CT210" s="3"/>
      <c r="CU210" s="3"/>
      <c r="CV210" s="3"/>
      <c r="CW210" s="3"/>
      <c r="CX210" s="2" t="s">
        <v>105</v>
      </c>
      <c r="CY210" s="2" t="s">
        <v>104</v>
      </c>
    </row>
    <row r="211" spans="1:103" ht="15.75" customHeight="1" x14ac:dyDescent="0.2">
      <c r="A211" s="2" t="s">
        <v>105</v>
      </c>
      <c r="B211" s="2" t="s">
        <v>205</v>
      </c>
      <c r="C211" s="2" t="s">
        <v>312</v>
      </c>
      <c r="D211" s="3"/>
      <c r="E211" s="2" t="s">
        <v>103</v>
      </c>
      <c r="F211" s="3"/>
      <c r="G211" s="3"/>
      <c r="H211" s="2" t="s">
        <v>117</v>
      </c>
      <c r="I211" s="2" t="s">
        <v>154</v>
      </c>
      <c r="J211" s="2" t="s">
        <v>116</v>
      </c>
      <c r="K211" s="3"/>
      <c r="L211" s="2" t="s">
        <v>119</v>
      </c>
      <c r="M211" s="2" t="s">
        <v>126</v>
      </c>
      <c r="N211" s="2" t="s">
        <v>112</v>
      </c>
      <c r="O211" s="2" t="s">
        <v>105</v>
      </c>
      <c r="P211" s="3"/>
      <c r="Q211" s="3"/>
      <c r="R211" s="3"/>
      <c r="S211" s="2" t="s">
        <v>130</v>
      </c>
      <c r="T211" s="2" t="s">
        <v>111</v>
      </c>
      <c r="U211" s="3"/>
      <c r="V211" s="2" t="s">
        <v>121</v>
      </c>
      <c r="W211" s="3"/>
      <c r="X211" s="3"/>
      <c r="Y211" s="2" t="s">
        <v>103</v>
      </c>
      <c r="Z211" s="3"/>
      <c r="AA211" s="3"/>
      <c r="AB211" s="2" t="s">
        <v>116</v>
      </c>
      <c r="AC211" s="3"/>
      <c r="AD211" s="2" t="s">
        <v>116</v>
      </c>
      <c r="AE211" s="3"/>
      <c r="AF211" s="2" t="s">
        <v>116</v>
      </c>
      <c r="AG211" s="3"/>
      <c r="AH211" s="3"/>
      <c r="AI211" s="3"/>
      <c r="AJ211" s="2" t="s">
        <v>130</v>
      </c>
      <c r="AK211" s="3"/>
      <c r="AL211" s="2" t="s">
        <v>103</v>
      </c>
      <c r="AM211" s="3"/>
      <c r="AN211" s="3"/>
      <c r="AO211" s="3"/>
      <c r="AP211" s="3"/>
      <c r="AQ211" s="3"/>
      <c r="AR211" s="3"/>
      <c r="AS211" s="3"/>
      <c r="AT211" s="2" t="s">
        <v>103</v>
      </c>
      <c r="AU211" s="2" t="s">
        <v>115</v>
      </c>
      <c r="AV211" s="2" t="s">
        <v>103</v>
      </c>
      <c r="AW211" s="2" t="s">
        <v>139</v>
      </c>
      <c r="AX211" s="3"/>
      <c r="AY211" s="2" t="s">
        <v>109</v>
      </c>
      <c r="AZ211" s="3"/>
      <c r="BA211" s="3"/>
      <c r="BB211" s="2" t="s">
        <v>103</v>
      </c>
      <c r="BC211" s="2" t="s">
        <v>105</v>
      </c>
      <c r="BD211" s="2">
        <f t="shared" si="10"/>
        <v>0.5</v>
      </c>
      <c r="BE211" s="2" t="s">
        <v>113</v>
      </c>
      <c r="BF211" s="4">
        <f t="shared" si="11"/>
        <v>1.5</v>
      </c>
      <c r="BG211" s="2" t="s">
        <v>126</v>
      </c>
      <c r="BH211" s="3"/>
      <c r="BI211" s="3"/>
      <c r="BJ211" s="2" t="s">
        <v>103</v>
      </c>
      <c r="BK211" s="2" t="s">
        <v>113</v>
      </c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2">
        <f t="shared" ref="CC211:CC215" si="12">1/2</f>
        <v>0.5</v>
      </c>
      <c r="CD211" s="2" t="s">
        <v>104</v>
      </c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2" t="s">
        <v>115</v>
      </c>
      <c r="CY211" s="2" t="s">
        <v>124</v>
      </c>
    </row>
    <row r="212" spans="1:103" ht="15.75" customHeight="1" x14ac:dyDescent="0.2">
      <c r="A212" s="2" t="s">
        <v>103</v>
      </c>
      <c r="B212" s="2" t="s">
        <v>166</v>
      </c>
      <c r="C212" s="2" t="s">
        <v>312</v>
      </c>
      <c r="D212" s="3"/>
      <c r="E212" s="2" t="s">
        <v>103</v>
      </c>
      <c r="F212" s="3"/>
      <c r="G212" s="3"/>
      <c r="H212" s="2" t="s">
        <v>151</v>
      </c>
      <c r="I212" s="2" t="s">
        <v>189</v>
      </c>
      <c r="J212" s="2" t="s">
        <v>105</v>
      </c>
      <c r="K212" s="3"/>
      <c r="L212" s="2" t="s">
        <v>128</v>
      </c>
      <c r="M212" s="2" t="s">
        <v>109</v>
      </c>
      <c r="N212" s="2" t="s">
        <v>145</v>
      </c>
      <c r="O212" s="3"/>
      <c r="P212" s="3"/>
      <c r="Q212" s="2" t="s">
        <v>113</v>
      </c>
      <c r="R212" s="2" t="s">
        <v>121</v>
      </c>
      <c r="S212" s="2" t="s">
        <v>134</v>
      </c>
      <c r="T212" s="2" t="s">
        <v>113</v>
      </c>
      <c r="U212" s="3"/>
      <c r="V212" s="2" t="s">
        <v>113</v>
      </c>
      <c r="W212" s="3"/>
      <c r="X212" s="3"/>
      <c r="Y212" s="2" t="s">
        <v>103</v>
      </c>
      <c r="Z212" s="3"/>
      <c r="AA212" s="3"/>
      <c r="AB212" s="2" t="s">
        <v>121</v>
      </c>
      <c r="AC212" s="2" t="s">
        <v>121</v>
      </c>
      <c r="AD212" s="2" t="s">
        <v>111</v>
      </c>
      <c r="AE212" s="3"/>
      <c r="AF212" s="3"/>
      <c r="AG212" s="3"/>
      <c r="AH212" s="2" t="s">
        <v>116</v>
      </c>
      <c r="AI212" s="3"/>
      <c r="AJ212" s="2" t="s">
        <v>134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2" t="s">
        <v>103</v>
      </c>
      <c r="AW212" s="3"/>
      <c r="AX212" s="2" t="s">
        <v>113</v>
      </c>
      <c r="AY212" s="2" t="s">
        <v>130</v>
      </c>
      <c r="AZ212" s="3"/>
      <c r="BA212" s="3"/>
      <c r="BB212" s="4">
        <f>1 +(1/2)</f>
        <v>1.5</v>
      </c>
      <c r="BC212" s="2" t="s">
        <v>115</v>
      </c>
      <c r="BD212" s="2" t="s">
        <v>117</v>
      </c>
      <c r="BE212" s="2" t="s">
        <v>109</v>
      </c>
      <c r="BF212" s="3"/>
      <c r="BG212" s="3"/>
      <c r="BH212" s="2" t="s">
        <v>103</v>
      </c>
      <c r="BI212" s="2" t="s">
        <v>105</v>
      </c>
      <c r="BJ212" s="4">
        <f>1 +(1/2)</f>
        <v>1.5</v>
      </c>
      <c r="BK212" s="2" t="s">
        <v>110</v>
      </c>
      <c r="BL212" s="2" t="s">
        <v>105</v>
      </c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2">
        <f t="shared" si="12"/>
        <v>0.5</v>
      </c>
      <c r="CD212" s="2" t="s">
        <v>136</v>
      </c>
      <c r="CE212" s="3"/>
      <c r="CF212" s="3"/>
      <c r="CG212" s="3"/>
      <c r="CH212" s="3"/>
      <c r="CI212" s="2" t="s">
        <v>103</v>
      </c>
      <c r="CJ212" s="2" t="s">
        <v>126</v>
      </c>
      <c r="CK212" s="2" t="s">
        <v>109</v>
      </c>
      <c r="CL212" s="3"/>
      <c r="CM212" s="3"/>
      <c r="CN212" s="3"/>
      <c r="CO212" s="2" t="s">
        <v>113</v>
      </c>
      <c r="CP212" s="3"/>
      <c r="CQ212" s="3"/>
      <c r="CR212" s="3"/>
      <c r="CS212" s="3"/>
      <c r="CT212" s="3"/>
      <c r="CU212" s="3"/>
      <c r="CV212" s="3"/>
      <c r="CW212" s="3"/>
      <c r="CX212" s="2" t="s">
        <v>105</v>
      </c>
      <c r="CY212" s="2" t="s">
        <v>113</v>
      </c>
    </row>
    <row r="213" spans="1:103" ht="15.75" customHeight="1" x14ac:dyDescent="0.2">
      <c r="A213" s="2" t="s">
        <v>116</v>
      </c>
      <c r="B213" s="2" t="s">
        <v>166</v>
      </c>
      <c r="C213" s="2" t="s">
        <v>312</v>
      </c>
      <c r="D213" s="3"/>
      <c r="E213" s="2" t="s">
        <v>103</v>
      </c>
      <c r="F213" s="3"/>
      <c r="G213" s="3"/>
      <c r="H213" s="2" t="s">
        <v>137</v>
      </c>
      <c r="I213" s="2" t="s">
        <v>166</v>
      </c>
      <c r="J213" s="2" t="s">
        <v>154</v>
      </c>
      <c r="K213" s="3"/>
      <c r="L213" s="2" t="s">
        <v>128</v>
      </c>
      <c r="M213" s="2" t="s">
        <v>112</v>
      </c>
      <c r="N213" s="2" t="s">
        <v>134</v>
      </c>
      <c r="O213" s="2" t="s">
        <v>105</v>
      </c>
      <c r="P213" s="3"/>
      <c r="Q213" s="2" t="s">
        <v>171</v>
      </c>
      <c r="R213" s="2" t="s">
        <v>292</v>
      </c>
      <c r="S213" s="2" t="s">
        <v>142</v>
      </c>
      <c r="T213" s="2" t="s">
        <v>110</v>
      </c>
      <c r="U213" s="3"/>
      <c r="V213" s="2" t="s">
        <v>108</v>
      </c>
      <c r="W213" s="3"/>
      <c r="X213" s="3"/>
      <c r="Y213" s="2" t="s">
        <v>116</v>
      </c>
      <c r="Z213" s="3"/>
      <c r="AA213" s="3"/>
      <c r="AB213" s="2" t="s">
        <v>121</v>
      </c>
      <c r="AC213" s="2" t="s">
        <v>117</v>
      </c>
      <c r="AD213" s="2" t="s">
        <v>121</v>
      </c>
      <c r="AE213" s="3"/>
      <c r="AF213" s="3"/>
      <c r="AG213" s="3"/>
      <c r="AH213" s="3"/>
      <c r="AI213" s="3"/>
      <c r="AJ213" s="2" t="s">
        <v>109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2" t="s">
        <v>116</v>
      </c>
      <c r="AW213" s="3"/>
      <c r="AX213" s="2" t="s">
        <v>113</v>
      </c>
      <c r="AY213" s="2" t="s">
        <v>130</v>
      </c>
      <c r="AZ213" s="2" t="s">
        <v>103</v>
      </c>
      <c r="BA213" s="2" t="s">
        <v>113</v>
      </c>
      <c r="BB213" s="3"/>
      <c r="BC213" s="3"/>
      <c r="BD213" s="2" t="s">
        <v>116</v>
      </c>
      <c r="BE213" s="2" t="s">
        <v>109</v>
      </c>
      <c r="BF213" s="2" t="s">
        <v>117</v>
      </c>
      <c r="BG213" s="2" t="s">
        <v>114</v>
      </c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2">
        <f t="shared" si="12"/>
        <v>0.5</v>
      </c>
      <c r="CD213" s="2" t="s">
        <v>123</v>
      </c>
      <c r="CE213" s="3"/>
      <c r="CF213" s="3"/>
      <c r="CG213" s="3"/>
      <c r="CH213" s="3"/>
      <c r="CI213" s="2" t="s">
        <v>103</v>
      </c>
      <c r="CJ213" s="2" t="s">
        <v>126</v>
      </c>
      <c r="CK213" s="2" t="s">
        <v>130</v>
      </c>
      <c r="CL213" s="3"/>
      <c r="CM213" s="3"/>
      <c r="CN213" s="3"/>
      <c r="CO213" s="2" t="s">
        <v>109</v>
      </c>
      <c r="CP213" s="3"/>
      <c r="CQ213" s="3"/>
      <c r="CR213" s="3"/>
      <c r="CS213" s="3"/>
      <c r="CT213" s="3"/>
      <c r="CU213" s="3"/>
      <c r="CV213" s="3"/>
      <c r="CW213" s="3"/>
      <c r="CX213" s="2" t="s">
        <v>105</v>
      </c>
      <c r="CY213" s="2" t="s">
        <v>108</v>
      </c>
    </row>
    <row r="214" spans="1:103" ht="15.75" customHeight="1" x14ac:dyDescent="0.2">
      <c r="A214" s="2" t="s">
        <v>117</v>
      </c>
      <c r="B214" s="2" t="s">
        <v>166</v>
      </c>
      <c r="C214" s="2" t="s">
        <v>312</v>
      </c>
      <c r="D214" s="3"/>
      <c r="E214" s="2" t="s">
        <v>103</v>
      </c>
      <c r="F214" s="3"/>
      <c r="G214" s="3"/>
      <c r="H214" s="2" t="s">
        <v>137</v>
      </c>
      <c r="I214" s="2" t="s">
        <v>124</v>
      </c>
      <c r="J214" s="3"/>
      <c r="K214" s="3"/>
      <c r="L214" s="2" t="s">
        <v>174</v>
      </c>
      <c r="M214" s="2" t="s">
        <v>112</v>
      </c>
      <c r="N214" s="2" t="s">
        <v>130</v>
      </c>
      <c r="O214" s="2" t="s">
        <v>105</v>
      </c>
      <c r="P214" s="3"/>
      <c r="Q214" s="4" t="s">
        <v>109</v>
      </c>
      <c r="R214" s="2" t="s">
        <v>104</v>
      </c>
      <c r="S214" s="2" t="s">
        <v>134</v>
      </c>
      <c r="T214" s="2" t="s">
        <v>137</v>
      </c>
      <c r="U214" s="3"/>
      <c r="V214" s="2" t="s">
        <v>137</v>
      </c>
      <c r="W214" s="3"/>
      <c r="X214" s="3"/>
      <c r="Y214" s="2" t="s">
        <v>103</v>
      </c>
      <c r="Z214" s="3"/>
      <c r="AA214" s="3"/>
      <c r="AB214" s="2" t="s">
        <v>116</v>
      </c>
      <c r="AC214" s="2" t="s">
        <v>116</v>
      </c>
      <c r="AD214" s="2" t="s">
        <v>116</v>
      </c>
      <c r="AE214" s="3"/>
      <c r="AF214" s="2" t="s">
        <v>116</v>
      </c>
      <c r="AG214" s="2" t="s">
        <v>103</v>
      </c>
      <c r="AH214" s="3"/>
      <c r="AI214" s="3"/>
      <c r="AJ214" s="2" t="s">
        <v>131</v>
      </c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2" t="s">
        <v>103</v>
      </c>
      <c r="AW214" s="3"/>
      <c r="AX214" s="2" t="s">
        <v>105</v>
      </c>
      <c r="AY214" s="2" t="s">
        <v>181</v>
      </c>
      <c r="AZ214" s="3"/>
      <c r="BA214" s="3"/>
      <c r="BB214" s="3"/>
      <c r="BC214" s="3"/>
      <c r="BD214" s="2" t="s">
        <v>103</v>
      </c>
      <c r="BE214" s="2" t="s">
        <v>255</v>
      </c>
      <c r="BF214" s="2" t="s">
        <v>111</v>
      </c>
      <c r="BG214" s="2" t="s">
        <v>123</v>
      </c>
      <c r="BH214" s="3"/>
      <c r="BI214" s="3"/>
      <c r="BJ214" s="4">
        <f>1 +(3/4)</f>
        <v>1.75</v>
      </c>
      <c r="BK214" s="2" t="s">
        <v>156</v>
      </c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2">
        <f t="shared" si="12"/>
        <v>0.5</v>
      </c>
      <c r="CD214" s="2" t="s">
        <v>109</v>
      </c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2" t="s">
        <v>111</v>
      </c>
      <c r="CQ214" s="2" t="s">
        <v>145</v>
      </c>
      <c r="CR214" s="3"/>
      <c r="CS214" s="3"/>
      <c r="CT214" s="3"/>
      <c r="CU214" s="2" t="s">
        <v>104</v>
      </c>
      <c r="CV214" s="2" t="s">
        <v>104</v>
      </c>
      <c r="CW214" s="3"/>
      <c r="CX214" s="3"/>
      <c r="CY214" s="3"/>
    </row>
    <row r="215" spans="1:103" ht="15.75" customHeight="1" x14ac:dyDescent="0.2">
      <c r="A215" s="2" t="s">
        <v>111</v>
      </c>
      <c r="B215" s="2" t="s">
        <v>166</v>
      </c>
      <c r="C215" s="2" t="s">
        <v>312</v>
      </c>
      <c r="D215" s="3"/>
      <c r="E215" s="3"/>
      <c r="F215" s="2" t="s">
        <v>103</v>
      </c>
      <c r="G215" s="3"/>
      <c r="H215" s="2" t="s">
        <v>137</v>
      </c>
      <c r="I215" s="2" t="s">
        <v>107</v>
      </c>
      <c r="J215" s="2" t="s">
        <v>117</v>
      </c>
      <c r="K215" s="3"/>
      <c r="L215" s="4" t="s">
        <v>128</v>
      </c>
      <c r="M215" s="2" t="s">
        <v>109</v>
      </c>
      <c r="N215" s="2" t="s">
        <v>135</v>
      </c>
      <c r="O215" s="3"/>
      <c r="P215" s="3"/>
      <c r="Q215" s="2" t="s">
        <v>109</v>
      </c>
      <c r="R215" s="2" t="s">
        <v>113</v>
      </c>
      <c r="S215" s="2" t="s">
        <v>135</v>
      </c>
      <c r="T215" s="2" t="s">
        <v>113</v>
      </c>
      <c r="U215" s="3"/>
      <c r="V215" s="2" t="s">
        <v>113</v>
      </c>
      <c r="W215" s="3"/>
      <c r="X215" s="3"/>
      <c r="Y215" s="2" t="s">
        <v>116</v>
      </c>
      <c r="Z215" s="3"/>
      <c r="AA215" s="3"/>
      <c r="AB215" s="2" t="s">
        <v>105</v>
      </c>
      <c r="AC215" s="3"/>
      <c r="AD215" s="2" t="s">
        <v>118</v>
      </c>
      <c r="AE215" s="3"/>
      <c r="AF215" s="3"/>
      <c r="AG215" s="3"/>
      <c r="AH215" s="3"/>
      <c r="AI215" s="3"/>
      <c r="AJ215" s="2" t="s">
        <v>177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2" t="s">
        <v>116</v>
      </c>
      <c r="AW215" s="3"/>
      <c r="AX215" s="2" t="s">
        <v>113</v>
      </c>
      <c r="AY215" s="2" t="s">
        <v>130</v>
      </c>
      <c r="AZ215" s="3"/>
      <c r="BA215" s="3"/>
      <c r="BB215" s="3"/>
      <c r="BC215" s="3"/>
      <c r="BD215" s="2" t="s">
        <v>116</v>
      </c>
      <c r="BE215" s="2" t="s">
        <v>126</v>
      </c>
      <c r="BF215" s="2" t="s">
        <v>117</v>
      </c>
      <c r="BG215" s="2" t="s">
        <v>208</v>
      </c>
      <c r="BH215" s="3"/>
      <c r="BI215" s="3"/>
      <c r="BJ215" s="4" t="s">
        <v>103</v>
      </c>
      <c r="BK215" s="2" t="s">
        <v>110</v>
      </c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2">
        <f t="shared" si="12"/>
        <v>0.5</v>
      </c>
      <c r="CD215" s="2" t="s">
        <v>136</v>
      </c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spans="1:103" ht="15.75" customHeight="1" x14ac:dyDescent="0.2">
      <c r="A216" s="2" t="s">
        <v>121</v>
      </c>
      <c r="B216" s="2" t="s">
        <v>166</v>
      </c>
      <c r="C216" s="2" t="s">
        <v>312</v>
      </c>
      <c r="D216" s="3"/>
      <c r="E216" s="2" t="s">
        <v>103</v>
      </c>
      <c r="F216" s="3"/>
      <c r="G216" s="3"/>
      <c r="H216" s="2" t="s">
        <v>139</v>
      </c>
      <c r="I216" s="2" t="s">
        <v>255</v>
      </c>
      <c r="J216" s="3"/>
      <c r="K216" s="3"/>
      <c r="L216" s="2" t="s">
        <v>128</v>
      </c>
      <c r="M216" s="2" t="s">
        <v>109</v>
      </c>
      <c r="N216" s="2" t="s">
        <v>131</v>
      </c>
      <c r="O216" s="3"/>
      <c r="P216" s="3"/>
      <c r="Q216" s="4" t="s">
        <v>120</v>
      </c>
      <c r="R216" s="2" t="s">
        <v>115</v>
      </c>
      <c r="S216" s="2" t="s">
        <v>135</v>
      </c>
      <c r="T216" s="2" t="s">
        <v>113</v>
      </c>
      <c r="U216" s="3"/>
      <c r="V216" s="2" t="s">
        <v>113</v>
      </c>
      <c r="W216" s="3"/>
      <c r="X216" s="3"/>
      <c r="Y216" s="2" t="s">
        <v>117</v>
      </c>
      <c r="Z216" s="3"/>
      <c r="AA216" s="3"/>
      <c r="AB216" s="2" t="s">
        <v>111</v>
      </c>
      <c r="AC216" s="3"/>
      <c r="AD216" s="2" t="s">
        <v>117</v>
      </c>
      <c r="AE216" s="3"/>
      <c r="AF216" s="2" t="s">
        <v>117</v>
      </c>
      <c r="AG216" s="3"/>
      <c r="AH216" s="3"/>
      <c r="AI216" s="3"/>
      <c r="AJ216" s="2" t="s">
        <v>135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2" t="s">
        <v>116</v>
      </c>
      <c r="AW216" s="2" t="s">
        <v>108</v>
      </c>
      <c r="AX216" s="2" t="s">
        <v>196</v>
      </c>
      <c r="AY216" s="2" t="s">
        <v>145</v>
      </c>
      <c r="AZ216" s="3"/>
      <c r="BA216" s="3"/>
      <c r="BB216" s="3"/>
      <c r="BC216" s="3"/>
      <c r="BD216" s="2" t="s">
        <v>116</v>
      </c>
      <c r="BE216" s="2" t="s">
        <v>113</v>
      </c>
      <c r="BF216" s="2" t="s">
        <v>121</v>
      </c>
      <c r="BG216" s="2" t="s">
        <v>159</v>
      </c>
      <c r="BH216" s="3"/>
      <c r="BI216" s="3"/>
      <c r="BJ216" s="4" t="s">
        <v>117</v>
      </c>
      <c r="BK216" s="2" t="s">
        <v>107</v>
      </c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2" t="s">
        <v>116</v>
      </c>
      <c r="CD216" s="2" t="s">
        <v>126</v>
      </c>
      <c r="CE216" s="3"/>
      <c r="CF216" s="3"/>
      <c r="CG216" s="3"/>
      <c r="CH216" s="3"/>
      <c r="CI216" s="2" t="s">
        <v>115</v>
      </c>
      <c r="CJ216" s="2" t="s">
        <v>123</v>
      </c>
      <c r="CK216" s="2" t="s">
        <v>104</v>
      </c>
      <c r="CL216" s="3"/>
      <c r="CM216" s="3"/>
      <c r="CN216" s="3"/>
      <c r="CO216" s="2" t="s">
        <v>124</v>
      </c>
      <c r="CP216" s="3"/>
      <c r="CQ216" s="3"/>
      <c r="CR216" s="3"/>
      <c r="CS216" s="3"/>
      <c r="CT216" s="3"/>
      <c r="CU216" s="3"/>
      <c r="CV216" s="3"/>
      <c r="CW216" s="3"/>
      <c r="CX216" s="2" t="s">
        <v>293</v>
      </c>
      <c r="CY216" s="2" t="s">
        <v>142</v>
      </c>
    </row>
    <row r="217" spans="1:103" ht="15.75" customHeight="1" x14ac:dyDescent="0.2">
      <c r="A217" s="2" t="s">
        <v>115</v>
      </c>
      <c r="B217" s="2" t="s">
        <v>166</v>
      </c>
      <c r="C217" s="2" t="s">
        <v>312</v>
      </c>
      <c r="D217" s="3"/>
      <c r="E217" s="2" t="s">
        <v>103</v>
      </c>
      <c r="F217" s="3"/>
      <c r="G217" s="3"/>
      <c r="H217" s="2" t="s">
        <v>151</v>
      </c>
      <c r="I217" s="2" t="s">
        <v>294</v>
      </c>
      <c r="J217" s="2" t="s">
        <v>115</v>
      </c>
      <c r="K217" s="3"/>
      <c r="L217" s="2" t="s">
        <v>295</v>
      </c>
      <c r="M217" s="2" t="s">
        <v>130</v>
      </c>
      <c r="N217" s="2" t="s">
        <v>155</v>
      </c>
      <c r="O217" s="4" t="s">
        <v>113</v>
      </c>
      <c r="P217" s="3"/>
      <c r="Q217" s="2" t="s">
        <v>109</v>
      </c>
      <c r="R217" s="2" t="s">
        <v>109</v>
      </c>
      <c r="S217" s="2" t="s">
        <v>193</v>
      </c>
      <c r="T217" s="2" t="s">
        <v>136</v>
      </c>
      <c r="U217" s="3"/>
      <c r="V217" s="2" t="s">
        <v>109</v>
      </c>
      <c r="W217" s="3"/>
      <c r="X217" s="3"/>
      <c r="Y217" s="2" t="s">
        <v>105</v>
      </c>
      <c r="Z217" s="3"/>
      <c r="AA217" s="3"/>
      <c r="AB217" s="2" t="s">
        <v>115</v>
      </c>
      <c r="AC217" s="2" t="s">
        <v>154</v>
      </c>
      <c r="AD217" s="3"/>
      <c r="AE217" s="3"/>
      <c r="AF217" s="2" t="s">
        <v>154</v>
      </c>
      <c r="AG217" s="3"/>
      <c r="AH217" s="3"/>
      <c r="AI217" s="3"/>
      <c r="AJ217" s="2" t="s">
        <v>119</v>
      </c>
      <c r="AK217" s="3"/>
      <c r="AL217" s="2" t="s">
        <v>296</v>
      </c>
      <c r="AM217" s="2" t="s">
        <v>233</v>
      </c>
      <c r="AN217" s="2" t="s">
        <v>180</v>
      </c>
      <c r="AO217" s="2" t="s">
        <v>137</v>
      </c>
      <c r="AP217" s="3"/>
      <c r="AQ217" s="2" t="s">
        <v>103</v>
      </c>
      <c r="AR217" s="3"/>
      <c r="AS217" s="3"/>
      <c r="AT217" s="2" t="s">
        <v>297</v>
      </c>
      <c r="AU217" s="2" t="s">
        <v>163</v>
      </c>
      <c r="AV217" s="2" t="s">
        <v>116</v>
      </c>
      <c r="AW217" s="2" t="s">
        <v>108</v>
      </c>
      <c r="AX217" s="3"/>
      <c r="AY217" s="2" t="s">
        <v>129</v>
      </c>
      <c r="AZ217" s="2" t="s">
        <v>115</v>
      </c>
      <c r="BA217" s="2" t="s">
        <v>298</v>
      </c>
      <c r="BB217" s="3"/>
      <c r="BC217" s="3"/>
      <c r="BD217" s="2" t="s">
        <v>117</v>
      </c>
      <c r="BE217" s="2" t="s">
        <v>136</v>
      </c>
      <c r="BF217" s="2" t="s">
        <v>121</v>
      </c>
      <c r="BG217" s="2" t="s">
        <v>299</v>
      </c>
      <c r="BH217" s="3"/>
      <c r="BI217" s="3"/>
      <c r="BJ217" s="3"/>
      <c r="BK217" s="3"/>
      <c r="BL217" s="2" t="s">
        <v>110</v>
      </c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2">
        <f>1/2</f>
        <v>0.5</v>
      </c>
      <c r="CD217" s="2" t="s">
        <v>136</v>
      </c>
      <c r="CE217" s="3"/>
      <c r="CF217" s="3"/>
      <c r="CG217" s="3"/>
      <c r="CH217" s="3"/>
      <c r="CI217" s="2" t="s">
        <v>154</v>
      </c>
      <c r="CJ217" s="2" t="s">
        <v>132</v>
      </c>
      <c r="CK217" s="2" t="s">
        <v>130</v>
      </c>
      <c r="CL217" s="3"/>
      <c r="CM217" s="3"/>
      <c r="CN217" s="3"/>
      <c r="CO217" s="2" t="s">
        <v>109</v>
      </c>
      <c r="CP217" s="3"/>
      <c r="CQ217" s="3"/>
      <c r="CR217" s="3"/>
      <c r="CS217" s="3"/>
      <c r="CT217" s="3"/>
      <c r="CU217" s="3"/>
      <c r="CV217" s="3"/>
      <c r="CW217" s="3"/>
      <c r="CX217" s="2" t="s">
        <v>105</v>
      </c>
      <c r="CY217" s="2" t="s">
        <v>104</v>
      </c>
    </row>
    <row r="218" spans="1:103" ht="15.75" customHeight="1" x14ac:dyDescent="0.2">
      <c r="A218" s="2" t="s">
        <v>137</v>
      </c>
      <c r="B218" s="2" t="s">
        <v>166</v>
      </c>
      <c r="C218" s="2" t="s">
        <v>312</v>
      </c>
      <c r="D218" s="3"/>
      <c r="E218" s="3"/>
      <c r="F218" s="2" t="s">
        <v>103</v>
      </c>
      <c r="G218" s="3"/>
      <c r="H218" s="2" t="s">
        <v>116</v>
      </c>
      <c r="I218" s="2" t="s">
        <v>113</v>
      </c>
      <c r="J218" s="2" t="s">
        <v>137</v>
      </c>
      <c r="K218" s="3"/>
      <c r="L218" s="2" t="s">
        <v>155</v>
      </c>
      <c r="M218" s="2" t="s">
        <v>109</v>
      </c>
      <c r="N218" s="2" t="s">
        <v>135</v>
      </c>
      <c r="O218" s="3"/>
      <c r="P218" s="3"/>
      <c r="Q218" s="2" t="s">
        <v>105</v>
      </c>
      <c r="R218" s="2" t="s">
        <v>105</v>
      </c>
      <c r="S218" s="2" t="s">
        <v>131</v>
      </c>
      <c r="T218" s="2" t="s">
        <v>105</v>
      </c>
      <c r="U218" s="3"/>
      <c r="V218" s="2" t="s">
        <v>105</v>
      </c>
      <c r="W218" s="3"/>
      <c r="X218" s="3"/>
      <c r="Y218" s="2" t="s">
        <v>117</v>
      </c>
      <c r="Z218" s="3"/>
      <c r="AA218" s="3"/>
      <c r="AB218" s="2" t="s">
        <v>115</v>
      </c>
      <c r="AC218" s="2" t="s">
        <v>117</v>
      </c>
      <c r="AD218" s="2" t="s">
        <v>115</v>
      </c>
      <c r="AE218" s="3"/>
      <c r="AF218" s="2" t="s">
        <v>117</v>
      </c>
      <c r="AG218" s="3"/>
      <c r="AH218" s="3"/>
      <c r="AI218" s="3"/>
      <c r="AJ218" s="2" t="s">
        <v>149</v>
      </c>
      <c r="AK218" s="3"/>
      <c r="AL218" s="2" t="s">
        <v>138</v>
      </c>
      <c r="AM218" s="3"/>
      <c r="AN218" s="3"/>
      <c r="AO218" s="3"/>
      <c r="AP218" s="3"/>
      <c r="AQ218" s="3"/>
      <c r="AR218" s="3"/>
      <c r="AS218" s="3"/>
      <c r="AT218" s="2" t="s">
        <v>138</v>
      </c>
      <c r="AU218" s="2" t="s">
        <v>114</v>
      </c>
      <c r="AV218" s="2" t="s">
        <v>117</v>
      </c>
      <c r="AW218" s="2" t="s">
        <v>108</v>
      </c>
      <c r="AX218" s="3"/>
      <c r="AY218" s="2" t="s">
        <v>129</v>
      </c>
      <c r="AZ218" s="3"/>
      <c r="BA218" s="3"/>
      <c r="BB218" s="3"/>
      <c r="BC218" s="3"/>
      <c r="BD218" s="2" t="s">
        <v>103</v>
      </c>
      <c r="BE218" s="2" t="s">
        <v>126</v>
      </c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2" t="s">
        <v>103</v>
      </c>
      <c r="CD218" s="2" t="s">
        <v>109</v>
      </c>
      <c r="CE218" s="3"/>
      <c r="CF218" s="3"/>
      <c r="CG218" s="3"/>
      <c r="CH218" s="3"/>
      <c r="CI218" s="2" t="s">
        <v>103</v>
      </c>
      <c r="CJ218" s="2" t="s">
        <v>126</v>
      </c>
      <c r="CK218" s="2" t="s">
        <v>113</v>
      </c>
      <c r="CL218" s="3"/>
      <c r="CM218" s="3"/>
      <c r="CN218" s="3"/>
      <c r="CO218" s="2" t="s">
        <v>105</v>
      </c>
      <c r="CP218" s="3"/>
      <c r="CQ218" s="3"/>
      <c r="CR218" s="3"/>
      <c r="CS218" s="3"/>
      <c r="CT218" s="3"/>
      <c r="CU218" s="3"/>
      <c r="CV218" s="3"/>
      <c r="CW218" s="3"/>
      <c r="CX218" s="2" t="s">
        <v>105</v>
      </c>
      <c r="CY218" s="2" t="s">
        <v>104</v>
      </c>
    </row>
    <row r="219" spans="1:103" ht="15.75" customHeight="1" x14ac:dyDescent="0.2">
      <c r="A219" s="2" t="s">
        <v>118</v>
      </c>
      <c r="B219" s="2" t="s">
        <v>166</v>
      </c>
      <c r="C219" s="2" t="s">
        <v>312</v>
      </c>
      <c r="D219" s="3"/>
      <c r="E219" s="2" t="s">
        <v>103</v>
      </c>
      <c r="F219" s="3"/>
      <c r="G219" s="3"/>
      <c r="H219" s="2" t="s">
        <v>115</v>
      </c>
      <c r="I219" s="2" t="s">
        <v>208</v>
      </c>
      <c r="J219" s="2" t="s">
        <v>105</v>
      </c>
      <c r="K219" s="3"/>
      <c r="L219" s="2" t="s">
        <v>148</v>
      </c>
      <c r="M219" s="2" t="s">
        <v>112</v>
      </c>
      <c r="N219" s="2" t="s">
        <v>142</v>
      </c>
      <c r="O219" s="2" t="s">
        <v>105</v>
      </c>
      <c r="P219" s="3"/>
      <c r="Q219" s="2" t="s">
        <v>126</v>
      </c>
      <c r="R219" s="2" t="s">
        <v>126</v>
      </c>
      <c r="S219" s="2" t="s">
        <v>147</v>
      </c>
      <c r="T219" s="2" t="s">
        <v>107</v>
      </c>
      <c r="U219" s="3"/>
      <c r="V219" s="2" t="s">
        <v>136</v>
      </c>
      <c r="W219" s="3"/>
      <c r="X219" s="3"/>
      <c r="Y219" s="2" t="s">
        <v>116</v>
      </c>
      <c r="Z219" s="3"/>
      <c r="AA219" s="3"/>
      <c r="AB219" s="2" t="s">
        <v>151</v>
      </c>
      <c r="AC219" s="2" t="s">
        <v>121</v>
      </c>
      <c r="AD219" s="2" t="s">
        <v>151</v>
      </c>
      <c r="AE219" s="3"/>
      <c r="AF219" s="2" t="s">
        <v>151</v>
      </c>
      <c r="AG219" s="3"/>
      <c r="AH219" s="3"/>
      <c r="AI219" s="3"/>
      <c r="AJ219" s="2" t="s">
        <v>125</v>
      </c>
      <c r="AK219" s="3"/>
      <c r="AL219" s="2" t="s">
        <v>107</v>
      </c>
      <c r="AM219" s="2" t="s">
        <v>110</v>
      </c>
      <c r="AN219" s="3"/>
      <c r="AO219" s="2" t="s">
        <v>124</v>
      </c>
      <c r="AP219" s="3"/>
      <c r="AQ219" s="3"/>
      <c r="AR219" s="3"/>
      <c r="AS219" s="3"/>
      <c r="AT219" s="2" t="s">
        <v>104</v>
      </c>
      <c r="AU219" s="2" t="s">
        <v>245</v>
      </c>
      <c r="AV219" s="2" t="s">
        <v>116</v>
      </c>
      <c r="AW219" s="2" t="s">
        <v>124</v>
      </c>
      <c r="AX219" s="3"/>
      <c r="AY219" s="2" t="s">
        <v>182</v>
      </c>
      <c r="AZ219" s="3"/>
      <c r="BA219" s="3"/>
      <c r="BB219" s="3"/>
      <c r="BC219" s="3"/>
      <c r="BD219" s="4">
        <f>2 +(1/2)</f>
        <v>2.5</v>
      </c>
      <c r="BE219" s="2" t="s">
        <v>123</v>
      </c>
      <c r="BF219" s="4">
        <f>2 +(1/2)</f>
        <v>2.5</v>
      </c>
      <c r="BG219" s="2" t="s">
        <v>171</v>
      </c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2">
        <f t="shared" ref="CC219:CC220" si="13">1/2</f>
        <v>0.5</v>
      </c>
      <c r="CD219" s="2" t="s">
        <v>104</v>
      </c>
      <c r="CE219" s="3"/>
      <c r="CF219" s="3"/>
      <c r="CG219" s="3"/>
      <c r="CH219" s="3"/>
      <c r="CI219" s="2" t="s">
        <v>103</v>
      </c>
      <c r="CJ219" s="2" t="s">
        <v>126</v>
      </c>
      <c r="CK219" s="2" t="s">
        <v>109</v>
      </c>
      <c r="CL219" s="3"/>
      <c r="CM219" s="3"/>
      <c r="CN219" s="3"/>
      <c r="CO219" s="2" t="s">
        <v>126</v>
      </c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spans="1:103" ht="15.75" customHeight="1" x14ac:dyDescent="0.2">
      <c r="A220" s="2" t="s">
        <v>154</v>
      </c>
      <c r="B220" s="2" t="s">
        <v>166</v>
      </c>
      <c r="C220" s="2" t="s">
        <v>312</v>
      </c>
      <c r="D220" s="3"/>
      <c r="E220" s="2" t="s">
        <v>103</v>
      </c>
      <c r="F220" s="3"/>
      <c r="G220" s="3"/>
      <c r="H220" s="2" t="s">
        <v>111</v>
      </c>
      <c r="I220" s="2" t="s">
        <v>184</v>
      </c>
      <c r="J220" s="2" t="s">
        <v>105</v>
      </c>
      <c r="K220" s="3"/>
      <c r="L220" s="2" t="s">
        <v>128</v>
      </c>
      <c r="M220" s="2" t="s">
        <v>109</v>
      </c>
      <c r="N220" s="2" t="s">
        <v>129</v>
      </c>
      <c r="O220" s="2" t="s">
        <v>105</v>
      </c>
      <c r="P220" s="3"/>
      <c r="Q220" s="2" t="s">
        <v>107</v>
      </c>
      <c r="R220" s="2" t="s">
        <v>107</v>
      </c>
      <c r="S220" s="2" t="s">
        <v>165</v>
      </c>
      <c r="T220" s="2" t="s">
        <v>105</v>
      </c>
      <c r="U220" s="3"/>
      <c r="V220" s="2" t="s">
        <v>105</v>
      </c>
      <c r="W220" s="3"/>
      <c r="X220" s="3"/>
      <c r="Y220" s="2" t="s">
        <v>103</v>
      </c>
      <c r="Z220" s="3"/>
      <c r="AA220" s="3"/>
      <c r="AB220" s="2" t="s">
        <v>116</v>
      </c>
      <c r="AC220" s="2">
        <f>1/2</f>
        <v>0.5</v>
      </c>
      <c r="AD220" s="2" t="s">
        <v>116</v>
      </c>
      <c r="AE220" s="3"/>
      <c r="AF220" s="2" t="s">
        <v>116</v>
      </c>
      <c r="AG220" s="3"/>
      <c r="AH220" s="3"/>
      <c r="AI220" s="3"/>
      <c r="AJ220" s="2" t="s">
        <v>131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2" t="s">
        <v>111</v>
      </c>
      <c r="BG220" s="2" t="s">
        <v>140</v>
      </c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2">
        <f t="shared" si="13"/>
        <v>0.5</v>
      </c>
      <c r="CD220" s="2" t="s">
        <v>113</v>
      </c>
      <c r="CE220" s="3"/>
      <c r="CF220" s="3"/>
      <c r="CG220" s="3"/>
      <c r="CH220" s="3"/>
      <c r="CI220" s="2" t="s">
        <v>103</v>
      </c>
      <c r="CJ220" s="2" t="s">
        <v>109</v>
      </c>
      <c r="CK220" s="2" t="s">
        <v>134</v>
      </c>
      <c r="CL220" s="3"/>
      <c r="CM220" s="3"/>
      <c r="CN220" s="3"/>
      <c r="CO220" s="2" t="s">
        <v>145</v>
      </c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spans="1:103" ht="15.75" customHeight="1" x14ac:dyDescent="0.2">
      <c r="A221" s="2" t="s">
        <v>105</v>
      </c>
      <c r="B221" s="2" t="s">
        <v>166</v>
      </c>
      <c r="C221" s="2" t="s">
        <v>312</v>
      </c>
      <c r="D221" s="3"/>
      <c r="E221" s="2" t="s">
        <v>103</v>
      </c>
      <c r="F221" s="3"/>
      <c r="G221" s="3"/>
      <c r="H221" s="2" t="s">
        <v>117</v>
      </c>
      <c r="I221" s="2" t="s">
        <v>111</v>
      </c>
      <c r="J221" s="3"/>
      <c r="K221" s="3"/>
      <c r="L221" s="2" t="s">
        <v>174</v>
      </c>
      <c r="M221" s="2" t="s">
        <v>126</v>
      </c>
      <c r="N221" s="2" t="s">
        <v>112</v>
      </c>
      <c r="O221" s="3"/>
      <c r="P221" s="3"/>
      <c r="Q221" s="2" t="s">
        <v>116</v>
      </c>
      <c r="R221" s="2" t="s">
        <v>116</v>
      </c>
      <c r="S221" s="2" t="s">
        <v>112</v>
      </c>
      <c r="T221" s="3"/>
      <c r="U221" s="3"/>
      <c r="V221" s="2" t="s">
        <v>111</v>
      </c>
      <c r="W221" s="3"/>
      <c r="X221" s="3"/>
      <c r="Y221" s="2" t="s">
        <v>103</v>
      </c>
      <c r="Z221" s="3"/>
      <c r="AA221" s="3"/>
      <c r="AB221" s="2" t="s">
        <v>103</v>
      </c>
      <c r="AC221" s="2" t="s">
        <v>103</v>
      </c>
      <c r="AD221" s="2" t="s">
        <v>103</v>
      </c>
      <c r="AE221" s="3"/>
      <c r="AF221" s="2" t="s">
        <v>103</v>
      </c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2" t="s">
        <v>103</v>
      </c>
      <c r="AW221" s="2" t="s">
        <v>105</v>
      </c>
      <c r="AX221" s="3"/>
      <c r="AY221" s="2" t="s">
        <v>109</v>
      </c>
      <c r="AZ221" s="3"/>
      <c r="BA221" s="3"/>
      <c r="BB221" s="3"/>
      <c r="BC221" s="3"/>
      <c r="BD221" s="4">
        <f>1 +(1/2)</f>
        <v>1.5</v>
      </c>
      <c r="BE221" s="2" t="s">
        <v>110</v>
      </c>
      <c r="BF221" s="3"/>
      <c r="BG221" s="3"/>
      <c r="BH221" s="3"/>
      <c r="BI221" s="3"/>
      <c r="BJ221" s="2" t="s">
        <v>103</v>
      </c>
      <c r="BK221" s="2" t="s">
        <v>141</v>
      </c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spans="1:103" ht="15.75" customHeight="1" x14ac:dyDescent="0.2">
      <c r="A222" s="2" t="s">
        <v>103</v>
      </c>
      <c r="B222" s="2" t="s">
        <v>127</v>
      </c>
      <c r="C222" s="2" t="s">
        <v>312</v>
      </c>
      <c r="D222" s="3"/>
      <c r="E222" s="2" t="s">
        <v>103</v>
      </c>
      <c r="F222" s="3"/>
      <c r="G222" s="3"/>
      <c r="H222" s="2" t="s">
        <v>103</v>
      </c>
      <c r="I222" s="2" t="s">
        <v>137</v>
      </c>
      <c r="J222" s="3"/>
      <c r="K222" s="3"/>
      <c r="L222" s="2" t="s">
        <v>106</v>
      </c>
      <c r="M222" s="3"/>
      <c r="N222" s="2" t="s">
        <v>167</v>
      </c>
      <c r="O222" s="3"/>
      <c r="P222" s="3"/>
      <c r="Q222" s="3"/>
      <c r="R222" s="3"/>
      <c r="S222" s="2" t="s">
        <v>109</v>
      </c>
      <c r="T222" s="2" t="s">
        <v>137</v>
      </c>
      <c r="U222" s="3"/>
      <c r="V222" s="2" t="s">
        <v>137</v>
      </c>
      <c r="W222" s="3"/>
      <c r="X222" s="3"/>
      <c r="Y222" s="3"/>
      <c r="Z222" s="3"/>
      <c r="AA222" s="3"/>
      <c r="AB222" s="2" t="s">
        <v>103</v>
      </c>
      <c r="AC222" s="3"/>
      <c r="AD222" s="2" t="s">
        <v>103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2" t="s">
        <v>103</v>
      </c>
      <c r="AW222" s="3"/>
      <c r="AX222" s="3"/>
      <c r="AY222" s="3"/>
      <c r="AZ222" s="3"/>
      <c r="BA222" s="3"/>
      <c r="BB222" s="3"/>
      <c r="BC222" s="3"/>
      <c r="BD222" s="2">
        <f>1/2</f>
        <v>0.5</v>
      </c>
      <c r="BE222" s="2" t="s">
        <v>105</v>
      </c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2">
        <f t="shared" ref="CC222:CC227" si="14">1/2</f>
        <v>0.5</v>
      </c>
      <c r="CD222" s="2" t="s">
        <v>107</v>
      </c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spans="1:103" ht="15.75" customHeight="1" x14ac:dyDescent="0.2">
      <c r="A223" s="2" t="s">
        <v>116</v>
      </c>
      <c r="B223" s="2" t="s">
        <v>127</v>
      </c>
      <c r="C223" s="2" t="s">
        <v>312</v>
      </c>
      <c r="D223" s="3"/>
      <c r="E223" s="2" t="s">
        <v>103</v>
      </c>
      <c r="F223" s="3"/>
      <c r="G223" s="3"/>
      <c r="H223" s="2" t="s">
        <v>118</v>
      </c>
      <c r="I223" s="2" t="s">
        <v>168</v>
      </c>
      <c r="J223" s="3"/>
      <c r="K223" s="3"/>
      <c r="L223" s="2" t="s">
        <v>128</v>
      </c>
      <c r="M223" s="3"/>
      <c r="N223" s="2" t="s">
        <v>208</v>
      </c>
      <c r="O223" s="3"/>
      <c r="P223" s="3"/>
      <c r="Q223" s="2" t="s">
        <v>112</v>
      </c>
      <c r="R223" s="2" t="s">
        <v>113</v>
      </c>
      <c r="S223" s="2" t="s">
        <v>135</v>
      </c>
      <c r="T223" s="2" t="s">
        <v>110</v>
      </c>
      <c r="U223" s="3"/>
      <c r="V223" s="2" t="s">
        <v>110</v>
      </c>
      <c r="W223" s="3"/>
      <c r="X223" s="3"/>
      <c r="Y223" s="2" t="s">
        <v>103</v>
      </c>
      <c r="Z223" s="3"/>
      <c r="AA223" s="3"/>
      <c r="AB223" s="2" t="s">
        <v>103</v>
      </c>
      <c r="AC223" s="3"/>
      <c r="AD223" s="2" t="s">
        <v>117</v>
      </c>
      <c r="AE223" s="3"/>
      <c r="AF223" s="2" t="s">
        <v>117</v>
      </c>
      <c r="AG223" s="3"/>
      <c r="AH223" s="3"/>
      <c r="AI223" s="3"/>
      <c r="AJ223" s="2" t="s">
        <v>135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2" t="s">
        <v>103</v>
      </c>
      <c r="AW223" s="3"/>
      <c r="AX223" s="2" t="s">
        <v>105</v>
      </c>
      <c r="AY223" s="2" t="s">
        <v>109</v>
      </c>
      <c r="AZ223" s="3"/>
      <c r="BA223" s="3"/>
      <c r="BB223" s="3"/>
      <c r="BC223" s="3"/>
      <c r="BD223" s="2" t="s">
        <v>103</v>
      </c>
      <c r="BE223" s="3"/>
      <c r="BF223" s="2" t="s">
        <v>137</v>
      </c>
      <c r="BG223" s="2" t="s">
        <v>130</v>
      </c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2">
        <f t="shared" si="14"/>
        <v>0.5</v>
      </c>
      <c r="CD223" s="2" t="s">
        <v>136</v>
      </c>
      <c r="CE223" s="3"/>
      <c r="CF223" s="3"/>
      <c r="CG223" s="3"/>
      <c r="CH223" s="3"/>
      <c r="CI223" s="2" t="s">
        <v>116</v>
      </c>
      <c r="CJ223" s="2" t="s">
        <v>109</v>
      </c>
      <c r="CK223" s="2" t="s">
        <v>109</v>
      </c>
      <c r="CL223" s="3"/>
      <c r="CM223" s="3"/>
      <c r="CN223" s="3"/>
      <c r="CO223" s="2" t="s">
        <v>126</v>
      </c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spans="1:103" ht="15.75" customHeight="1" x14ac:dyDescent="0.2">
      <c r="A224" s="2" t="s">
        <v>117</v>
      </c>
      <c r="B224" s="2" t="s">
        <v>127</v>
      </c>
      <c r="C224" s="2" t="s">
        <v>312</v>
      </c>
      <c r="D224" s="3"/>
      <c r="E224" s="2" t="s">
        <v>103</v>
      </c>
      <c r="F224" s="3"/>
      <c r="G224" s="3"/>
      <c r="H224" s="4" t="s">
        <v>115</v>
      </c>
      <c r="I224" s="2" t="s">
        <v>300</v>
      </c>
      <c r="J224" s="3"/>
      <c r="K224" s="3"/>
      <c r="L224" s="2" t="s">
        <v>195</v>
      </c>
      <c r="M224" s="2" t="s">
        <v>109</v>
      </c>
      <c r="N224" s="2" t="s">
        <v>130</v>
      </c>
      <c r="O224" s="3"/>
      <c r="P224" s="3"/>
      <c r="Q224" s="2" t="s">
        <v>113</v>
      </c>
      <c r="R224" s="2" t="s">
        <v>111</v>
      </c>
      <c r="S224" s="2" t="s">
        <v>301</v>
      </c>
      <c r="T224" s="2" t="s">
        <v>136</v>
      </c>
      <c r="U224" s="3"/>
      <c r="V224" s="2" t="s">
        <v>136</v>
      </c>
      <c r="W224" s="3"/>
      <c r="X224" s="3"/>
      <c r="Y224" s="2" t="s">
        <v>116</v>
      </c>
      <c r="Z224" s="3"/>
      <c r="AA224" s="3"/>
      <c r="AB224" s="2" t="s">
        <v>116</v>
      </c>
      <c r="AC224" s="2" t="s">
        <v>121</v>
      </c>
      <c r="AD224" s="2" t="s">
        <v>116</v>
      </c>
      <c r="AE224" s="2" t="s">
        <v>103</v>
      </c>
      <c r="AF224" s="2" t="s">
        <v>103</v>
      </c>
      <c r="AG224" s="3"/>
      <c r="AH224" s="3"/>
      <c r="AI224" s="3"/>
      <c r="AJ224" s="2" t="s">
        <v>145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2" t="s">
        <v>116</v>
      </c>
      <c r="AW224" s="3"/>
      <c r="AX224" s="2" t="s">
        <v>105</v>
      </c>
      <c r="AY224" s="2" t="s">
        <v>109</v>
      </c>
      <c r="AZ224" s="3"/>
      <c r="BA224" s="3"/>
      <c r="BB224" s="3"/>
      <c r="BC224" s="3"/>
      <c r="BD224" s="3"/>
      <c r="BE224" s="3"/>
      <c r="BF224" s="2" t="s">
        <v>115</v>
      </c>
      <c r="BG224" s="2" t="s">
        <v>109</v>
      </c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2">
        <f t="shared" si="14"/>
        <v>0.5</v>
      </c>
      <c r="CD224" s="2" t="s">
        <v>136</v>
      </c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2" t="s">
        <v>113</v>
      </c>
      <c r="CW224" s="3"/>
      <c r="CX224" s="3"/>
      <c r="CY224" s="3"/>
    </row>
    <row r="225" spans="1:103" ht="15.75" customHeight="1" x14ac:dyDescent="0.2">
      <c r="A225" s="2" t="s">
        <v>111</v>
      </c>
      <c r="B225" s="2" t="s">
        <v>127</v>
      </c>
      <c r="C225" s="2" t="s">
        <v>312</v>
      </c>
      <c r="D225" s="3"/>
      <c r="E225" s="2" t="s">
        <v>103</v>
      </c>
      <c r="F225" s="3"/>
      <c r="G225" s="3"/>
      <c r="H225" s="2" t="s">
        <v>113</v>
      </c>
      <c r="I225" s="2" t="s">
        <v>130</v>
      </c>
      <c r="J225" s="2" t="s">
        <v>126</v>
      </c>
      <c r="K225" s="3"/>
      <c r="L225" s="2" t="s">
        <v>232</v>
      </c>
      <c r="M225" s="2" t="s">
        <v>130</v>
      </c>
      <c r="N225" s="2" t="s">
        <v>211</v>
      </c>
      <c r="O225" s="2" t="s">
        <v>113</v>
      </c>
      <c r="P225" s="3"/>
      <c r="Q225" s="2" t="s">
        <v>130</v>
      </c>
      <c r="R225" s="2" t="s">
        <v>292</v>
      </c>
      <c r="S225" s="2" t="s">
        <v>119</v>
      </c>
      <c r="T225" s="2" t="s">
        <v>109</v>
      </c>
      <c r="U225" s="3"/>
      <c r="V225" s="2" t="s">
        <v>109</v>
      </c>
      <c r="W225" s="3"/>
      <c r="X225" s="3"/>
      <c r="Y225" s="2" t="s">
        <v>117</v>
      </c>
      <c r="Z225" s="3"/>
      <c r="AA225" s="3"/>
      <c r="AB225" s="2" t="s">
        <v>103</v>
      </c>
      <c r="AC225" s="2" t="s">
        <v>107</v>
      </c>
      <c r="AD225" s="2" t="s">
        <v>103</v>
      </c>
      <c r="AE225" s="2" t="s">
        <v>113</v>
      </c>
      <c r="AF225" s="2" t="s">
        <v>205</v>
      </c>
      <c r="AG225" s="3"/>
      <c r="AH225" s="3"/>
      <c r="AI225" s="3"/>
      <c r="AJ225" s="2" t="s">
        <v>130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2" t="s">
        <v>103</v>
      </c>
      <c r="AW225" s="3"/>
      <c r="AX225" s="2" t="s">
        <v>105</v>
      </c>
      <c r="AY225" s="2" t="s">
        <v>109</v>
      </c>
      <c r="AZ225" s="3"/>
      <c r="BA225" s="3"/>
      <c r="BB225" s="3"/>
      <c r="BC225" s="3"/>
      <c r="BD225" s="2" t="s">
        <v>117</v>
      </c>
      <c r="BE225" s="2" t="s">
        <v>109</v>
      </c>
      <c r="BF225" s="2" t="s">
        <v>105</v>
      </c>
      <c r="BG225" s="2" t="s">
        <v>145</v>
      </c>
      <c r="BH225" s="3"/>
      <c r="BI225" s="3"/>
      <c r="BJ225" s="2" t="s">
        <v>116</v>
      </c>
      <c r="BK225" s="2" t="s">
        <v>104</v>
      </c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2">
        <f t="shared" si="14"/>
        <v>0.5</v>
      </c>
      <c r="CD225" s="2" t="s">
        <v>136</v>
      </c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2" t="s">
        <v>113</v>
      </c>
      <c r="CY225" s="2" t="s">
        <v>136</v>
      </c>
    </row>
    <row r="226" spans="1:103" ht="15.75" customHeight="1" x14ac:dyDescent="0.2">
      <c r="A226" s="2" t="s">
        <v>121</v>
      </c>
      <c r="B226" s="2" t="s">
        <v>127</v>
      </c>
      <c r="C226" s="2" t="s">
        <v>312</v>
      </c>
      <c r="D226" s="3"/>
      <c r="E226" s="2" t="s">
        <v>103</v>
      </c>
      <c r="F226" s="3"/>
      <c r="G226" s="3"/>
      <c r="H226" s="2" t="s">
        <v>103</v>
      </c>
      <c r="I226" s="2" t="s">
        <v>111</v>
      </c>
      <c r="J226" s="3"/>
      <c r="K226" s="3"/>
      <c r="L226" s="2" t="s">
        <v>125</v>
      </c>
      <c r="M226" s="2" t="s">
        <v>105</v>
      </c>
      <c r="N226" s="2" t="s">
        <v>109</v>
      </c>
      <c r="O226" s="3"/>
      <c r="P226" s="3"/>
      <c r="Q226" s="2" t="s">
        <v>113</v>
      </c>
      <c r="R226" s="2" t="s">
        <v>117</v>
      </c>
      <c r="S226" s="2" t="s">
        <v>109</v>
      </c>
      <c r="T226" s="2" t="s">
        <v>117</v>
      </c>
      <c r="U226" s="3"/>
      <c r="V226" s="2" t="s">
        <v>121</v>
      </c>
      <c r="W226" s="3"/>
      <c r="X226" s="3"/>
      <c r="Y226" s="2" t="s">
        <v>103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2">
        <f t="shared" si="14"/>
        <v>0.5</v>
      </c>
      <c r="CD226" s="2" t="s">
        <v>126</v>
      </c>
      <c r="CE226" s="3"/>
      <c r="CF226" s="3"/>
      <c r="CG226" s="3"/>
      <c r="CH226" s="3"/>
      <c r="CI226" s="2" t="s">
        <v>103</v>
      </c>
      <c r="CJ226" s="2" t="s">
        <v>109</v>
      </c>
      <c r="CK226" s="3"/>
      <c r="CL226" s="3"/>
      <c r="CM226" s="3"/>
      <c r="CN226" s="3"/>
      <c r="CO226" s="2" t="s">
        <v>126</v>
      </c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spans="1:103" ht="15.75" customHeight="1" x14ac:dyDescent="0.2">
      <c r="A227" s="2" t="s">
        <v>115</v>
      </c>
      <c r="B227" s="2" t="s">
        <v>127</v>
      </c>
      <c r="C227" s="2" t="s">
        <v>312</v>
      </c>
      <c r="D227" s="3"/>
      <c r="E227" s="2" t="s">
        <v>103</v>
      </c>
      <c r="F227" s="3"/>
      <c r="G227" s="3"/>
      <c r="H227" s="2" t="s">
        <v>121</v>
      </c>
      <c r="I227" s="2" t="s">
        <v>127</v>
      </c>
      <c r="J227" s="3"/>
      <c r="K227" s="3"/>
      <c r="L227" s="2" t="s">
        <v>174</v>
      </c>
      <c r="M227" s="2" t="s">
        <v>108</v>
      </c>
      <c r="N227" s="2" t="s">
        <v>129</v>
      </c>
      <c r="O227" s="3"/>
      <c r="P227" s="3"/>
      <c r="Q227" s="2" t="s">
        <v>109</v>
      </c>
      <c r="R227" s="2" t="s">
        <v>113</v>
      </c>
      <c r="S227" s="2" t="s">
        <v>145</v>
      </c>
      <c r="T227" s="2" t="s">
        <v>122</v>
      </c>
      <c r="U227" s="3"/>
      <c r="V227" s="2" t="s">
        <v>122</v>
      </c>
      <c r="W227" s="3"/>
      <c r="X227" s="3"/>
      <c r="Y227" s="2" t="s">
        <v>103</v>
      </c>
      <c r="Z227" s="3"/>
      <c r="AA227" s="3"/>
      <c r="AB227" s="2" t="s">
        <v>117</v>
      </c>
      <c r="AC227" s="2" t="s">
        <v>103</v>
      </c>
      <c r="AD227" s="2" t="s">
        <v>117</v>
      </c>
      <c r="AE227" s="3"/>
      <c r="AF227" s="2" t="s">
        <v>117</v>
      </c>
      <c r="AG227" s="3"/>
      <c r="AH227" s="3"/>
      <c r="AI227" s="3"/>
      <c r="AJ227" s="2" t="s">
        <v>134</v>
      </c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2" t="s">
        <v>103</v>
      </c>
      <c r="AW227" s="3"/>
      <c r="AX227" s="2" t="s">
        <v>139</v>
      </c>
      <c r="AY227" s="2" t="s">
        <v>143</v>
      </c>
      <c r="AZ227" s="3"/>
      <c r="BA227" s="3"/>
      <c r="BB227" s="3"/>
      <c r="BC227" s="3"/>
      <c r="BD227" s="2" t="s">
        <v>103</v>
      </c>
      <c r="BE227" s="2" t="s">
        <v>105</v>
      </c>
      <c r="BF227" s="3"/>
      <c r="BG227" s="3"/>
      <c r="BH227" s="3"/>
      <c r="BI227" s="3"/>
      <c r="BJ227" s="4" t="s">
        <v>103</v>
      </c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2">
        <f t="shared" si="14"/>
        <v>0.5</v>
      </c>
      <c r="CD227" s="2" t="s">
        <v>113</v>
      </c>
      <c r="CE227" s="3"/>
      <c r="CF227" s="3"/>
      <c r="CG227" s="3"/>
      <c r="CH227" s="3"/>
      <c r="CI227" s="2" t="s">
        <v>103</v>
      </c>
      <c r="CJ227" s="2" t="s">
        <v>113</v>
      </c>
      <c r="CK227" s="4" t="s">
        <v>111</v>
      </c>
      <c r="CL227" s="3"/>
      <c r="CM227" s="3"/>
      <c r="CN227" s="3"/>
      <c r="CO227" s="2" t="s">
        <v>113</v>
      </c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spans="1:103" ht="15.75" customHeight="1" x14ac:dyDescent="0.2">
      <c r="A228" s="2" t="s">
        <v>137</v>
      </c>
      <c r="B228" s="2" t="s">
        <v>127</v>
      </c>
      <c r="C228" s="2" t="s">
        <v>312</v>
      </c>
      <c r="D228" s="3"/>
      <c r="E228" s="2" t="s">
        <v>103</v>
      </c>
      <c r="F228" s="3"/>
      <c r="G228" s="3"/>
      <c r="H228" s="3"/>
      <c r="I228" s="2" t="s">
        <v>109</v>
      </c>
      <c r="J228" s="3"/>
      <c r="K228" s="3"/>
      <c r="L228" s="2" t="s">
        <v>207</v>
      </c>
      <c r="M228" s="3"/>
      <c r="N228" s="2" t="s">
        <v>302</v>
      </c>
      <c r="O228" s="3"/>
      <c r="P228" s="3"/>
      <c r="Q228" s="3"/>
      <c r="R228" s="3"/>
      <c r="S228" s="2" t="s">
        <v>130</v>
      </c>
      <c r="T228" s="3"/>
      <c r="U228" s="3"/>
      <c r="V228" s="3"/>
      <c r="W228" s="3"/>
      <c r="X228" s="3"/>
      <c r="Y228" s="2" t="s">
        <v>121</v>
      </c>
      <c r="Z228" s="3"/>
      <c r="AA228" s="3"/>
      <c r="AB228" s="2" t="s">
        <v>103</v>
      </c>
      <c r="AC228" s="2" t="s">
        <v>110</v>
      </c>
      <c r="AD228" s="2" t="s">
        <v>103</v>
      </c>
      <c r="AE228" s="3"/>
      <c r="AF228" s="2" t="s">
        <v>103</v>
      </c>
      <c r="AG228" s="3"/>
      <c r="AH228" s="3"/>
      <c r="AI228" s="3"/>
      <c r="AJ228" s="2" t="s">
        <v>130</v>
      </c>
      <c r="AK228" s="3"/>
      <c r="AL228" s="3"/>
      <c r="AM228" s="3"/>
      <c r="AN228" s="3"/>
      <c r="AO228" s="2" t="s">
        <v>107</v>
      </c>
      <c r="AP228" s="3"/>
      <c r="AQ228" s="3"/>
      <c r="AR228" s="3"/>
      <c r="AS228" s="3"/>
      <c r="AT228" s="3"/>
      <c r="AU228" s="3"/>
      <c r="AV228" s="2" t="s">
        <v>103</v>
      </c>
      <c r="AW228" s="3"/>
      <c r="AX228" s="2" t="s">
        <v>105</v>
      </c>
      <c r="AY228" s="2" t="s">
        <v>109</v>
      </c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spans="1:103" ht="15.75" customHeight="1" x14ac:dyDescent="0.2">
      <c r="A229" s="2" t="s">
        <v>118</v>
      </c>
      <c r="B229" s="2" t="s">
        <v>127</v>
      </c>
      <c r="C229" s="2" t="s">
        <v>312</v>
      </c>
      <c r="D229" s="3"/>
      <c r="E229" s="2" t="s">
        <v>103</v>
      </c>
      <c r="F229" s="3"/>
      <c r="G229" s="3"/>
      <c r="H229" s="2" t="s">
        <v>139</v>
      </c>
      <c r="I229" s="2" t="s">
        <v>233</v>
      </c>
      <c r="J229" s="3"/>
      <c r="K229" s="3"/>
      <c r="L229" s="2" t="s">
        <v>174</v>
      </c>
      <c r="M229" s="3"/>
      <c r="N229" s="2" t="s">
        <v>130</v>
      </c>
      <c r="O229" s="3"/>
      <c r="P229" s="3"/>
      <c r="Q229" s="2" t="s">
        <v>109</v>
      </c>
      <c r="R229" s="2" t="s">
        <v>124</v>
      </c>
      <c r="S229" s="2" t="s">
        <v>145</v>
      </c>
      <c r="T229" s="2" t="s">
        <v>108</v>
      </c>
      <c r="U229" s="3"/>
      <c r="V229" s="2" t="s">
        <v>108</v>
      </c>
      <c r="W229" s="3"/>
      <c r="X229" s="3"/>
      <c r="Y229" s="2" t="s">
        <v>103</v>
      </c>
      <c r="Z229" s="3"/>
      <c r="AA229" s="3"/>
      <c r="AB229" s="2" t="s">
        <v>103</v>
      </c>
      <c r="AC229" s="3"/>
      <c r="AD229" s="2" t="s">
        <v>103</v>
      </c>
      <c r="AE229" s="3"/>
      <c r="AF229" s="2" t="s">
        <v>103</v>
      </c>
      <c r="AG229" s="3"/>
      <c r="AH229" s="3"/>
      <c r="AI229" s="3"/>
      <c r="AJ229" s="2" t="s">
        <v>130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2" t="s">
        <v>103</v>
      </c>
      <c r="AW229" s="3"/>
      <c r="AX229" s="2" t="s">
        <v>105</v>
      </c>
      <c r="AY229" s="2" t="s">
        <v>109</v>
      </c>
      <c r="AZ229" s="3"/>
      <c r="BA229" s="3"/>
      <c r="BB229" s="3"/>
      <c r="BC229" s="3"/>
      <c r="BD229" s="2" t="s">
        <v>115</v>
      </c>
      <c r="BE229" s="2" t="s">
        <v>136</v>
      </c>
      <c r="BF229" s="2" t="s">
        <v>115</v>
      </c>
      <c r="BG229" s="2" t="s">
        <v>182</v>
      </c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2">
        <f>1/2</f>
        <v>0.5</v>
      </c>
      <c r="CJ229" s="2" t="s">
        <v>107</v>
      </c>
      <c r="CK229" s="2" t="s">
        <v>126</v>
      </c>
      <c r="CL229" s="3"/>
      <c r="CM229" s="3"/>
      <c r="CN229" s="3"/>
      <c r="CO229" s="2" t="s">
        <v>108</v>
      </c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spans="1:103" ht="15.75" customHeight="1" x14ac:dyDescent="0.2">
      <c r="A230" s="2" t="s">
        <v>154</v>
      </c>
      <c r="B230" s="2" t="s">
        <v>127</v>
      </c>
      <c r="C230" s="2" t="s">
        <v>312</v>
      </c>
      <c r="D230" s="3"/>
      <c r="E230" s="2" t="s">
        <v>103</v>
      </c>
      <c r="F230" s="3"/>
      <c r="G230" s="3"/>
      <c r="H230" s="3"/>
      <c r="I230" s="2" t="s">
        <v>105</v>
      </c>
      <c r="J230" s="3"/>
      <c r="K230" s="3"/>
      <c r="L230" s="2" t="s">
        <v>174</v>
      </c>
      <c r="M230" s="2" t="s">
        <v>105</v>
      </c>
      <c r="N230" s="2" t="s">
        <v>112</v>
      </c>
      <c r="O230" s="3"/>
      <c r="P230" s="3"/>
      <c r="Q230" s="2" t="s">
        <v>105</v>
      </c>
      <c r="R230" s="2" t="s">
        <v>116</v>
      </c>
      <c r="S230" s="2" t="s">
        <v>130</v>
      </c>
      <c r="T230" s="2" t="s">
        <v>105</v>
      </c>
      <c r="U230" s="3"/>
      <c r="V230" s="4" t="s">
        <v>121</v>
      </c>
      <c r="W230" s="3"/>
      <c r="X230" s="3"/>
      <c r="Y230" s="2" t="s">
        <v>103</v>
      </c>
      <c r="Z230" s="3"/>
      <c r="AA230" s="3"/>
      <c r="AB230" s="2" t="s">
        <v>103</v>
      </c>
      <c r="AC230" s="3"/>
      <c r="AD230" s="2" t="s">
        <v>103</v>
      </c>
      <c r="AE230" s="3"/>
      <c r="AF230" s="2" t="s">
        <v>103</v>
      </c>
      <c r="AG230" s="3"/>
      <c r="AH230" s="3"/>
      <c r="AI230" s="3"/>
      <c r="AJ230" s="2" t="s">
        <v>130</v>
      </c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2" t="s">
        <v>103</v>
      </c>
      <c r="AW230" s="3"/>
      <c r="AX230" s="2" t="s">
        <v>105</v>
      </c>
      <c r="AY230" s="2" t="s">
        <v>109</v>
      </c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spans="1:103" ht="15.75" customHeight="1" x14ac:dyDescent="0.2">
      <c r="A231" s="2" t="s">
        <v>105</v>
      </c>
      <c r="B231" s="2" t="s">
        <v>127</v>
      </c>
      <c r="C231" s="2" t="s">
        <v>312</v>
      </c>
      <c r="D231" s="3"/>
      <c r="E231" s="2" t="s">
        <v>103</v>
      </c>
      <c r="F231" s="3"/>
      <c r="G231" s="3"/>
      <c r="H231" s="2" t="s">
        <v>103</v>
      </c>
      <c r="I231" s="2" t="s">
        <v>118</v>
      </c>
      <c r="J231" s="3"/>
      <c r="K231" s="3"/>
      <c r="L231" s="2" t="s">
        <v>128</v>
      </c>
      <c r="M231" s="2" t="s">
        <v>105</v>
      </c>
      <c r="N231" s="2" t="s">
        <v>130</v>
      </c>
      <c r="O231" s="3"/>
      <c r="P231" s="3"/>
      <c r="Q231" s="2" t="s">
        <v>105</v>
      </c>
      <c r="R231" s="2" t="s">
        <v>103</v>
      </c>
      <c r="S231" s="2" t="s">
        <v>129</v>
      </c>
      <c r="T231" s="2" t="s">
        <v>117</v>
      </c>
      <c r="U231" s="3"/>
      <c r="V231" s="2" t="s">
        <v>111</v>
      </c>
      <c r="W231" s="3"/>
      <c r="X231" s="3"/>
      <c r="Y231" s="2" t="s">
        <v>103</v>
      </c>
      <c r="Z231" s="3"/>
      <c r="AA231" s="3"/>
      <c r="AB231" s="2" t="s">
        <v>103</v>
      </c>
      <c r="AC231" s="2" t="s">
        <v>103</v>
      </c>
      <c r="AD231" s="2" t="s">
        <v>103</v>
      </c>
      <c r="AE231" s="3"/>
      <c r="AF231" s="2" t="s">
        <v>103</v>
      </c>
      <c r="AG231" s="3"/>
      <c r="AH231" s="3"/>
      <c r="AI231" s="3"/>
      <c r="AJ231" s="2" t="s">
        <v>130</v>
      </c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2" t="s">
        <v>103</v>
      </c>
      <c r="AW231" s="3"/>
      <c r="AX231" s="2" t="s">
        <v>115</v>
      </c>
      <c r="AY231" s="2" t="s">
        <v>126</v>
      </c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2">
        <f>1/4</f>
        <v>0.25</v>
      </c>
      <c r="CD231" s="4" t="s">
        <v>108</v>
      </c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2" t="s">
        <v>136</v>
      </c>
      <c r="CW231" s="3"/>
      <c r="CX231" s="3"/>
      <c r="CY231" s="3"/>
    </row>
    <row r="232" spans="1:103" ht="15.75" customHeight="1" x14ac:dyDescent="0.2">
      <c r="A232" s="2" t="s">
        <v>103</v>
      </c>
      <c r="B232" s="2" t="s">
        <v>212</v>
      </c>
      <c r="C232" s="2" t="s">
        <v>312</v>
      </c>
      <c r="D232" s="3"/>
      <c r="E232" s="3"/>
      <c r="F232" s="3"/>
      <c r="G232" s="2" t="s">
        <v>103</v>
      </c>
      <c r="H232" s="2" t="s">
        <v>111</v>
      </c>
      <c r="I232" s="2" t="s">
        <v>126</v>
      </c>
      <c r="J232" s="2" t="s">
        <v>111</v>
      </c>
      <c r="K232" s="3"/>
      <c r="L232" s="2" t="s">
        <v>207</v>
      </c>
      <c r="M232" s="2" t="s">
        <v>126</v>
      </c>
      <c r="N232" s="2" t="s">
        <v>130</v>
      </c>
      <c r="O232" s="3"/>
      <c r="P232" s="3"/>
      <c r="Q232" s="2" t="s">
        <v>109</v>
      </c>
      <c r="R232" s="2" t="s">
        <v>113</v>
      </c>
      <c r="S232" s="2" t="s">
        <v>135</v>
      </c>
      <c r="T232" s="2" t="s">
        <v>107</v>
      </c>
      <c r="U232" s="3"/>
      <c r="V232" s="2" t="s">
        <v>107</v>
      </c>
      <c r="W232" s="3"/>
      <c r="X232" s="3"/>
      <c r="Y232" s="2" t="s">
        <v>103</v>
      </c>
      <c r="Z232" s="3"/>
      <c r="AA232" s="3"/>
      <c r="AB232" s="2" t="s">
        <v>116</v>
      </c>
      <c r="AC232" s="3"/>
      <c r="AD232" s="2" t="s">
        <v>116</v>
      </c>
      <c r="AE232" s="3"/>
      <c r="AF232" s="2" t="s">
        <v>116</v>
      </c>
      <c r="AG232" s="3"/>
      <c r="AH232" s="3"/>
      <c r="AI232" s="3"/>
      <c r="AJ232" s="2" t="s">
        <v>131</v>
      </c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2" t="s">
        <v>103</v>
      </c>
      <c r="AW232" s="3"/>
      <c r="AX232" s="2" t="s">
        <v>105</v>
      </c>
      <c r="AY232" s="2" t="s">
        <v>109</v>
      </c>
      <c r="AZ232" s="3"/>
      <c r="BA232" s="3"/>
      <c r="BB232" s="3"/>
      <c r="BC232" s="3"/>
      <c r="BD232" s="2" t="s">
        <v>116</v>
      </c>
      <c r="BE232" s="2" t="s">
        <v>126</v>
      </c>
      <c r="BF232" s="3"/>
      <c r="BG232" s="3"/>
      <c r="BH232" s="3"/>
      <c r="BI232" s="3"/>
      <c r="BJ232" s="2" t="s">
        <v>103</v>
      </c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2" t="s">
        <v>103</v>
      </c>
      <c r="CD232" s="3"/>
      <c r="CE232" s="3"/>
      <c r="CF232" s="3"/>
      <c r="CG232" s="3"/>
      <c r="CH232" s="3"/>
      <c r="CI232" s="2" t="s">
        <v>103</v>
      </c>
      <c r="CJ232" s="2" t="s">
        <v>113</v>
      </c>
      <c r="CK232" s="2" t="s">
        <v>109</v>
      </c>
      <c r="CL232" s="3"/>
      <c r="CM232" s="3"/>
      <c r="CN232" s="3"/>
      <c r="CO232" s="2" t="s">
        <v>107</v>
      </c>
      <c r="CP232" s="3"/>
      <c r="CQ232" s="3"/>
      <c r="CR232" s="3"/>
      <c r="CS232" s="3"/>
      <c r="CT232" s="3"/>
      <c r="CU232" s="3"/>
      <c r="CV232" s="3"/>
      <c r="CW232" s="3"/>
      <c r="CX232" s="2" t="s">
        <v>105</v>
      </c>
      <c r="CY232" s="2" t="s">
        <v>104</v>
      </c>
    </row>
    <row r="233" spans="1:103" ht="15.75" customHeight="1" x14ac:dyDescent="0.2">
      <c r="A233" s="2" t="s">
        <v>116</v>
      </c>
      <c r="B233" s="2" t="s">
        <v>212</v>
      </c>
      <c r="C233" s="2" t="s">
        <v>312</v>
      </c>
      <c r="D233" s="3"/>
      <c r="E233" s="2" t="s">
        <v>103</v>
      </c>
      <c r="F233" s="3"/>
      <c r="G233" s="3"/>
      <c r="H233" s="2" t="s">
        <v>103</v>
      </c>
      <c r="I233" s="2" t="s">
        <v>262</v>
      </c>
      <c r="J233" s="3"/>
      <c r="K233" s="3"/>
      <c r="L233" s="2" t="s">
        <v>303</v>
      </c>
      <c r="M233" s="2" t="s">
        <v>126</v>
      </c>
      <c r="N233" s="2" t="s">
        <v>145</v>
      </c>
      <c r="O233" s="3"/>
      <c r="P233" s="3"/>
      <c r="Q233" s="2" t="s">
        <v>126</v>
      </c>
      <c r="R233" s="2" t="s">
        <v>110</v>
      </c>
      <c r="S233" s="2" t="s">
        <v>134</v>
      </c>
      <c r="T233" s="2" t="s">
        <v>166</v>
      </c>
      <c r="U233" s="3"/>
      <c r="V233" s="2" t="s">
        <v>113</v>
      </c>
      <c r="W233" s="3"/>
      <c r="X233" s="3"/>
      <c r="Y233" s="2" t="s">
        <v>103</v>
      </c>
      <c r="Z233" s="3"/>
      <c r="AA233" s="3"/>
      <c r="AB233" s="2" t="s">
        <v>115</v>
      </c>
      <c r="AC233" s="2" t="s">
        <v>116</v>
      </c>
      <c r="AD233" s="2" t="s">
        <v>115</v>
      </c>
      <c r="AE233" s="3"/>
      <c r="AF233" s="2" t="s">
        <v>103</v>
      </c>
      <c r="AG233" s="2" t="s">
        <v>121</v>
      </c>
      <c r="AH233" s="3"/>
      <c r="AI233" s="3"/>
      <c r="AJ233" s="2" t="s">
        <v>119</v>
      </c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2" t="s">
        <v>103</v>
      </c>
      <c r="AW233" s="3"/>
      <c r="AX233" s="2" t="s">
        <v>105</v>
      </c>
      <c r="AY233" s="2" t="s">
        <v>109</v>
      </c>
      <c r="AZ233" s="3"/>
      <c r="BA233" s="3"/>
      <c r="BB233" s="3"/>
      <c r="BC233" s="3"/>
      <c r="BD233" s="2">
        <f>1/2</f>
        <v>0.5</v>
      </c>
      <c r="BE233" s="2" t="s">
        <v>105</v>
      </c>
      <c r="BF233" s="2">
        <f>1/2</f>
        <v>0.5</v>
      </c>
      <c r="BG233" s="2" t="s">
        <v>113</v>
      </c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2">
        <f>1/2</f>
        <v>0.5</v>
      </c>
      <c r="CD233" s="2" t="s">
        <v>108</v>
      </c>
      <c r="CE233" s="3"/>
      <c r="CF233" s="3"/>
      <c r="CG233" s="3"/>
      <c r="CH233" s="3"/>
      <c r="CI233" s="2" t="s">
        <v>103</v>
      </c>
      <c r="CJ233" s="2" t="s">
        <v>123</v>
      </c>
      <c r="CK233" s="2" t="s">
        <v>145</v>
      </c>
      <c r="CL233" s="3"/>
      <c r="CM233" s="3"/>
      <c r="CN233" s="3"/>
      <c r="CO233" s="2" t="s">
        <v>107</v>
      </c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spans="1:103" ht="15.75" customHeight="1" x14ac:dyDescent="0.2">
      <c r="A234" s="2" t="s">
        <v>117</v>
      </c>
      <c r="B234" s="2" t="s">
        <v>212</v>
      </c>
      <c r="C234" s="2" t="s">
        <v>312</v>
      </c>
      <c r="D234" s="3"/>
      <c r="E234" s="2" t="s">
        <v>103</v>
      </c>
      <c r="F234" s="3"/>
      <c r="G234" s="3"/>
      <c r="H234" s="2" t="s">
        <v>154</v>
      </c>
      <c r="I234" s="4" t="s">
        <v>304</v>
      </c>
      <c r="J234" s="2" t="s">
        <v>105</v>
      </c>
      <c r="K234" s="3"/>
      <c r="L234" s="2" t="s">
        <v>290</v>
      </c>
      <c r="M234" s="2" t="s">
        <v>109</v>
      </c>
      <c r="N234" s="2" t="s">
        <v>149</v>
      </c>
      <c r="O234" s="2" t="s">
        <v>126</v>
      </c>
      <c r="P234" s="3"/>
      <c r="Q234" s="2" t="s">
        <v>131</v>
      </c>
      <c r="R234" s="2" t="s">
        <v>109</v>
      </c>
      <c r="S234" s="4" t="s">
        <v>240</v>
      </c>
      <c r="T234" s="2" t="s">
        <v>220</v>
      </c>
      <c r="U234" s="3"/>
      <c r="V234" s="2" t="s">
        <v>130</v>
      </c>
      <c r="W234" s="3"/>
      <c r="X234" s="3"/>
      <c r="Y234" s="2" t="s">
        <v>115</v>
      </c>
      <c r="Z234" s="3"/>
      <c r="AA234" s="3"/>
      <c r="AB234" s="2" t="s">
        <v>137</v>
      </c>
      <c r="AC234" s="2" t="s">
        <v>111</v>
      </c>
      <c r="AD234" s="2" t="s">
        <v>137</v>
      </c>
      <c r="AE234" s="3"/>
      <c r="AF234" s="2" t="s">
        <v>137</v>
      </c>
      <c r="AG234" s="3"/>
      <c r="AH234" s="3"/>
      <c r="AI234" s="3"/>
      <c r="AJ234" s="2" t="s">
        <v>207</v>
      </c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2" t="s">
        <v>121</v>
      </c>
      <c r="AW234" s="3"/>
      <c r="AX234" s="2" t="s">
        <v>126</v>
      </c>
      <c r="AY234" s="2" t="s">
        <v>131</v>
      </c>
      <c r="AZ234" s="2" t="s">
        <v>117</v>
      </c>
      <c r="BA234" s="2" t="s">
        <v>136</v>
      </c>
      <c r="BB234" s="2" t="s">
        <v>116</v>
      </c>
      <c r="BC234" s="2" t="s">
        <v>126</v>
      </c>
      <c r="BD234" s="3"/>
      <c r="BE234" s="3"/>
      <c r="BF234" s="3"/>
      <c r="BG234" s="3"/>
      <c r="BH234" s="3"/>
      <c r="BI234" s="3"/>
      <c r="BJ234" s="2" t="s">
        <v>117</v>
      </c>
      <c r="BK234" s="2" t="s">
        <v>126</v>
      </c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2" t="s">
        <v>103</v>
      </c>
      <c r="CD234" s="2" t="s">
        <v>123</v>
      </c>
      <c r="CE234" s="3"/>
      <c r="CF234" s="3"/>
      <c r="CG234" s="3"/>
      <c r="CH234" s="3"/>
      <c r="CI234" s="2" t="s">
        <v>113</v>
      </c>
      <c r="CJ234" s="2" t="s">
        <v>145</v>
      </c>
      <c r="CK234" s="2" t="s">
        <v>305</v>
      </c>
      <c r="CL234" s="3"/>
      <c r="CM234" s="3"/>
      <c r="CN234" s="3"/>
      <c r="CO234" s="2" t="s">
        <v>131</v>
      </c>
      <c r="CP234" s="3"/>
      <c r="CQ234" s="3"/>
      <c r="CR234" s="3"/>
      <c r="CS234" s="3"/>
      <c r="CT234" s="3"/>
      <c r="CU234" s="3"/>
      <c r="CV234" s="3"/>
      <c r="CW234" s="3"/>
      <c r="CX234" s="2" t="s">
        <v>113</v>
      </c>
      <c r="CY234" s="2" t="s">
        <v>136</v>
      </c>
    </row>
    <row r="235" spans="1:103" ht="15.75" customHeight="1" x14ac:dyDescent="0.2">
      <c r="A235" s="2" t="s">
        <v>111</v>
      </c>
      <c r="B235" s="2" t="s">
        <v>212</v>
      </c>
      <c r="C235" s="2" t="s">
        <v>312</v>
      </c>
      <c r="D235" s="3"/>
      <c r="E235" s="2" t="s">
        <v>103</v>
      </c>
      <c r="F235" s="3"/>
      <c r="G235" s="3"/>
      <c r="H235" s="2" t="s">
        <v>151</v>
      </c>
      <c r="I235" s="2" t="s">
        <v>213</v>
      </c>
      <c r="J235" s="2" t="s">
        <v>109</v>
      </c>
      <c r="K235" s="2" t="s">
        <v>126</v>
      </c>
      <c r="L235" s="2" t="s">
        <v>157</v>
      </c>
      <c r="M235" s="2" t="s">
        <v>145</v>
      </c>
      <c r="N235" s="2" t="s">
        <v>106</v>
      </c>
      <c r="O235" s="2" t="s">
        <v>104</v>
      </c>
      <c r="P235" s="3"/>
      <c r="Q235" s="2" t="s">
        <v>129</v>
      </c>
      <c r="R235" s="2" t="s">
        <v>126</v>
      </c>
      <c r="S235" s="2" t="s">
        <v>177</v>
      </c>
      <c r="T235" s="2" t="s">
        <v>126</v>
      </c>
      <c r="U235" s="3"/>
      <c r="V235" s="2" t="s">
        <v>126</v>
      </c>
      <c r="W235" s="3"/>
      <c r="X235" s="3"/>
      <c r="Y235" s="2" t="s">
        <v>116</v>
      </c>
      <c r="Z235" s="3"/>
      <c r="AA235" s="3"/>
      <c r="AB235" s="2" t="s">
        <v>113</v>
      </c>
      <c r="AC235" s="2" t="s">
        <v>110</v>
      </c>
      <c r="AD235" s="2" t="s">
        <v>113</v>
      </c>
      <c r="AE235" s="3"/>
      <c r="AF235" s="2" t="s">
        <v>110</v>
      </c>
      <c r="AG235" s="3"/>
      <c r="AH235" s="3"/>
      <c r="AI235" s="3"/>
      <c r="AJ235" s="2" t="s">
        <v>153</v>
      </c>
      <c r="AK235" s="3"/>
      <c r="AL235" s="2" t="s">
        <v>118</v>
      </c>
      <c r="AM235" s="2" t="s">
        <v>111</v>
      </c>
      <c r="AN235" s="3"/>
      <c r="AO235" s="3"/>
      <c r="AP235" s="3"/>
      <c r="AQ235" s="3"/>
      <c r="AR235" s="3"/>
      <c r="AS235" s="3"/>
      <c r="AT235" s="2" t="s">
        <v>111</v>
      </c>
      <c r="AU235" s="2" t="s">
        <v>104</v>
      </c>
      <c r="AV235" s="2" t="s">
        <v>116</v>
      </c>
      <c r="AW235" s="3"/>
      <c r="AX235" s="2" t="s">
        <v>110</v>
      </c>
      <c r="AY235" s="2" t="s">
        <v>112</v>
      </c>
      <c r="AZ235" s="3"/>
      <c r="BA235" s="3"/>
      <c r="BB235" s="2" t="s">
        <v>103</v>
      </c>
      <c r="BC235" s="2" t="s">
        <v>113</v>
      </c>
      <c r="BD235" s="2" t="s">
        <v>116</v>
      </c>
      <c r="BE235" s="2" t="s">
        <v>143</v>
      </c>
      <c r="BF235" s="2" t="s">
        <v>115</v>
      </c>
      <c r="BG235" s="2" t="s">
        <v>130</v>
      </c>
      <c r="BH235" s="3"/>
      <c r="BI235" s="3"/>
      <c r="BJ235" s="2" t="s">
        <v>103</v>
      </c>
      <c r="BK235" s="2" t="s">
        <v>110</v>
      </c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2" t="s">
        <v>103</v>
      </c>
      <c r="CD235" s="2" t="s">
        <v>112</v>
      </c>
      <c r="CE235" s="3"/>
      <c r="CF235" s="3"/>
      <c r="CG235" s="3"/>
      <c r="CH235" s="3"/>
      <c r="CI235" s="2" t="s">
        <v>103</v>
      </c>
      <c r="CJ235" s="2" t="s">
        <v>126</v>
      </c>
      <c r="CK235" s="2" t="s">
        <v>130</v>
      </c>
      <c r="CL235" s="3"/>
      <c r="CM235" s="3"/>
      <c r="CN235" s="3"/>
      <c r="CO235" s="2" t="s">
        <v>109</v>
      </c>
      <c r="CP235" s="3"/>
      <c r="CQ235" s="3"/>
      <c r="CR235" s="3"/>
      <c r="CS235" s="3"/>
      <c r="CT235" s="3"/>
      <c r="CU235" s="3"/>
      <c r="CV235" s="2" t="s">
        <v>112</v>
      </c>
      <c r="CW235" s="3"/>
      <c r="CX235" s="2" t="s">
        <v>110</v>
      </c>
      <c r="CY235" s="2" t="s">
        <v>108</v>
      </c>
    </row>
    <row r="236" spans="1:103" ht="15.75" customHeight="1" x14ac:dyDescent="0.2">
      <c r="A236" s="2" t="s">
        <v>121</v>
      </c>
      <c r="B236" s="2" t="s">
        <v>212</v>
      </c>
      <c r="C236" s="2" t="s">
        <v>312</v>
      </c>
      <c r="D236" s="3"/>
      <c r="E236" s="2" t="s">
        <v>103</v>
      </c>
      <c r="F236" s="3"/>
      <c r="G236" s="3"/>
      <c r="H236" s="2" t="s">
        <v>139</v>
      </c>
      <c r="I236" s="2" t="s">
        <v>306</v>
      </c>
      <c r="J236" s="2" t="s">
        <v>182</v>
      </c>
      <c r="K236" s="2" t="s">
        <v>104</v>
      </c>
      <c r="L236" s="2" t="s">
        <v>214</v>
      </c>
      <c r="M236" s="2" t="s">
        <v>130</v>
      </c>
      <c r="N236" s="2" t="s">
        <v>125</v>
      </c>
      <c r="O236" s="2" t="s">
        <v>105</v>
      </c>
      <c r="P236" s="2" t="s">
        <v>115</v>
      </c>
      <c r="Q236" s="2" t="s">
        <v>134</v>
      </c>
      <c r="R236" s="2" t="s">
        <v>109</v>
      </c>
      <c r="S236" s="2" t="s">
        <v>128</v>
      </c>
      <c r="T236" s="2" t="s">
        <v>181</v>
      </c>
      <c r="U236" s="3"/>
      <c r="V236" s="2" t="s">
        <v>109</v>
      </c>
      <c r="W236" s="3"/>
      <c r="X236" s="3"/>
      <c r="Y236" s="2" t="s">
        <v>115</v>
      </c>
      <c r="Z236" s="3"/>
      <c r="AA236" s="3"/>
      <c r="AB236" s="2" t="s">
        <v>166</v>
      </c>
      <c r="AC236" s="2" t="s">
        <v>139</v>
      </c>
      <c r="AD236" s="2" t="s">
        <v>205</v>
      </c>
      <c r="AE236" s="3"/>
      <c r="AF236" s="2" t="s">
        <v>170</v>
      </c>
      <c r="AG236" s="3"/>
      <c r="AH236" s="2" t="s">
        <v>103</v>
      </c>
      <c r="AI236" s="3"/>
      <c r="AJ236" s="2" t="s">
        <v>248</v>
      </c>
      <c r="AK236" s="3"/>
      <c r="AL236" s="2" t="s">
        <v>307</v>
      </c>
      <c r="AM236" s="2" t="s">
        <v>192</v>
      </c>
      <c r="AN236" s="3"/>
      <c r="AO236" s="2" t="s">
        <v>127</v>
      </c>
      <c r="AP236" s="3"/>
      <c r="AQ236" s="3"/>
      <c r="AR236" s="2" t="s">
        <v>116</v>
      </c>
      <c r="AS236" s="3"/>
      <c r="AT236" s="2" t="s">
        <v>266</v>
      </c>
      <c r="AU236" s="2" t="s">
        <v>142</v>
      </c>
      <c r="AV236" s="2" t="s">
        <v>105</v>
      </c>
      <c r="AW236" s="2" t="s">
        <v>184</v>
      </c>
      <c r="AX236" s="3"/>
      <c r="AY236" s="2" t="s">
        <v>135</v>
      </c>
      <c r="AZ236" s="2" t="s">
        <v>121</v>
      </c>
      <c r="BA236" s="2" t="s">
        <v>126</v>
      </c>
      <c r="BB236" s="3"/>
      <c r="BC236" s="3"/>
      <c r="BD236" s="4">
        <f>2 +(1/2)</f>
        <v>2.5</v>
      </c>
      <c r="BE236" s="2" t="s">
        <v>126</v>
      </c>
      <c r="BF236" s="4">
        <f>2 +(1/2)</f>
        <v>2.5</v>
      </c>
      <c r="BG236" s="2" t="s">
        <v>109</v>
      </c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2" t="s">
        <v>103</v>
      </c>
      <c r="CD236" s="2" t="s">
        <v>112</v>
      </c>
      <c r="CE236" s="3"/>
      <c r="CF236" s="3"/>
      <c r="CG236" s="3"/>
      <c r="CH236" s="3"/>
      <c r="CI236" s="2" t="s">
        <v>154</v>
      </c>
      <c r="CJ236" s="2" t="s">
        <v>135</v>
      </c>
      <c r="CK236" s="2" t="s">
        <v>147</v>
      </c>
      <c r="CL236" s="3"/>
      <c r="CM236" s="3"/>
      <c r="CN236" s="3"/>
      <c r="CO236" s="2" t="s">
        <v>142</v>
      </c>
      <c r="CP236" s="3"/>
      <c r="CQ236" s="3"/>
      <c r="CR236" s="3"/>
      <c r="CS236" s="3"/>
      <c r="CT236" s="3"/>
      <c r="CU236" s="3"/>
      <c r="CV236" s="3"/>
      <c r="CW236" s="3"/>
      <c r="CX236" s="2" t="s">
        <v>108</v>
      </c>
      <c r="CY236" s="2" t="s">
        <v>123</v>
      </c>
    </row>
    <row r="237" spans="1:103" ht="15.75" customHeight="1" x14ac:dyDescent="0.2">
      <c r="A237" s="2" t="s">
        <v>115</v>
      </c>
      <c r="B237" s="2" t="s">
        <v>212</v>
      </c>
      <c r="C237" s="2" t="s">
        <v>312</v>
      </c>
      <c r="D237" s="3"/>
      <c r="E237" s="2" t="s">
        <v>103</v>
      </c>
      <c r="F237" s="3"/>
      <c r="G237" s="3"/>
      <c r="H237" s="2" t="s">
        <v>111</v>
      </c>
      <c r="I237" s="2" t="s">
        <v>194</v>
      </c>
      <c r="J237" s="3"/>
      <c r="K237" s="3"/>
      <c r="L237" s="2" t="s">
        <v>133</v>
      </c>
      <c r="M237" s="2" t="s">
        <v>130</v>
      </c>
      <c r="N237" s="2" t="s">
        <v>119</v>
      </c>
      <c r="O237" s="3"/>
      <c r="P237" s="3"/>
      <c r="Q237" s="2" t="s">
        <v>131</v>
      </c>
      <c r="R237" s="2" t="s">
        <v>109</v>
      </c>
      <c r="S237" s="2" t="s">
        <v>149</v>
      </c>
      <c r="T237" s="2" t="s">
        <v>126</v>
      </c>
      <c r="U237" s="3"/>
      <c r="V237" s="2" t="s">
        <v>126</v>
      </c>
      <c r="W237" s="3"/>
      <c r="X237" s="3"/>
      <c r="Y237" s="2" t="s">
        <v>124</v>
      </c>
      <c r="Z237" s="3"/>
      <c r="AA237" s="3"/>
      <c r="AB237" s="2" t="s">
        <v>105</v>
      </c>
      <c r="AC237" s="2" t="s">
        <v>115</v>
      </c>
      <c r="AD237" s="2" t="s">
        <v>105</v>
      </c>
      <c r="AE237" s="3"/>
      <c r="AF237" s="2" t="s">
        <v>105</v>
      </c>
      <c r="AG237" s="3"/>
      <c r="AH237" s="3"/>
      <c r="AI237" s="3"/>
      <c r="AJ237" s="2" t="s">
        <v>177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2" t="s">
        <v>103</v>
      </c>
      <c r="AW237" s="2" t="s">
        <v>113</v>
      </c>
      <c r="AX237" s="3"/>
      <c r="AY237" s="2" t="s">
        <v>130</v>
      </c>
      <c r="AZ237" s="2" t="s">
        <v>103</v>
      </c>
      <c r="BA237" s="2" t="s">
        <v>113</v>
      </c>
      <c r="BB237" s="3"/>
      <c r="BC237" s="3"/>
      <c r="BD237" s="3"/>
      <c r="BE237" s="3"/>
      <c r="BF237" s="3"/>
      <c r="BG237" s="3"/>
      <c r="BH237" s="2" t="s">
        <v>116</v>
      </c>
      <c r="BI237" s="2" t="s">
        <v>104</v>
      </c>
      <c r="BJ237" s="2" t="s">
        <v>103</v>
      </c>
      <c r="BK237" s="2" t="s">
        <v>110</v>
      </c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2">
        <f>1/2</f>
        <v>0.5</v>
      </c>
      <c r="CD237" s="2" t="s">
        <v>126</v>
      </c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spans="1:103" ht="15.75" customHeight="1" x14ac:dyDescent="0.2">
      <c r="A238" s="2" t="s">
        <v>137</v>
      </c>
      <c r="B238" s="2" t="s">
        <v>212</v>
      </c>
      <c r="C238" s="2" t="s">
        <v>312</v>
      </c>
      <c r="D238" s="3"/>
      <c r="E238" s="2" t="s">
        <v>103</v>
      </c>
      <c r="F238" s="3"/>
      <c r="G238" s="3"/>
      <c r="H238" s="2" t="s">
        <v>124</v>
      </c>
      <c r="I238" s="2" t="s">
        <v>308</v>
      </c>
      <c r="J238" s="2" t="s">
        <v>107</v>
      </c>
      <c r="K238" s="3"/>
      <c r="L238" s="2" t="s">
        <v>232</v>
      </c>
      <c r="M238" s="2" t="s">
        <v>135</v>
      </c>
      <c r="N238" s="2" t="s">
        <v>147</v>
      </c>
      <c r="O238" s="2" t="s">
        <v>113</v>
      </c>
      <c r="P238" s="3"/>
      <c r="Q238" s="2" t="s">
        <v>175</v>
      </c>
      <c r="R238" s="2" t="s">
        <v>136</v>
      </c>
      <c r="S238" s="2" t="s">
        <v>183</v>
      </c>
      <c r="T238" s="2" t="s">
        <v>126</v>
      </c>
      <c r="U238" s="3"/>
      <c r="V238" s="2" t="s">
        <v>132</v>
      </c>
      <c r="W238" s="3"/>
      <c r="X238" s="3"/>
      <c r="Y238" s="2" t="s">
        <v>117</v>
      </c>
      <c r="Z238" s="3"/>
      <c r="AA238" s="3"/>
      <c r="AB238" s="2" t="s">
        <v>212</v>
      </c>
      <c r="AC238" s="2" t="s">
        <v>118</v>
      </c>
      <c r="AD238" s="2" t="s">
        <v>108</v>
      </c>
      <c r="AE238" s="3"/>
      <c r="AF238" s="2" t="s">
        <v>113</v>
      </c>
      <c r="AG238" s="2" t="s">
        <v>139</v>
      </c>
      <c r="AH238" s="2" t="s">
        <v>103</v>
      </c>
      <c r="AI238" s="3"/>
      <c r="AJ238" s="2" t="s">
        <v>174</v>
      </c>
      <c r="AK238" s="2" t="s">
        <v>153</v>
      </c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2" t="s">
        <v>121</v>
      </c>
      <c r="AW238" s="2" t="s">
        <v>139</v>
      </c>
      <c r="AX238" s="3"/>
      <c r="AY238" s="2" t="s">
        <v>112</v>
      </c>
      <c r="AZ238" s="2" t="s">
        <v>118</v>
      </c>
      <c r="BA238" s="2" t="s">
        <v>126</v>
      </c>
      <c r="BB238" s="2" t="s">
        <v>117</v>
      </c>
      <c r="BC238" s="2" t="s">
        <v>218</v>
      </c>
      <c r="BD238" s="2" t="s">
        <v>137</v>
      </c>
      <c r="BE238" s="2" t="s">
        <v>129</v>
      </c>
      <c r="BF238" s="2" t="s">
        <v>111</v>
      </c>
      <c r="BG238" s="4" t="s">
        <v>159</v>
      </c>
      <c r="BH238" s="2" t="s">
        <v>111</v>
      </c>
      <c r="BI238" s="2" t="s">
        <v>132</v>
      </c>
      <c r="BJ238" s="2" t="s">
        <v>103</v>
      </c>
      <c r="BK238" s="2" t="s">
        <v>151</v>
      </c>
      <c r="BL238" s="3"/>
      <c r="BM238" s="2" t="s">
        <v>111</v>
      </c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2">
        <f>1/4</f>
        <v>0.25</v>
      </c>
      <c r="CD238" s="2" t="s">
        <v>126</v>
      </c>
      <c r="CE238" s="3"/>
      <c r="CF238" s="3"/>
      <c r="CG238" s="3"/>
      <c r="CH238" s="3"/>
      <c r="CI238" s="2" t="s">
        <v>111</v>
      </c>
      <c r="CJ238" s="2" t="s">
        <v>109</v>
      </c>
      <c r="CK238" s="2" t="s">
        <v>131</v>
      </c>
      <c r="CL238" s="3"/>
      <c r="CM238" s="3"/>
      <c r="CN238" s="3"/>
      <c r="CO238" s="2" t="s">
        <v>172</v>
      </c>
      <c r="CP238" s="3"/>
      <c r="CQ238" s="3"/>
      <c r="CR238" s="3"/>
      <c r="CS238" s="3"/>
      <c r="CT238" s="3"/>
      <c r="CU238" s="3"/>
      <c r="CV238" s="3"/>
      <c r="CW238" s="3"/>
      <c r="CX238" s="2" t="s">
        <v>108</v>
      </c>
      <c r="CY238" s="2" t="s">
        <v>123</v>
      </c>
    </row>
    <row r="239" spans="1:103" ht="15.75" customHeight="1" x14ac:dyDescent="0.2">
      <c r="A239" s="2" t="s">
        <v>118</v>
      </c>
      <c r="B239" s="2" t="s">
        <v>212</v>
      </c>
      <c r="C239" s="2" t="s">
        <v>312</v>
      </c>
      <c r="D239" s="3"/>
      <c r="E239" s="2" t="s">
        <v>103</v>
      </c>
      <c r="F239" s="3"/>
      <c r="G239" s="3"/>
      <c r="H239" s="2" t="s">
        <v>115</v>
      </c>
      <c r="I239" s="2" t="s">
        <v>281</v>
      </c>
      <c r="J239" s="2" t="s">
        <v>139</v>
      </c>
      <c r="K239" s="3"/>
      <c r="L239" s="2" t="s">
        <v>133</v>
      </c>
      <c r="M239" s="2" t="s">
        <v>129</v>
      </c>
      <c r="N239" s="2" t="s">
        <v>210</v>
      </c>
      <c r="O239" s="2" t="s">
        <v>105</v>
      </c>
      <c r="P239" s="3"/>
      <c r="Q239" s="2" t="s">
        <v>146</v>
      </c>
      <c r="R239" s="2" t="s">
        <v>121</v>
      </c>
      <c r="S239" s="2" t="s">
        <v>106</v>
      </c>
      <c r="T239" s="2" t="s">
        <v>104</v>
      </c>
      <c r="U239" s="3"/>
      <c r="V239" s="2" t="s">
        <v>156</v>
      </c>
      <c r="W239" s="3"/>
      <c r="X239" s="3"/>
      <c r="Y239" s="2" t="s">
        <v>116</v>
      </c>
      <c r="Z239" s="3"/>
      <c r="AA239" s="3"/>
      <c r="AB239" s="2" t="s">
        <v>154</v>
      </c>
      <c r="AC239" s="2" t="s">
        <v>116</v>
      </c>
      <c r="AD239" s="2" t="s">
        <v>105</v>
      </c>
      <c r="AE239" s="3"/>
      <c r="AF239" s="2" t="s">
        <v>139</v>
      </c>
      <c r="AG239" s="2" t="s">
        <v>103</v>
      </c>
      <c r="AH239" s="3"/>
      <c r="AI239" s="3"/>
      <c r="AJ239" s="2" t="s">
        <v>119</v>
      </c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2" t="s">
        <v>116</v>
      </c>
      <c r="AW239" s="2" t="s">
        <v>124</v>
      </c>
      <c r="AX239" s="3"/>
      <c r="AY239" s="2" t="s">
        <v>130</v>
      </c>
      <c r="AZ239" s="3"/>
      <c r="BA239" s="3"/>
      <c r="BB239" s="3"/>
      <c r="BC239" s="3"/>
      <c r="BD239" s="2" t="s">
        <v>116</v>
      </c>
      <c r="BE239" s="2" t="s">
        <v>250</v>
      </c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2">
        <f>1/2</f>
        <v>0.5</v>
      </c>
      <c r="CD239" s="2" t="s">
        <v>107</v>
      </c>
      <c r="CE239" s="3"/>
      <c r="CF239" s="3"/>
      <c r="CG239" s="3"/>
      <c r="CH239" s="3"/>
      <c r="CI239" s="2" t="s">
        <v>116</v>
      </c>
      <c r="CJ239" s="2" t="s">
        <v>145</v>
      </c>
      <c r="CK239" s="2" t="s">
        <v>145</v>
      </c>
      <c r="CL239" s="3"/>
      <c r="CM239" s="3"/>
      <c r="CN239" s="3"/>
      <c r="CO239" s="2" t="s">
        <v>123</v>
      </c>
      <c r="CP239" s="3"/>
      <c r="CQ239" s="3"/>
      <c r="CR239" s="3"/>
      <c r="CS239" s="3"/>
      <c r="CT239" s="3"/>
      <c r="CU239" s="3"/>
      <c r="CV239" s="3"/>
      <c r="CW239" s="3"/>
      <c r="CX239" s="2" t="s">
        <v>139</v>
      </c>
      <c r="CY239" s="4" t="s">
        <v>192</v>
      </c>
    </row>
    <row r="240" spans="1:103" ht="15.75" customHeight="1" x14ac:dyDescent="0.2">
      <c r="A240" s="2" t="s">
        <v>154</v>
      </c>
      <c r="B240" s="2" t="s">
        <v>212</v>
      </c>
      <c r="C240" s="2" t="s">
        <v>312</v>
      </c>
      <c r="D240" s="3"/>
      <c r="E240" s="2" t="s">
        <v>103</v>
      </c>
      <c r="F240" s="3"/>
      <c r="G240" s="3"/>
      <c r="H240" s="2" t="s">
        <v>138</v>
      </c>
      <c r="I240" s="2" t="s">
        <v>136</v>
      </c>
      <c r="J240" s="2" t="s">
        <v>139</v>
      </c>
      <c r="K240" s="3"/>
      <c r="L240" s="2" t="s">
        <v>153</v>
      </c>
      <c r="M240" s="2" t="s">
        <v>109</v>
      </c>
      <c r="N240" s="2" t="s">
        <v>135</v>
      </c>
      <c r="O240" s="3"/>
      <c r="P240" s="3"/>
      <c r="Q240" s="2" t="s">
        <v>239</v>
      </c>
      <c r="R240" s="2" t="s">
        <v>136</v>
      </c>
      <c r="S240" s="2" t="s">
        <v>149</v>
      </c>
      <c r="T240" s="2" t="s">
        <v>166</v>
      </c>
      <c r="U240" s="3"/>
      <c r="V240" s="2" t="s">
        <v>166</v>
      </c>
      <c r="W240" s="3"/>
      <c r="X240" s="3"/>
      <c r="Y240" s="2" t="s">
        <v>116</v>
      </c>
      <c r="Z240" s="3"/>
      <c r="AA240" s="3"/>
      <c r="AB240" s="2" t="s">
        <v>121</v>
      </c>
      <c r="AC240" s="2" t="s">
        <v>116</v>
      </c>
      <c r="AD240" s="2" t="s">
        <v>121</v>
      </c>
      <c r="AE240" s="3"/>
      <c r="AF240" s="3"/>
      <c r="AG240" s="2" t="s">
        <v>121</v>
      </c>
      <c r="AH240" s="3"/>
      <c r="AI240" s="3"/>
      <c r="AJ240" s="2" t="s">
        <v>254</v>
      </c>
      <c r="AK240" s="3"/>
      <c r="AL240" s="2" t="s">
        <v>103</v>
      </c>
      <c r="AM240" s="3"/>
      <c r="AN240" s="3"/>
      <c r="AO240" s="3"/>
      <c r="AP240" s="3"/>
      <c r="AQ240" s="3"/>
      <c r="AR240" s="3"/>
      <c r="AS240" s="3"/>
      <c r="AT240" s="2" t="s">
        <v>103</v>
      </c>
      <c r="AU240" s="2" t="s">
        <v>105</v>
      </c>
      <c r="AV240" s="2" t="s">
        <v>116</v>
      </c>
      <c r="AW240" s="2" t="s">
        <v>139</v>
      </c>
      <c r="AX240" s="3"/>
      <c r="AY240" s="2" t="s">
        <v>109</v>
      </c>
      <c r="AZ240" s="3"/>
      <c r="BA240" s="3"/>
      <c r="BB240" s="4" t="s">
        <v>111</v>
      </c>
      <c r="BC240" s="3"/>
      <c r="BD240" s="3"/>
      <c r="BE240" s="3"/>
      <c r="BF240" s="3"/>
      <c r="BG240" s="3"/>
      <c r="BH240" s="2" t="s">
        <v>111</v>
      </c>
      <c r="BI240" s="2" t="s">
        <v>126</v>
      </c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2" t="s">
        <v>110</v>
      </c>
      <c r="CD240" s="2" t="s">
        <v>211</v>
      </c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2" t="s">
        <v>105</v>
      </c>
      <c r="CY240" s="4" t="s">
        <v>168</v>
      </c>
    </row>
    <row r="241" spans="1:103" ht="15.75" customHeight="1" x14ac:dyDescent="0.2">
      <c r="A241" s="2" t="s">
        <v>105</v>
      </c>
      <c r="B241" s="2" t="s">
        <v>212</v>
      </c>
      <c r="C241" s="2" t="s">
        <v>312</v>
      </c>
      <c r="D241" s="3"/>
      <c r="E241" s="2" t="s">
        <v>103</v>
      </c>
      <c r="F241" s="3"/>
      <c r="G241" s="3"/>
      <c r="H241" s="2" t="s">
        <v>115</v>
      </c>
      <c r="I241" s="3"/>
      <c r="J241" s="3"/>
      <c r="K241" s="3"/>
      <c r="L241" s="2" t="s">
        <v>135</v>
      </c>
      <c r="M241" s="3"/>
      <c r="N241" s="2" t="s">
        <v>109</v>
      </c>
      <c r="O241" s="3"/>
      <c r="P241" s="3"/>
      <c r="Q241" s="3"/>
      <c r="R241" s="3"/>
      <c r="S241" s="2" t="s">
        <v>140</v>
      </c>
      <c r="T241" s="3"/>
      <c r="U241" s="3"/>
      <c r="V241" s="3"/>
      <c r="W241" s="3"/>
      <c r="X241" s="3"/>
      <c r="Y241" s="3"/>
      <c r="Z241" s="3"/>
      <c r="AA241" s="3"/>
      <c r="AB241" s="2" t="s">
        <v>103</v>
      </c>
      <c r="AC241" s="3"/>
      <c r="AD241" s="2" t="s">
        <v>103</v>
      </c>
      <c r="AE241" s="3"/>
      <c r="AF241" s="2" t="s">
        <v>103</v>
      </c>
      <c r="AG241" s="3"/>
      <c r="AH241" s="3"/>
      <c r="AI241" s="3"/>
      <c r="AJ241" s="2" t="s">
        <v>112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2"/>
      <c r="AV241" s="2" t="s">
        <v>116</v>
      </c>
      <c r="AW241" s="2" t="s">
        <v>154</v>
      </c>
      <c r="AX241" s="3"/>
      <c r="AY241" s="2" t="s">
        <v>109</v>
      </c>
      <c r="AZ241" s="3"/>
      <c r="BA241" s="3"/>
      <c r="BB241" s="4" t="s">
        <v>111</v>
      </c>
      <c r="BC241" s="4" t="s">
        <v>196</v>
      </c>
      <c r="BD241" s="2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2" t="s">
        <v>116</v>
      </c>
      <c r="CD241" s="2" t="s">
        <v>220</v>
      </c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spans="1:103" ht="15.75" customHeight="1" x14ac:dyDescent="0.2">
      <c r="A242" s="2" t="s">
        <v>103</v>
      </c>
      <c r="B242" s="2" t="s">
        <v>108</v>
      </c>
      <c r="C242" s="2" t="s">
        <v>312</v>
      </c>
      <c r="D242" s="3"/>
      <c r="E242" s="2" t="s">
        <v>103</v>
      </c>
      <c r="F242" s="3"/>
      <c r="G242" s="3"/>
      <c r="H242" s="2" t="s">
        <v>166</v>
      </c>
      <c r="I242" s="2" t="s">
        <v>130</v>
      </c>
      <c r="J242" s="2" t="s">
        <v>126</v>
      </c>
      <c r="K242" s="2" t="s">
        <v>109</v>
      </c>
      <c r="L242" s="2" t="s">
        <v>232</v>
      </c>
      <c r="M242" s="2" t="s">
        <v>109</v>
      </c>
      <c r="N242" s="2" t="s">
        <v>134</v>
      </c>
      <c r="O242" s="3"/>
      <c r="P242" s="3"/>
      <c r="Q242" s="2" t="s">
        <v>109</v>
      </c>
      <c r="R242" s="2" t="s">
        <v>126</v>
      </c>
      <c r="S242" s="2" t="s">
        <v>147</v>
      </c>
      <c r="T242" s="2" t="s">
        <v>120</v>
      </c>
      <c r="U242" s="3"/>
      <c r="V242" s="2" t="s">
        <v>120</v>
      </c>
      <c r="W242" s="3"/>
      <c r="X242" s="3"/>
      <c r="Y242" s="2" t="s">
        <v>111</v>
      </c>
      <c r="Z242" s="3"/>
      <c r="AA242" s="3"/>
      <c r="AB242" s="2" t="s">
        <v>115</v>
      </c>
      <c r="AC242" s="2" t="s">
        <v>170</v>
      </c>
      <c r="AD242" s="2" t="s">
        <v>115</v>
      </c>
      <c r="AE242" s="3"/>
      <c r="AF242" s="2" t="s">
        <v>115</v>
      </c>
      <c r="AG242" s="3"/>
      <c r="AH242" s="3"/>
      <c r="AI242" s="3"/>
      <c r="AJ242" s="2" t="s">
        <v>149</v>
      </c>
      <c r="AK242" s="3"/>
      <c r="AL242" s="3"/>
      <c r="AM242" s="3"/>
      <c r="AN242" s="3"/>
      <c r="AO242" s="2" t="s">
        <v>159</v>
      </c>
      <c r="AP242" s="3"/>
      <c r="AQ242" s="3"/>
      <c r="AR242" s="3"/>
      <c r="AS242" s="3"/>
      <c r="AT242" s="3"/>
      <c r="AU242" s="3"/>
      <c r="AV242" s="2" t="s">
        <v>116</v>
      </c>
      <c r="AW242" s="2" t="s">
        <v>104</v>
      </c>
      <c r="AX242" s="2" t="s">
        <v>137</v>
      </c>
      <c r="AY242" s="2" t="s">
        <v>145</v>
      </c>
      <c r="AZ242" s="3"/>
      <c r="BA242" s="3"/>
      <c r="BB242" s="2" t="s">
        <v>117</v>
      </c>
      <c r="BC242" s="2" t="s">
        <v>113</v>
      </c>
      <c r="BD242" s="2" t="s">
        <v>103</v>
      </c>
      <c r="BE242" s="2" t="s">
        <v>110</v>
      </c>
      <c r="BF242" s="2" t="s">
        <v>139</v>
      </c>
      <c r="BG242" s="2" t="s">
        <v>145</v>
      </c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2" t="s">
        <v>115</v>
      </c>
      <c r="CD242" s="2" t="s">
        <v>131</v>
      </c>
      <c r="CE242" s="3"/>
      <c r="CF242" s="3"/>
      <c r="CG242" s="3"/>
      <c r="CH242" s="3"/>
      <c r="CI242" s="2" t="s">
        <v>103</v>
      </c>
      <c r="CJ242" s="2" t="s">
        <v>126</v>
      </c>
      <c r="CK242" s="2" t="s">
        <v>109</v>
      </c>
      <c r="CL242" s="3"/>
      <c r="CM242" s="3"/>
      <c r="CN242" s="3"/>
      <c r="CO242" s="2" t="s">
        <v>108</v>
      </c>
      <c r="CP242" s="3"/>
      <c r="CQ242" s="3"/>
      <c r="CR242" s="3"/>
      <c r="CS242" s="3"/>
      <c r="CT242" s="3"/>
      <c r="CU242" s="3"/>
      <c r="CV242" s="3"/>
      <c r="CW242" s="2" t="s">
        <v>110</v>
      </c>
      <c r="CX242" s="2" t="s">
        <v>113</v>
      </c>
      <c r="CY242" s="3"/>
    </row>
    <row r="243" spans="1:103" ht="15.75" customHeight="1" x14ac:dyDescent="0.2">
      <c r="A243" s="2" t="s">
        <v>116</v>
      </c>
      <c r="B243" s="2" t="s">
        <v>108</v>
      </c>
      <c r="C243" s="2" t="s">
        <v>312</v>
      </c>
      <c r="D243" s="3"/>
      <c r="E243" s="2" t="s">
        <v>103</v>
      </c>
      <c r="F243" s="3"/>
      <c r="G243" s="3"/>
      <c r="H243" s="2" t="s">
        <v>141</v>
      </c>
      <c r="I243" s="2" t="s">
        <v>251</v>
      </c>
      <c r="J243" s="2" t="s">
        <v>129</v>
      </c>
      <c r="K243" s="2" t="s">
        <v>112</v>
      </c>
      <c r="L243" s="2" t="s">
        <v>232</v>
      </c>
      <c r="M243" s="2" t="s">
        <v>130</v>
      </c>
      <c r="N243" s="2" t="s">
        <v>178</v>
      </c>
      <c r="O243" s="2" t="s">
        <v>105</v>
      </c>
      <c r="P243" s="3"/>
      <c r="Q243" s="2" t="s">
        <v>112</v>
      </c>
      <c r="R243" s="2" t="s">
        <v>126</v>
      </c>
      <c r="S243" s="2" t="s">
        <v>211</v>
      </c>
      <c r="T243" s="2" t="s">
        <v>136</v>
      </c>
      <c r="U243" s="3"/>
      <c r="V243" s="2" t="s">
        <v>123</v>
      </c>
      <c r="W243" s="3"/>
      <c r="X243" s="3"/>
      <c r="Y243" s="2" t="s">
        <v>137</v>
      </c>
      <c r="Z243" s="3"/>
      <c r="AA243" s="3"/>
      <c r="AB243" s="2" t="s">
        <v>170</v>
      </c>
      <c r="AC243" s="2" t="s">
        <v>110</v>
      </c>
      <c r="AD243" s="2" t="s">
        <v>154</v>
      </c>
      <c r="AE243" s="3"/>
      <c r="AF243" s="2" t="s">
        <v>115</v>
      </c>
      <c r="AG243" s="2" t="s">
        <v>103</v>
      </c>
      <c r="AH243" s="3"/>
      <c r="AI243" s="3"/>
      <c r="AJ243" s="4" t="s">
        <v>155</v>
      </c>
      <c r="AK243" s="3"/>
      <c r="AL243" s="2" t="s">
        <v>224</v>
      </c>
      <c r="AM243" s="2" t="s">
        <v>118</v>
      </c>
      <c r="AN243" s="3"/>
      <c r="AO243" s="3"/>
      <c r="AP243" s="3"/>
      <c r="AQ243" s="2" t="s">
        <v>103</v>
      </c>
      <c r="AR243" s="2" t="s">
        <v>111</v>
      </c>
      <c r="AS243" s="3"/>
      <c r="AT243" s="2" t="s">
        <v>205</v>
      </c>
      <c r="AU243" s="2" t="s">
        <v>140</v>
      </c>
      <c r="AV243" s="2" t="s">
        <v>111</v>
      </c>
      <c r="AW243" s="2" t="s">
        <v>205</v>
      </c>
      <c r="AX243" s="2" t="s">
        <v>117</v>
      </c>
      <c r="AY243" s="2" t="s">
        <v>130</v>
      </c>
      <c r="AZ243" s="2" t="s">
        <v>103</v>
      </c>
      <c r="BA243" s="2" t="s">
        <v>262</v>
      </c>
      <c r="BB243" s="2" t="s">
        <v>111</v>
      </c>
      <c r="BC243" s="4" t="s">
        <v>113</v>
      </c>
      <c r="BD243" s="4">
        <f t="shared" ref="BD243:BD244" si="15">1 +(1/2)</f>
        <v>1.5</v>
      </c>
      <c r="BE243" s="2" t="s">
        <v>172</v>
      </c>
      <c r="BF243" s="4" t="s">
        <v>115</v>
      </c>
      <c r="BG243" s="4" t="s">
        <v>114</v>
      </c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2" t="s">
        <v>111</v>
      </c>
      <c r="CD243" s="2" t="s">
        <v>130</v>
      </c>
      <c r="CE243" s="3"/>
      <c r="CF243" s="3"/>
      <c r="CG243" s="3"/>
      <c r="CH243" s="3"/>
      <c r="CI243" s="2" t="s">
        <v>103</v>
      </c>
      <c r="CJ243" s="2" t="s">
        <v>227</v>
      </c>
      <c r="CK243" s="2" t="s">
        <v>136</v>
      </c>
      <c r="CL243" s="3"/>
      <c r="CM243" s="3"/>
      <c r="CN243" s="3"/>
      <c r="CO243" s="2" t="s">
        <v>104</v>
      </c>
      <c r="CP243" s="3"/>
      <c r="CQ243" s="3"/>
      <c r="CR243" s="3"/>
      <c r="CS243" s="3"/>
      <c r="CT243" s="3"/>
      <c r="CU243" s="3"/>
      <c r="CV243" s="3"/>
      <c r="CW243" s="2" t="s">
        <v>113</v>
      </c>
      <c r="CX243" s="2" t="s">
        <v>136</v>
      </c>
      <c r="CY243" s="3"/>
    </row>
    <row r="244" spans="1:103" ht="15.75" customHeight="1" x14ac:dyDescent="0.2">
      <c r="A244" s="2" t="s">
        <v>117</v>
      </c>
      <c r="B244" s="2" t="s">
        <v>108</v>
      </c>
      <c r="C244" s="2" t="s">
        <v>312</v>
      </c>
      <c r="D244" s="3"/>
      <c r="E244" s="2" t="s">
        <v>103</v>
      </c>
      <c r="F244" s="3"/>
      <c r="G244" s="3"/>
      <c r="H244" s="2" t="s">
        <v>170</v>
      </c>
      <c r="I244" s="2" t="s">
        <v>192</v>
      </c>
      <c r="J244" s="2" t="s">
        <v>111</v>
      </c>
      <c r="K244" s="3"/>
      <c r="L244" s="2" t="s">
        <v>125</v>
      </c>
      <c r="M244" s="2" t="s">
        <v>109</v>
      </c>
      <c r="N244" s="2" t="s">
        <v>145</v>
      </c>
      <c r="O244" s="3"/>
      <c r="P244" s="3"/>
      <c r="Q244" s="3"/>
      <c r="R244" s="3"/>
      <c r="S244" s="2" t="s">
        <v>163</v>
      </c>
      <c r="T244" s="2" t="s">
        <v>110</v>
      </c>
      <c r="U244" s="3"/>
      <c r="V244" s="2" t="s">
        <v>105</v>
      </c>
      <c r="W244" s="3"/>
      <c r="X244" s="3"/>
      <c r="Y244" s="2" t="s">
        <v>103</v>
      </c>
      <c r="Z244" s="3"/>
      <c r="AA244" s="3"/>
      <c r="AB244" s="2" t="s">
        <v>121</v>
      </c>
      <c r="AC244" s="2" t="s">
        <v>117</v>
      </c>
      <c r="AD244" s="4" t="s">
        <v>121</v>
      </c>
      <c r="AE244" s="3"/>
      <c r="AF244" s="2" t="s">
        <v>111</v>
      </c>
      <c r="AG244" s="3"/>
      <c r="AH244" s="3"/>
      <c r="AI244" s="3"/>
      <c r="AJ244" s="2" t="s">
        <v>309</v>
      </c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2" t="s">
        <v>116</v>
      </c>
      <c r="AW244" s="2" t="s">
        <v>105</v>
      </c>
      <c r="AX244" s="3"/>
      <c r="AY244" s="2" t="s">
        <v>109</v>
      </c>
      <c r="AZ244" s="3"/>
      <c r="BA244" s="3"/>
      <c r="BB244" s="2" t="s">
        <v>103</v>
      </c>
      <c r="BC244" s="2" t="s">
        <v>110</v>
      </c>
      <c r="BD244" s="4">
        <f t="shared" si="15"/>
        <v>1.5</v>
      </c>
      <c r="BE244" s="2" t="s">
        <v>126</v>
      </c>
      <c r="BF244" s="3"/>
      <c r="BG244" s="3"/>
      <c r="BH244" s="2" t="s">
        <v>121</v>
      </c>
      <c r="BI244" s="2" t="s">
        <v>126</v>
      </c>
      <c r="BJ244" s="4">
        <f t="shared" ref="BJ244:BJ245" si="16">1 +(1/2)</f>
        <v>1.5</v>
      </c>
      <c r="BK244" s="2" t="s">
        <v>110</v>
      </c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2" t="s">
        <v>111</v>
      </c>
      <c r="CD244" s="2" t="s">
        <v>129</v>
      </c>
      <c r="CE244" s="3"/>
      <c r="CF244" s="3"/>
      <c r="CG244" s="3"/>
      <c r="CH244" s="3"/>
      <c r="CI244" s="2" t="s">
        <v>116</v>
      </c>
      <c r="CJ244" s="2" t="s">
        <v>107</v>
      </c>
      <c r="CK244" s="2" t="s">
        <v>107</v>
      </c>
      <c r="CL244" s="3"/>
      <c r="CM244" s="3"/>
      <c r="CN244" s="3"/>
      <c r="CO244" s="2" t="s">
        <v>113</v>
      </c>
      <c r="CP244" s="3"/>
      <c r="CQ244" s="3"/>
      <c r="CR244" s="3"/>
      <c r="CS244" s="3"/>
      <c r="CT244" s="3"/>
      <c r="CU244" s="3"/>
      <c r="CV244" s="3"/>
      <c r="CW244" s="2" t="s">
        <v>105</v>
      </c>
      <c r="CX244" s="2" t="s">
        <v>108</v>
      </c>
      <c r="CY244" s="3"/>
    </row>
    <row r="245" spans="1:103" ht="15.75" customHeight="1" x14ac:dyDescent="0.2">
      <c r="A245" s="2" t="s">
        <v>111</v>
      </c>
      <c r="B245" s="2" t="s">
        <v>108</v>
      </c>
      <c r="C245" s="2" t="s">
        <v>312</v>
      </c>
      <c r="D245" s="3"/>
      <c r="E245" s="2" t="s">
        <v>103</v>
      </c>
      <c r="F245" s="3"/>
      <c r="G245" s="3"/>
      <c r="H245" s="2" t="s">
        <v>110</v>
      </c>
      <c r="I245" s="2" t="s">
        <v>279</v>
      </c>
      <c r="J245" s="2" t="s">
        <v>105</v>
      </c>
      <c r="K245" s="3"/>
      <c r="L245" s="2" t="s">
        <v>234</v>
      </c>
      <c r="M245" s="2" t="s">
        <v>129</v>
      </c>
      <c r="N245" s="2" t="s">
        <v>165</v>
      </c>
      <c r="O245" s="2" t="s">
        <v>107</v>
      </c>
      <c r="P245" s="3"/>
      <c r="Q245" s="2" t="s">
        <v>112</v>
      </c>
      <c r="R245" s="2" t="s">
        <v>107</v>
      </c>
      <c r="S245" s="2" t="s">
        <v>147</v>
      </c>
      <c r="T245" s="2" t="s">
        <v>123</v>
      </c>
      <c r="U245" s="3"/>
      <c r="V245" s="2" t="s">
        <v>136</v>
      </c>
      <c r="W245" s="3"/>
      <c r="X245" s="3"/>
      <c r="Y245" s="2" t="s">
        <v>111</v>
      </c>
      <c r="Z245" s="3"/>
      <c r="AA245" s="3"/>
      <c r="AB245" s="2" t="s">
        <v>105</v>
      </c>
      <c r="AC245" s="2" t="s">
        <v>105</v>
      </c>
      <c r="AD245" s="2" t="s">
        <v>105</v>
      </c>
      <c r="AE245" s="3"/>
      <c r="AF245" s="2" t="s">
        <v>137</v>
      </c>
      <c r="AG245" s="3"/>
      <c r="AH245" s="3"/>
      <c r="AI245" s="3"/>
      <c r="AJ245" s="2" t="s">
        <v>155</v>
      </c>
      <c r="AK245" s="3"/>
      <c r="AL245" s="2" t="s">
        <v>116</v>
      </c>
      <c r="AM245" s="3"/>
      <c r="AN245" s="3"/>
      <c r="AO245" s="3"/>
      <c r="AP245" s="3"/>
      <c r="AQ245" s="3"/>
      <c r="AR245" s="3"/>
      <c r="AS245" s="3"/>
      <c r="AT245" s="2" t="s">
        <v>116</v>
      </c>
      <c r="AU245" s="2" t="s">
        <v>110</v>
      </c>
      <c r="AV245" s="2" t="s">
        <v>137</v>
      </c>
      <c r="AW245" s="2" t="s">
        <v>113</v>
      </c>
      <c r="AX245" s="3"/>
      <c r="AY245" s="2" t="s">
        <v>130</v>
      </c>
      <c r="AZ245" s="3"/>
      <c r="BA245" s="3"/>
      <c r="BB245" s="3"/>
      <c r="BC245" s="3"/>
      <c r="BD245" s="2" t="s">
        <v>116</v>
      </c>
      <c r="BE245" s="2" t="s">
        <v>113</v>
      </c>
      <c r="BF245" s="3"/>
      <c r="BG245" s="3"/>
      <c r="BH245" s="2" t="s">
        <v>116</v>
      </c>
      <c r="BI245" s="4" t="s">
        <v>126</v>
      </c>
      <c r="BJ245" s="4">
        <f t="shared" si="16"/>
        <v>1.5</v>
      </c>
      <c r="BK245" s="2" t="s">
        <v>185</v>
      </c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2" t="s">
        <v>121</v>
      </c>
      <c r="CD245" s="4" t="s">
        <v>134</v>
      </c>
      <c r="CE245" s="3"/>
      <c r="CF245" s="3"/>
      <c r="CG245" s="3"/>
      <c r="CH245" s="3"/>
      <c r="CI245" s="2" t="s">
        <v>103</v>
      </c>
      <c r="CJ245" s="2" t="s">
        <v>108</v>
      </c>
      <c r="CK245" s="2" t="s">
        <v>108</v>
      </c>
      <c r="CL245" s="3"/>
      <c r="CM245" s="3"/>
      <c r="CN245" s="3"/>
      <c r="CO245" s="4" t="s">
        <v>113</v>
      </c>
      <c r="CP245" s="3"/>
      <c r="CQ245" s="3"/>
      <c r="CR245" s="3"/>
      <c r="CS245" s="3"/>
      <c r="CT245" s="3"/>
      <c r="CU245" s="3"/>
      <c r="CV245" s="3"/>
      <c r="CW245" s="2" t="s">
        <v>110</v>
      </c>
      <c r="CX245" s="2" t="s">
        <v>104</v>
      </c>
      <c r="CY245" s="3"/>
    </row>
    <row r="246" spans="1:103" ht="15.75" customHeight="1" x14ac:dyDescent="0.2">
      <c r="A246" s="2" t="s">
        <v>121</v>
      </c>
      <c r="B246" s="2" t="s">
        <v>108</v>
      </c>
      <c r="C246" s="2" t="s">
        <v>312</v>
      </c>
      <c r="D246" s="3"/>
      <c r="E246" s="2" t="s">
        <v>103</v>
      </c>
      <c r="F246" s="3"/>
      <c r="G246" s="3"/>
      <c r="H246" s="2" t="s">
        <v>115</v>
      </c>
      <c r="I246" s="2" t="s">
        <v>111</v>
      </c>
      <c r="J246" s="3"/>
      <c r="K246" s="3"/>
      <c r="L246" s="2" t="s">
        <v>106</v>
      </c>
      <c r="M246" s="2" t="s">
        <v>126</v>
      </c>
      <c r="N246" s="2" t="s">
        <v>126</v>
      </c>
      <c r="O246" s="3"/>
      <c r="P246" s="3"/>
      <c r="Q246" s="2" t="s">
        <v>126</v>
      </c>
      <c r="R246" s="2" t="s">
        <v>105</v>
      </c>
      <c r="S246" s="2" t="s">
        <v>123</v>
      </c>
      <c r="T246" s="2" t="s">
        <v>111</v>
      </c>
      <c r="U246" s="3"/>
      <c r="V246" s="2" t="s">
        <v>111</v>
      </c>
      <c r="W246" s="3"/>
      <c r="X246" s="3"/>
      <c r="Y246" s="2" t="s">
        <v>103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2" t="s">
        <v>103</v>
      </c>
      <c r="AW246" s="2" t="s">
        <v>105</v>
      </c>
      <c r="AX246" s="3"/>
      <c r="AY246" s="2" t="s">
        <v>109</v>
      </c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2" t="s">
        <v>115</v>
      </c>
      <c r="CD246" s="2" t="s">
        <v>130</v>
      </c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spans="1:103" ht="15.75" customHeight="1" x14ac:dyDescent="0.2">
      <c r="A247" s="2" t="s">
        <v>115</v>
      </c>
      <c r="B247" s="2" t="s">
        <v>108</v>
      </c>
      <c r="C247" s="2" t="s">
        <v>312</v>
      </c>
      <c r="D247" s="3"/>
      <c r="E247" s="2" t="s">
        <v>103</v>
      </c>
      <c r="F247" s="3"/>
      <c r="G247" s="3"/>
      <c r="H247" s="2" t="s">
        <v>122</v>
      </c>
      <c r="I247" s="2" t="s">
        <v>108</v>
      </c>
      <c r="J247" s="2" t="s">
        <v>105</v>
      </c>
      <c r="K247" s="3"/>
      <c r="L247" s="2" t="s">
        <v>125</v>
      </c>
      <c r="M247" s="2" t="s">
        <v>126</v>
      </c>
      <c r="N247" s="2" t="s">
        <v>130</v>
      </c>
      <c r="O247" s="2" t="s">
        <v>121</v>
      </c>
      <c r="P247" s="3"/>
      <c r="Q247" s="3"/>
      <c r="R247" s="3"/>
      <c r="S247" s="2" t="s">
        <v>131</v>
      </c>
      <c r="T247" s="2" t="s">
        <v>139</v>
      </c>
      <c r="U247" s="3"/>
      <c r="V247" s="2" t="s">
        <v>105</v>
      </c>
      <c r="W247" s="3"/>
      <c r="X247" s="3"/>
      <c r="Y247" s="2" t="s">
        <v>116</v>
      </c>
      <c r="Z247" s="3"/>
      <c r="AA247" s="3"/>
      <c r="AB247" s="2" t="s">
        <v>116</v>
      </c>
      <c r="AC247" s="2" t="s">
        <v>103</v>
      </c>
      <c r="AD247" s="2" t="s">
        <v>103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2" t="s">
        <v>117</v>
      </c>
      <c r="AW247" s="2" t="s">
        <v>122</v>
      </c>
      <c r="AX247" s="3"/>
      <c r="AY247" s="2" t="s">
        <v>112</v>
      </c>
      <c r="AZ247" s="3"/>
      <c r="BA247" s="3"/>
      <c r="BB247" s="2" t="s">
        <v>117</v>
      </c>
      <c r="BC247" s="2" t="s">
        <v>126</v>
      </c>
      <c r="BD247" s="2" t="s">
        <v>117</v>
      </c>
      <c r="BE247" s="2" t="s">
        <v>126</v>
      </c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2" t="s">
        <v>118</v>
      </c>
      <c r="CD247" s="2" t="s">
        <v>145</v>
      </c>
      <c r="CE247" s="3"/>
      <c r="CF247" s="3"/>
      <c r="CG247" s="3"/>
      <c r="CH247" s="3"/>
      <c r="CI247" s="2" t="s">
        <v>103</v>
      </c>
      <c r="CJ247" s="2" t="s">
        <v>104</v>
      </c>
      <c r="CK247" s="2" t="s">
        <v>126</v>
      </c>
      <c r="CL247" s="3"/>
      <c r="CM247" s="3"/>
      <c r="CN247" s="3"/>
      <c r="CO247" s="2" t="s">
        <v>121</v>
      </c>
      <c r="CP247" s="3"/>
      <c r="CQ247" s="3"/>
      <c r="CR247" s="3"/>
      <c r="CS247" s="3"/>
      <c r="CT247" s="3"/>
      <c r="CU247" s="3"/>
      <c r="CV247" s="3"/>
      <c r="CW247" s="2" t="s">
        <v>105</v>
      </c>
      <c r="CX247" s="2" t="s">
        <v>108</v>
      </c>
      <c r="CY247" s="3"/>
    </row>
    <row r="248" spans="1:103" ht="15.75" customHeight="1" x14ac:dyDescent="0.2">
      <c r="A248" s="2" t="s">
        <v>137</v>
      </c>
      <c r="B248" s="2" t="s">
        <v>108</v>
      </c>
      <c r="C248" s="2" t="s">
        <v>312</v>
      </c>
      <c r="D248" s="3"/>
      <c r="E248" s="2" t="s">
        <v>103</v>
      </c>
      <c r="F248" s="3"/>
      <c r="G248" s="3"/>
      <c r="H248" s="2" t="s">
        <v>196</v>
      </c>
      <c r="I248" s="2" t="s">
        <v>132</v>
      </c>
      <c r="J248" s="2" t="s">
        <v>121</v>
      </c>
      <c r="K248" s="3"/>
      <c r="L248" s="2" t="s">
        <v>195</v>
      </c>
      <c r="M248" s="2" t="s">
        <v>131</v>
      </c>
      <c r="N248" s="2" t="s">
        <v>134</v>
      </c>
      <c r="O248" s="2" t="s">
        <v>113</v>
      </c>
      <c r="P248" s="3"/>
      <c r="Q248" s="2" t="s">
        <v>116</v>
      </c>
      <c r="R248" s="3"/>
      <c r="S248" s="2" t="s">
        <v>149</v>
      </c>
      <c r="T248" s="2" t="s">
        <v>107</v>
      </c>
      <c r="U248" s="3"/>
      <c r="V248" s="2" t="s">
        <v>146</v>
      </c>
      <c r="W248" s="3"/>
      <c r="X248" s="3"/>
      <c r="Y248" s="2" t="s">
        <v>111</v>
      </c>
      <c r="Z248" s="3"/>
      <c r="AA248" s="3"/>
      <c r="AB248" s="2" t="s">
        <v>154</v>
      </c>
      <c r="AC248" s="2" t="s">
        <v>117</v>
      </c>
      <c r="AD248" s="2" t="s">
        <v>154</v>
      </c>
      <c r="AE248" s="3"/>
      <c r="AF248" s="2" t="s">
        <v>137</v>
      </c>
      <c r="AG248" s="3"/>
      <c r="AH248" s="3"/>
      <c r="AI248" s="3"/>
      <c r="AJ248" s="2" t="s">
        <v>155</v>
      </c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2" t="s">
        <v>111</v>
      </c>
      <c r="AW248" s="2" t="s">
        <v>110</v>
      </c>
      <c r="AX248" s="3"/>
      <c r="AY248" s="2" t="s">
        <v>130</v>
      </c>
      <c r="AZ248" s="2" t="s">
        <v>121</v>
      </c>
      <c r="BA248" s="2" t="s">
        <v>120</v>
      </c>
      <c r="BB248" s="2" t="s">
        <v>117</v>
      </c>
      <c r="BC248" s="2" t="s">
        <v>107</v>
      </c>
      <c r="BD248" s="3"/>
      <c r="BE248" s="3"/>
      <c r="BF248" s="2" t="s">
        <v>116</v>
      </c>
      <c r="BG248" s="2" t="s">
        <v>266</v>
      </c>
      <c r="BH248" s="3"/>
      <c r="BI248" s="3"/>
      <c r="BJ248" s="4">
        <f>2 +(1/2)</f>
        <v>2.5</v>
      </c>
      <c r="BK248" s="2" t="s">
        <v>224</v>
      </c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2" t="s">
        <v>111</v>
      </c>
      <c r="CD248" s="2" t="s">
        <v>131</v>
      </c>
      <c r="CE248" s="3"/>
      <c r="CF248" s="3"/>
      <c r="CG248" s="3"/>
      <c r="CH248" s="3"/>
      <c r="CI248" s="2" t="s">
        <v>103</v>
      </c>
      <c r="CJ248" s="2" t="s">
        <v>104</v>
      </c>
      <c r="CK248" s="2" t="s">
        <v>104</v>
      </c>
      <c r="CL248" s="3"/>
      <c r="CM248" s="3"/>
      <c r="CN248" s="3"/>
      <c r="CO248" s="2" t="s">
        <v>105</v>
      </c>
      <c r="CP248" s="3"/>
      <c r="CQ248" s="3"/>
      <c r="CR248" s="3"/>
      <c r="CS248" s="3"/>
      <c r="CT248" s="3"/>
      <c r="CU248" s="3"/>
      <c r="CV248" s="3"/>
      <c r="CW248" s="2" t="s">
        <v>113</v>
      </c>
      <c r="CX248" s="2" t="s">
        <v>126</v>
      </c>
      <c r="CY248" s="3"/>
    </row>
    <row r="249" spans="1:103" ht="15.75" customHeight="1" x14ac:dyDescent="0.2">
      <c r="A249" s="2" t="s">
        <v>118</v>
      </c>
      <c r="B249" s="2" t="s">
        <v>108</v>
      </c>
      <c r="C249" s="2" t="s">
        <v>312</v>
      </c>
      <c r="D249" s="3"/>
      <c r="E249" s="2" t="s">
        <v>103</v>
      </c>
      <c r="F249" s="3"/>
      <c r="G249" s="3"/>
      <c r="H249" s="2" t="s">
        <v>115</v>
      </c>
      <c r="I249" s="2" t="s">
        <v>111</v>
      </c>
      <c r="J249" s="3"/>
      <c r="K249" s="3"/>
      <c r="L249" s="2" t="s">
        <v>134</v>
      </c>
      <c r="M249" s="3"/>
      <c r="N249" s="3"/>
      <c r="O249" s="3"/>
      <c r="P249" s="3"/>
      <c r="Q249" s="2" t="s">
        <v>126</v>
      </c>
      <c r="R249" s="2" t="s">
        <v>105</v>
      </c>
      <c r="S249" s="2" t="s">
        <v>109</v>
      </c>
      <c r="T249" s="2" t="s">
        <v>111</v>
      </c>
      <c r="U249" s="3"/>
      <c r="V249" s="2" t="s">
        <v>111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2" t="s">
        <v>103</v>
      </c>
      <c r="BE249" s="2" t="s">
        <v>108</v>
      </c>
      <c r="BF249" s="3"/>
      <c r="BG249" s="3"/>
      <c r="BH249" s="3"/>
      <c r="BI249" s="3"/>
      <c r="BJ249" s="2" t="s">
        <v>116</v>
      </c>
      <c r="BK249" s="2" t="s">
        <v>108</v>
      </c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2" t="s">
        <v>103</v>
      </c>
      <c r="CD249" s="2" t="s">
        <v>109</v>
      </c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spans="1:103" ht="15.75" customHeight="1" x14ac:dyDescent="0.2">
      <c r="A250" s="2" t="s">
        <v>154</v>
      </c>
      <c r="B250" s="2" t="s">
        <v>108</v>
      </c>
      <c r="C250" s="2" t="s">
        <v>312</v>
      </c>
      <c r="D250" s="3"/>
      <c r="E250" s="2" t="s">
        <v>103</v>
      </c>
      <c r="F250" s="3"/>
      <c r="G250" s="3"/>
      <c r="H250" s="2" t="s">
        <v>111</v>
      </c>
      <c r="I250" s="3"/>
      <c r="J250" s="3"/>
      <c r="K250" s="3"/>
      <c r="L250" s="2" t="s">
        <v>134</v>
      </c>
      <c r="M250" s="3"/>
      <c r="N250" s="2" t="s">
        <v>129</v>
      </c>
      <c r="O250" s="3"/>
      <c r="P250" s="3"/>
      <c r="Q250" s="3"/>
      <c r="R250" s="3"/>
      <c r="S250" s="2" t="s">
        <v>109</v>
      </c>
      <c r="T250" s="3"/>
      <c r="U250" s="3"/>
      <c r="V250" s="3"/>
      <c r="W250" s="3"/>
      <c r="X250" s="3"/>
      <c r="Y250" s="2" t="s">
        <v>117</v>
      </c>
      <c r="Z250" s="3"/>
      <c r="AA250" s="3"/>
      <c r="AB250" s="2" t="s">
        <v>116</v>
      </c>
      <c r="AC250" s="2" t="s">
        <v>103</v>
      </c>
      <c r="AD250" s="2" t="s">
        <v>116</v>
      </c>
      <c r="AE250" s="3"/>
      <c r="AF250" s="2" t="s">
        <v>103</v>
      </c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2" t="s">
        <v>103</v>
      </c>
      <c r="AW250" s="2" t="s">
        <v>105</v>
      </c>
      <c r="AX250" s="3"/>
      <c r="AY250" s="2" t="s">
        <v>109</v>
      </c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spans="1:103" ht="15.75" customHeight="1" x14ac:dyDescent="0.2">
      <c r="A251" s="2" t="s">
        <v>105</v>
      </c>
      <c r="B251" s="2" t="s">
        <v>108</v>
      </c>
      <c r="C251" s="2" t="s">
        <v>312</v>
      </c>
      <c r="D251" s="3"/>
      <c r="E251" s="2" t="s">
        <v>103</v>
      </c>
      <c r="F251" s="3"/>
      <c r="G251" s="3"/>
      <c r="H251" s="2" t="s">
        <v>137</v>
      </c>
      <c r="I251" s="2" t="s">
        <v>160</v>
      </c>
      <c r="J251" s="2" t="s">
        <v>111</v>
      </c>
      <c r="K251" s="3"/>
      <c r="L251" s="2" t="s">
        <v>153</v>
      </c>
      <c r="M251" s="2" t="s">
        <v>109</v>
      </c>
      <c r="N251" s="2" t="s">
        <v>149</v>
      </c>
      <c r="O251" s="2" t="s">
        <v>110</v>
      </c>
      <c r="P251" s="3"/>
      <c r="Q251" s="2" t="s">
        <v>145</v>
      </c>
      <c r="R251" s="2" t="s">
        <v>126</v>
      </c>
      <c r="S251" s="2" t="s">
        <v>149</v>
      </c>
      <c r="T251" s="2" t="s">
        <v>126</v>
      </c>
      <c r="U251" s="3"/>
      <c r="V251" s="2" t="s">
        <v>107</v>
      </c>
      <c r="W251" s="3"/>
      <c r="X251" s="3"/>
      <c r="Y251" s="2" t="s">
        <v>111</v>
      </c>
      <c r="Z251" s="3"/>
      <c r="AA251" s="3"/>
      <c r="AB251" s="2" t="s">
        <v>151</v>
      </c>
      <c r="AC251" s="2" t="s">
        <v>139</v>
      </c>
      <c r="AD251" s="2" t="s">
        <v>151</v>
      </c>
      <c r="AE251" s="3"/>
      <c r="AF251" s="2" t="s">
        <v>170</v>
      </c>
      <c r="AG251" s="3"/>
      <c r="AH251" s="3"/>
      <c r="AI251" s="3"/>
      <c r="AJ251" s="2" t="s">
        <v>155</v>
      </c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2" t="s">
        <v>111</v>
      </c>
      <c r="AW251" s="2" t="s">
        <v>105</v>
      </c>
      <c r="AX251" s="3"/>
      <c r="AY251" s="2" t="s">
        <v>105</v>
      </c>
      <c r="AZ251" s="3"/>
      <c r="BA251" s="3"/>
      <c r="BB251" s="3"/>
      <c r="BC251" s="3"/>
      <c r="BD251" s="3"/>
      <c r="BE251" s="3"/>
      <c r="BF251" s="2" t="s">
        <v>111</v>
      </c>
      <c r="BG251" s="4" t="s">
        <v>113</v>
      </c>
      <c r="BH251" s="3"/>
      <c r="BI251" s="3"/>
      <c r="BJ251" s="4">
        <f>1 +(1/2)</f>
        <v>1.5</v>
      </c>
      <c r="BK251" s="2" t="s">
        <v>146</v>
      </c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2">
        <f>3/4</f>
        <v>0.75</v>
      </c>
      <c r="CD251" s="2" t="s">
        <v>126</v>
      </c>
      <c r="CE251" s="3"/>
      <c r="CF251" s="3"/>
      <c r="CG251" s="3"/>
      <c r="CH251" s="3"/>
      <c r="CI251" s="2" t="s">
        <v>103</v>
      </c>
      <c r="CJ251" s="2" t="s">
        <v>113</v>
      </c>
      <c r="CK251" s="2" t="s">
        <v>114</v>
      </c>
      <c r="CL251" s="3"/>
      <c r="CM251" s="3"/>
      <c r="CN251" s="3"/>
      <c r="CO251" s="2" t="s">
        <v>136</v>
      </c>
      <c r="CP251" s="3"/>
      <c r="CQ251" s="3"/>
      <c r="CR251" s="3"/>
      <c r="CS251" s="3"/>
      <c r="CT251" s="3"/>
      <c r="CU251" s="3"/>
      <c r="CV251" s="3"/>
      <c r="CW251" s="2" t="s">
        <v>107</v>
      </c>
      <c r="CX251" s="2" t="s">
        <v>114</v>
      </c>
      <c r="CY251" s="3"/>
    </row>
    <row r="252" spans="1:103" ht="15.75" customHeight="1" x14ac:dyDescent="0.2">
      <c r="A252" s="2" t="s">
        <v>103</v>
      </c>
      <c r="B252" s="2" t="s">
        <v>216</v>
      </c>
      <c r="C252" s="2" t="s">
        <v>312</v>
      </c>
      <c r="D252" s="3"/>
      <c r="E252" s="2" t="s">
        <v>103</v>
      </c>
      <c r="F252" s="3"/>
      <c r="G252" s="3"/>
      <c r="H252" s="2" t="s">
        <v>105</v>
      </c>
      <c r="I252" s="2" t="s">
        <v>139</v>
      </c>
      <c r="J252" s="2" t="s">
        <v>103</v>
      </c>
      <c r="K252" s="3"/>
      <c r="L252" s="2" t="s">
        <v>106</v>
      </c>
      <c r="M252" s="3"/>
      <c r="N252" s="3"/>
      <c r="O252" s="3"/>
      <c r="P252" s="3"/>
      <c r="Q252" s="3"/>
      <c r="R252" s="3"/>
      <c r="S252" s="2" t="s">
        <v>145</v>
      </c>
      <c r="T252" s="2" t="s">
        <v>105</v>
      </c>
      <c r="U252" s="3"/>
      <c r="V252" s="2" t="s">
        <v>105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2" t="s">
        <v>139</v>
      </c>
      <c r="BG252" s="2" t="s">
        <v>310</v>
      </c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spans="1:103" ht="15.75" customHeight="1" x14ac:dyDescent="0.2">
      <c r="A253" s="2" t="s">
        <v>116</v>
      </c>
      <c r="B253" s="2" t="s">
        <v>216</v>
      </c>
      <c r="C253" s="2" t="s">
        <v>312</v>
      </c>
      <c r="D253" s="3"/>
      <c r="E253" s="2" t="s">
        <v>103</v>
      </c>
      <c r="F253" s="3"/>
      <c r="G253" s="3"/>
      <c r="H253" s="2" t="s">
        <v>170</v>
      </c>
      <c r="I253" s="2" t="s">
        <v>120</v>
      </c>
      <c r="J253" s="2" t="s">
        <v>137</v>
      </c>
      <c r="K253" s="3"/>
      <c r="L253" s="2" t="s">
        <v>144</v>
      </c>
      <c r="M253" s="2" t="s">
        <v>130</v>
      </c>
      <c r="N253" s="2" t="s">
        <v>222</v>
      </c>
      <c r="O253" s="3"/>
      <c r="P253" s="3"/>
      <c r="Q253" s="2" t="s">
        <v>143</v>
      </c>
      <c r="R253" s="2" t="s">
        <v>104</v>
      </c>
      <c r="S253" s="2" t="s">
        <v>155</v>
      </c>
      <c r="T253" s="2" t="s">
        <v>107</v>
      </c>
      <c r="U253" s="3"/>
      <c r="V253" s="2" t="s">
        <v>136</v>
      </c>
      <c r="W253" s="3"/>
      <c r="X253" s="3"/>
      <c r="Y253" s="2" t="s">
        <v>121</v>
      </c>
      <c r="Z253" s="3"/>
      <c r="AA253" s="3"/>
      <c r="AB253" s="2" t="s">
        <v>170</v>
      </c>
      <c r="AC253" s="2" t="s">
        <v>151</v>
      </c>
      <c r="AD253" s="2" t="s">
        <v>139</v>
      </c>
      <c r="AE253" s="3"/>
      <c r="AF253" s="2" t="s">
        <v>117</v>
      </c>
      <c r="AG253" s="2" t="s">
        <v>117</v>
      </c>
      <c r="AH253" s="3"/>
      <c r="AI253" s="3"/>
      <c r="AJ253" s="2" t="s">
        <v>125</v>
      </c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2" t="s">
        <v>116</v>
      </c>
      <c r="AW253" s="2" t="s">
        <v>122</v>
      </c>
      <c r="AX253" s="3"/>
      <c r="AY253" s="2" t="s">
        <v>112</v>
      </c>
      <c r="AZ253" s="3"/>
      <c r="BA253" s="3"/>
      <c r="BB253" s="3"/>
      <c r="BC253" s="3"/>
      <c r="BD253" s="2" t="s">
        <v>117</v>
      </c>
      <c r="BE253" s="2" t="s">
        <v>109</v>
      </c>
      <c r="BF253" s="2" t="s">
        <v>118</v>
      </c>
      <c r="BG253" s="2" t="s">
        <v>186</v>
      </c>
      <c r="BH253" s="3"/>
      <c r="BI253" s="3"/>
      <c r="BJ253" s="4">
        <f>1 +(1/2)</f>
        <v>1.5</v>
      </c>
      <c r="BK253" s="2" t="s">
        <v>113</v>
      </c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2" t="s">
        <v>103</v>
      </c>
      <c r="CD253" s="2" t="s">
        <v>109</v>
      </c>
      <c r="CE253" s="3"/>
      <c r="CF253" s="3"/>
      <c r="CG253" s="3"/>
      <c r="CH253" s="3"/>
      <c r="CI253" s="2" t="s">
        <v>116</v>
      </c>
      <c r="CJ253" s="2" t="s">
        <v>112</v>
      </c>
      <c r="CK253" s="2" t="s">
        <v>145</v>
      </c>
      <c r="CL253" s="3"/>
      <c r="CM253" s="3"/>
      <c r="CN253" s="3"/>
      <c r="CO253" s="2" t="s">
        <v>112</v>
      </c>
      <c r="CP253" s="3"/>
      <c r="CQ253" s="3"/>
      <c r="CR253" s="3"/>
      <c r="CS253" s="3"/>
      <c r="CT253" s="3"/>
      <c r="CU253" s="3"/>
      <c r="CV253" s="3"/>
      <c r="CW253" s="3"/>
      <c r="CX253" s="2" t="s">
        <v>122</v>
      </c>
      <c r="CY253" s="3"/>
    </row>
    <row r="254" spans="1:103" ht="15.75" customHeight="1" x14ac:dyDescent="0.2">
      <c r="A254" s="2" t="s">
        <v>117</v>
      </c>
      <c r="B254" s="2" t="s">
        <v>216</v>
      </c>
      <c r="C254" s="2" t="s">
        <v>312</v>
      </c>
      <c r="D254" s="3"/>
      <c r="E254" s="2" t="s">
        <v>103</v>
      </c>
      <c r="F254" s="3"/>
      <c r="G254" s="3"/>
      <c r="H254" s="2" t="s">
        <v>137</v>
      </c>
      <c r="I254" s="2" t="s">
        <v>126</v>
      </c>
      <c r="J254" s="2" t="s">
        <v>103</v>
      </c>
      <c r="K254" s="3"/>
      <c r="L254" s="2" t="s">
        <v>230</v>
      </c>
      <c r="M254" s="2" t="s">
        <v>126</v>
      </c>
      <c r="N254" s="4" t="s">
        <v>129</v>
      </c>
      <c r="O254" s="2" t="s">
        <v>110</v>
      </c>
      <c r="P254" s="3"/>
      <c r="Q254" s="2" t="s">
        <v>146</v>
      </c>
      <c r="R254" s="2" t="s">
        <v>146</v>
      </c>
      <c r="S254" s="2" t="s">
        <v>134</v>
      </c>
      <c r="T254" s="2" t="s">
        <v>104</v>
      </c>
      <c r="U254" s="3"/>
      <c r="V254" s="2" t="s">
        <v>104</v>
      </c>
      <c r="W254" s="3"/>
      <c r="X254" s="3"/>
      <c r="Y254" s="2" t="s">
        <v>103</v>
      </c>
      <c r="Z254" s="3"/>
      <c r="AA254" s="3"/>
      <c r="AB254" s="2" t="s">
        <v>105</v>
      </c>
      <c r="AC254" s="3"/>
      <c r="AD254" s="2" t="s">
        <v>154</v>
      </c>
      <c r="AE254" s="2" t="s">
        <v>116</v>
      </c>
      <c r="AF254" s="2" t="s">
        <v>118</v>
      </c>
      <c r="AG254" s="3"/>
      <c r="AH254" s="3"/>
      <c r="AI254" s="3"/>
      <c r="AJ254" s="2" t="s">
        <v>155</v>
      </c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2" t="s">
        <v>111</v>
      </c>
      <c r="AW254" s="2" t="s">
        <v>113</v>
      </c>
      <c r="AX254" s="3"/>
      <c r="AY254" s="2" t="s">
        <v>130</v>
      </c>
      <c r="AZ254" s="3"/>
      <c r="BA254" s="3"/>
      <c r="BB254" s="3"/>
      <c r="BC254" s="3"/>
      <c r="BD254" s="2" t="s">
        <v>117</v>
      </c>
      <c r="BE254" s="2" t="s">
        <v>108</v>
      </c>
      <c r="BF254" s="2" t="s">
        <v>117</v>
      </c>
      <c r="BG254" s="2" t="s">
        <v>123</v>
      </c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2" t="s">
        <v>103</v>
      </c>
      <c r="CD254" s="2" t="s">
        <v>113</v>
      </c>
      <c r="CE254" s="3"/>
      <c r="CF254" s="3"/>
      <c r="CG254" s="3"/>
      <c r="CH254" s="3"/>
      <c r="CI254" s="2" t="s">
        <v>103</v>
      </c>
      <c r="CJ254" s="2" t="s">
        <v>113</v>
      </c>
      <c r="CK254" s="2" t="s">
        <v>126</v>
      </c>
      <c r="CL254" s="3"/>
      <c r="CM254" s="3"/>
      <c r="CN254" s="3"/>
      <c r="CO254" s="2" t="s">
        <v>118</v>
      </c>
      <c r="CP254" s="3"/>
      <c r="CQ254" s="3"/>
      <c r="CR254" s="3"/>
      <c r="CS254" s="3"/>
      <c r="CT254" s="3"/>
      <c r="CU254" s="3"/>
      <c r="CV254" s="3"/>
      <c r="CW254" s="3"/>
      <c r="CX254" s="2" t="s">
        <v>113</v>
      </c>
      <c r="CY254" s="2" t="s">
        <v>104</v>
      </c>
    </row>
    <row r="255" spans="1:103" ht="15.75" customHeight="1" x14ac:dyDescent="0.2">
      <c r="A255" s="2" t="s">
        <v>111</v>
      </c>
      <c r="B255" s="2" t="s">
        <v>216</v>
      </c>
      <c r="C255" s="2" t="s">
        <v>312</v>
      </c>
      <c r="D255" s="3"/>
      <c r="E255" s="3"/>
      <c r="F255" s="3"/>
      <c r="G255" s="2" t="s">
        <v>103</v>
      </c>
      <c r="H255" s="2" t="s">
        <v>124</v>
      </c>
      <c r="I255" s="2" t="s">
        <v>268</v>
      </c>
      <c r="J255" s="2" t="s">
        <v>105</v>
      </c>
      <c r="K255" s="3"/>
      <c r="L255" s="2" t="s">
        <v>214</v>
      </c>
      <c r="M255" s="2" t="s">
        <v>130</v>
      </c>
      <c r="N255" s="2" t="s">
        <v>183</v>
      </c>
      <c r="O255" s="2" t="s">
        <v>110</v>
      </c>
      <c r="P255" s="3"/>
      <c r="Q255" s="2" t="s">
        <v>107</v>
      </c>
      <c r="R255" s="2" t="s">
        <v>111</v>
      </c>
      <c r="S255" s="2" t="s">
        <v>128</v>
      </c>
      <c r="T255" s="4" t="s">
        <v>181</v>
      </c>
      <c r="U255" s="3"/>
      <c r="V255" s="2" t="s">
        <v>143</v>
      </c>
      <c r="W255" s="3"/>
      <c r="X255" s="3"/>
      <c r="Y255" s="2" t="s">
        <v>117</v>
      </c>
      <c r="Z255" s="3"/>
      <c r="AA255" s="3"/>
      <c r="AB255" s="2" t="s">
        <v>191</v>
      </c>
      <c r="AC255" s="2" t="s">
        <v>154</v>
      </c>
      <c r="AD255" s="2" t="s">
        <v>105</v>
      </c>
      <c r="AE255" s="2" t="s">
        <v>115</v>
      </c>
      <c r="AF255" s="2" t="s">
        <v>105</v>
      </c>
      <c r="AG255" s="2" t="s">
        <v>103</v>
      </c>
      <c r="AH255" s="3"/>
      <c r="AI255" s="3"/>
      <c r="AJ255" s="2" t="s">
        <v>311</v>
      </c>
      <c r="AK255" s="2" t="s">
        <v>207</v>
      </c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2" t="s">
        <v>154</v>
      </c>
      <c r="AW255" s="2" t="s">
        <v>104</v>
      </c>
      <c r="AX255" s="3"/>
      <c r="AY255" s="2" t="s">
        <v>145</v>
      </c>
      <c r="AZ255" s="2" t="s">
        <v>103</v>
      </c>
      <c r="BA255" s="2" t="s">
        <v>196</v>
      </c>
      <c r="BB255" s="2" t="s">
        <v>117</v>
      </c>
      <c r="BC255" s="2" t="s">
        <v>156</v>
      </c>
      <c r="BD255" s="2" t="s">
        <v>121</v>
      </c>
      <c r="BE255" s="2" t="s">
        <v>182</v>
      </c>
      <c r="BF255" s="2" t="s">
        <v>115</v>
      </c>
      <c r="BG255" s="2" t="s">
        <v>130</v>
      </c>
      <c r="BH255" s="3"/>
      <c r="BI255" s="3"/>
      <c r="BJ255" s="4">
        <f>1 +(1/2)</f>
        <v>1.5</v>
      </c>
      <c r="BK255" s="2" t="s">
        <v>108</v>
      </c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4">
        <f>1 +(1/2)</f>
        <v>1.5</v>
      </c>
      <c r="CD255" s="2" t="s">
        <v>109</v>
      </c>
      <c r="CE255" s="3"/>
      <c r="CF255" s="3"/>
      <c r="CG255" s="3"/>
      <c r="CH255" s="3"/>
      <c r="CI255" s="2" t="s">
        <v>117</v>
      </c>
      <c r="CJ255" s="2" t="s">
        <v>112</v>
      </c>
      <c r="CK255" s="2" t="s">
        <v>165</v>
      </c>
      <c r="CL255" s="3"/>
      <c r="CM255" s="3"/>
      <c r="CN255" s="3"/>
      <c r="CO255" s="2" t="s">
        <v>143</v>
      </c>
      <c r="CP255" s="3"/>
      <c r="CQ255" s="3"/>
      <c r="CR255" s="3"/>
      <c r="CS255" s="3"/>
      <c r="CT255" s="3"/>
      <c r="CU255" s="3"/>
      <c r="CV255" s="3"/>
      <c r="CW255" s="3"/>
      <c r="CX255" s="3"/>
      <c r="CY255" s="2" t="s">
        <v>136</v>
      </c>
    </row>
    <row r="256" spans="1:103" ht="15.75" customHeight="1" x14ac:dyDescent="0.2">
      <c r="A256" s="2" t="s">
        <v>121</v>
      </c>
      <c r="B256" s="2" t="s">
        <v>216</v>
      </c>
      <c r="C256" s="2" t="s">
        <v>312</v>
      </c>
      <c r="D256" s="3"/>
      <c r="E256" s="2" t="s">
        <v>103</v>
      </c>
      <c r="F256" s="3"/>
      <c r="G256" s="3"/>
      <c r="H256" s="2" t="s">
        <v>115</v>
      </c>
      <c r="I256" s="2" t="s">
        <v>139</v>
      </c>
      <c r="J256" s="2" t="s">
        <v>115</v>
      </c>
      <c r="K256" s="3"/>
      <c r="L256" s="2" t="s">
        <v>125</v>
      </c>
      <c r="M256" s="3"/>
      <c r="N256" s="3"/>
      <c r="O256" s="3"/>
      <c r="P256" s="3"/>
      <c r="Q256" s="3"/>
      <c r="R256" s="3"/>
      <c r="S256" s="2" t="s">
        <v>130</v>
      </c>
      <c r="T256" s="2" t="s">
        <v>139</v>
      </c>
      <c r="U256" s="3"/>
      <c r="V256" s="2" t="s">
        <v>110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2" t="s">
        <v>116</v>
      </c>
      <c r="BC256" s="2" t="s">
        <v>113</v>
      </c>
      <c r="BD256" s="2" t="s">
        <v>103</v>
      </c>
      <c r="BE256" s="2" t="s">
        <v>104</v>
      </c>
      <c r="BF256" s="2" t="s">
        <v>117</v>
      </c>
      <c r="BG256" s="2" t="s">
        <v>109</v>
      </c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spans="1:103" ht="15.75" customHeight="1" x14ac:dyDescent="0.2">
      <c r="A257" s="2" t="s">
        <v>115</v>
      </c>
      <c r="B257" s="2" t="s">
        <v>216</v>
      </c>
      <c r="C257" s="2" t="s">
        <v>312</v>
      </c>
      <c r="D257" s="3"/>
      <c r="E257" s="2" t="s">
        <v>103</v>
      </c>
      <c r="F257" s="3"/>
      <c r="G257" s="3"/>
      <c r="H257" s="2" t="s">
        <v>103</v>
      </c>
      <c r="I257" s="2" t="s">
        <v>117</v>
      </c>
      <c r="J257" s="2" t="s">
        <v>116</v>
      </c>
      <c r="K257" s="3"/>
      <c r="L257" s="2" t="s">
        <v>165</v>
      </c>
      <c r="M257" s="3"/>
      <c r="N257" s="2" t="s">
        <v>123</v>
      </c>
      <c r="O257" s="3"/>
      <c r="P257" s="3"/>
      <c r="Q257" s="3"/>
      <c r="R257" s="3"/>
      <c r="S257" s="3"/>
      <c r="T257" s="2" t="s">
        <v>103</v>
      </c>
      <c r="U257" s="3"/>
      <c r="V257" s="2" t="s">
        <v>103</v>
      </c>
      <c r="W257" s="3"/>
      <c r="X257" s="3"/>
      <c r="Y257" s="3"/>
      <c r="Z257" s="3"/>
      <c r="AA257" s="3"/>
      <c r="AB257" s="2" t="s">
        <v>103</v>
      </c>
      <c r="AC257" s="3"/>
      <c r="AD257" s="2" t="s">
        <v>103</v>
      </c>
      <c r="AE257" s="3"/>
      <c r="AF257" s="2" t="s">
        <v>103</v>
      </c>
      <c r="AG257" s="3"/>
      <c r="AH257" s="3"/>
      <c r="AI257" s="3"/>
      <c r="AJ257" s="2" t="s">
        <v>112</v>
      </c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2" t="s">
        <v>103</v>
      </c>
      <c r="AW257" s="2" t="s">
        <v>105</v>
      </c>
      <c r="AX257" s="3"/>
      <c r="AY257" s="2" t="s">
        <v>109</v>
      </c>
      <c r="AZ257" s="3"/>
      <c r="BA257" s="3"/>
      <c r="BB257" s="3"/>
      <c r="BC257" s="3"/>
      <c r="BD257" s="2">
        <f>1/2</f>
        <v>0.5</v>
      </c>
      <c r="BE257" s="2" t="s">
        <v>110</v>
      </c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2">
        <f t="shared" ref="CC257:CC258" si="17">1/2</f>
        <v>0.5</v>
      </c>
      <c r="CD257" s="2" t="s">
        <v>113</v>
      </c>
      <c r="CE257" s="3"/>
      <c r="CF257" s="3"/>
      <c r="CG257" s="3"/>
      <c r="CH257" s="3"/>
      <c r="CI257" s="2" t="s">
        <v>103</v>
      </c>
      <c r="CJ257" s="2" t="s">
        <v>139</v>
      </c>
      <c r="CK257" s="2" t="s">
        <v>105</v>
      </c>
      <c r="CL257" s="3"/>
      <c r="CM257" s="3"/>
      <c r="CN257" s="3"/>
      <c r="CO257" s="2" t="s">
        <v>121</v>
      </c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spans="1:103" ht="15.75" customHeight="1" x14ac:dyDescent="0.2">
      <c r="A258" s="2" t="s">
        <v>137</v>
      </c>
      <c r="B258" s="2" t="s">
        <v>216</v>
      </c>
      <c r="C258" s="2" t="s">
        <v>312</v>
      </c>
      <c r="D258" s="3"/>
      <c r="E258" s="2" t="s">
        <v>103</v>
      </c>
      <c r="F258" s="3"/>
      <c r="G258" s="3"/>
      <c r="H258" s="2" t="s">
        <v>115</v>
      </c>
      <c r="I258" s="2" t="s">
        <v>108</v>
      </c>
      <c r="J258" s="2" t="s">
        <v>115</v>
      </c>
      <c r="K258" s="3"/>
      <c r="L258" s="2" t="s">
        <v>153</v>
      </c>
      <c r="M258" s="2" t="s">
        <v>109</v>
      </c>
      <c r="N258" s="2" t="s">
        <v>135</v>
      </c>
      <c r="O258" s="2" t="s">
        <v>105</v>
      </c>
      <c r="P258" s="3"/>
      <c r="Q258" s="2" t="s">
        <v>109</v>
      </c>
      <c r="R258" s="2" t="s">
        <v>113</v>
      </c>
      <c r="S258" s="2" t="s">
        <v>134</v>
      </c>
      <c r="T258" s="2" t="s">
        <v>139</v>
      </c>
      <c r="U258" s="3"/>
      <c r="V258" s="2" t="s">
        <v>110</v>
      </c>
      <c r="W258" s="3"/>
      <c r="X258" s="3"/>
      <c r="Y258" s="2" t="s">
        <v>103</v>
      </c>
      <c r="Z258" s="3"/>
      <c r="AA258" s="3"/>
      <c r="AB258" s="2" t="s">
        <v>111</v>
      </c>
      <c r="AC258" s="2" t="s">
        <v>116</v>
      </c>
      <c r="AD258" s="2" t="s">
        <v>111</v>
      </c>
      <c r="AE258" s="3"/>
      <c r="AF258" s="2" t="s">
        <v>116</v>
      </c>
      <c r="AG258" s="3"/>
      <c r="AH258" s="3"/>
      <c r="AI258" s="3"/>
      <c r="AJ258" s="2" t="s">
        <v>165</v>
      </c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2" t="s">
        <v>116</v>
      </c>
      <c r="AW258" s="2" t="s">
        <v>105</v>
      </c>
      <c r="AX258" s="2" t="s">
        <v>105</v>
      </c>
      <c r="AY258" s="2" t="s">
        <v>130</v>
      </c>
      <c r="AZ258" s="2" t="s">
        <v>103</v>
      </c>
      <c r="BA258" s="2" t="s">
        <v>110</v>
      </c>
      <c r="BB258" s="3"/>
      <c r="BC258" s="3"/>
      <c r="BD258" s="2" t="s">
        <v>116</v>
      </c>
      <c r="BE258" s="2" t="s">
        <v>132</v>
      </c>
      <c r="BF258" s="2" t="s">
        <v>111</v>
      </c>
      <c r="BG258" s="2" t="s">
        <v>159</v>
      </c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2">
        <f t="shared" si="17"/>
        <v>0.5</v>
      </c>
      <c r="CD258" s="2" t="s">
        <v>136</v>
      </c>
      <c r="CE258" s="3"/>
      <c r="CF258" s="3"/>
      <c r="CG258" s="3"/>
      <c r="CH258" s="3"/>
      <c r="CI258" s="2" t="s">
        <v>103</v>
      </c>
      <c r="CJ258" s="2" t="s">
        <v>113</v>
      </c>
      <c r="CK258" s="2" t="s">
        <v>168</v>
      </c>
      <c r="CL258" s="3"/>
      <c r="CM258" s="3"/>
      <c r="CN258" s="3"/>
      <c r="CO258" s="2" t="s">
        <v>110</v>
      </c>
      <c r="CP258" s="3"/>
      <c r="CQ258" s="3"/>
      <c r="CR258" s="3"/>
      <c r="CS258" s="3"/>
      <c r="CT258" s="3"/>
      <c r="CU258" s="3"/>
      <c r="CV258" s="3"/>
      <c r="CW258" s="3"/>
      <c r="CX258" s="4" t="s">
        <v>105</v>
      </c>
      <c r="CY258" s="2" t="s">
        <v>113</v>
      </c>
    </row>
    <row r="259" spans="1:103" ht="15.75" customHeight="1" x14ac:dyDescent="0.2">
      <c r="A259" s="2" t="s">
        <v>118</v>
      </c>
      <c r="B259" s="2" t="s">
        <v>216</v>
      </c>
      <c r="C259" s="2" t="s">
        <v>312</v>
      </c>
      <c r="D259" s="3"/>
      <c r="E259" s="2" t="s">
        <v>103</v>
      </c>
      <c r="F259" s="3"/>
      <c r="G259" s="3"/>
      <c r="H259" s="2" t="s">
        <v>105</v>
      </c>
      <c r="I259" s="2" t="s">
        <v>114</v>
      </c>
      <c r="J259" s="2" t="s">
        <v>113</v>
      </c>
      <c r="K259" s="3"/>
      <c r="L259" s="2" t="s">
        <v>223</v>
      </c>
      <c r="M259" s="2" t="s">
        <v>129</v>
      </c>
      <c r="N259" s="2" t="s">
        <v>134</v>
      </c>
      <c r="O259" s="2" t="s">
        <v>105</v>
      </c>
      <c r="P259" s="3"/>
      <c r="Q259" s="2" t="s">
        <v>130</v>
      </c>
      <c r="R259" s="2" t="s">
        <v>126</v>
      </c>
      <c r="S259" s="2" t="s">
        <v>149</v>
      </c>
      <c r="T259" s="2" t="s">
        <v>126</v>
      </c>
      <c r="U259" s="3"/>
      <c r="V259" s="2" t="s">
        <v>136</v>
      </c>
      <c r="W259" s="3"/>
      <c r="X259" s="3"/>
      <c r="Y259" s="2" t="s">
        <v>117</v>
      </c>
      <c r="Z259" s="3"/>
      <c r="AA259" s="3"/>
      <c r="AB259" s="2" t="s">
        <v>105</v>
      </c>
      <c r="AC259" s="2" t="s">
        <v>115</v>
      </c>
      <c r="AD259" s="2" t="s">
        <v>105</v>
      </c>
      <c r="AE259" s="3"/>
      <c r="AF259" s="2" t="s">
        <v>115</v>
      </c>
      <c r="AG259" s="3"/>
      <c r="AH259" s="3"/>
      <c r="AI259" s="3"/>
      <c r="AJ259" s="2" t="s">
        <v>155</v>
      </c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2" t="s">
        <v>111</v>
      </c>
      <c r="AW259" s="2" t="s">
        <v>110</v>
      </c>
      <c r="AX259" s="3"/>
      <c r="AY259" s="2" t="s">
        <v>112</v>
      </c>
      <c r="AZ259" s="2" t="s">
        <v>116</v>
      </c>
      <c r="BA259" s="2" t="s">
        <v>224</v>
      </c>
      <c r="BB259" s="3"/>
      <c r="BC259" s="3"/>
      <c r="BD259" s="2">
        <f>1/2</f>
        <v>0.5</v>
      </c>
      <c r="BE259" s="2" t="s">
        <v>123</v>
      </c>
      <c r="BF259" s="4">
        <f>1 +(1/2)</f>
        <v>1.5</v>
      </c>
      <c r="BG259" s="3"/>
      <c r="BH259" s="3"/>
      <c r="BI259" s="3"/>
      <c r="BJ259" s="2" t="s">
        <v>111</v>
      </c>
      <c r="BK259" s="4" t="s">
        <v>136</v>
      </c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2" t="s">
        <v>103</v>
      </c>
      <c r="CD259" s="2" t="s">
        <v>143</v>
      </c>
      <c r="CE259" s="3"/>
      <c r="CF259" s="3"/>
      <c r="CG259" s="3"/>
      <c r="CH259" s="3"/>
      <c r="CI259" s="2" t="s">
        <v>103</v>
      </c>
      <c r="CJ259" s="2" t="s">
        <v>107</v>
      </c>
      <c r="CK259" s="2" t="s">
        <v>186</v>
      </c>
      <c r="CL259" s="3"/>
      <c r="CM259" s="3"/>
      <c r="CN259" s="3"/>
      <c r="CO259" s="2" t="s">
        <v>181</v>
      </c>
      <c r="CP259" s="3"/>
      <c r="CQ259" s="3"/>
      <c r="CR259" s="3"/>
      <c r="CS259" s="3"/>
      <c r="CT259" s="3"/>
      <c r="CU259" s="3"/>
      <c r="CV259" s="3"/>
      <c r="CW259" s="3"/>
      <c r="CX259" s="4" t="s">
        <v>105</v>
      </c>
      <c r="CY259" s="2" t="s">
        <v>104</v>
      </c>
    </row>
    <row r="260" spans="1:103" ht="15.75" customHeight="1" x14ac:dyDescent="0.2">
      <c r="A260" s="2" t="s">
        <v>154</v>
      </c>
      <c r="B260" s="2" t="s">
        <v>216</v>
      </c>
      <c r="C260" s="2" t="s">
        <v>312</v>
      </c>
      <c r="D260" s="3"/>
      <c r="E260" s="3"/>
      <c r="F260" s="3"/>
      <c r="G260" s="2" t="s">
        <v>103</v>
      </c>
      <c r="H260" s="2" t="s">
        <v>113</v>
      </c>
      <c r="I260" s="2" t="s">
        <v>140</v>
      </c>
      <c r="J260" s="2" t="s">
        <v>107</v>
      </c>
      <c r="K260" s="3"/>
      <c r="L260" s="2" t="s">
        <v>232</v>
      </c>
      <c r="M260" s="2" t="s">
        <v>112</v>
      </c>
      <c r="N260" s="2" t="s">
        <v>142</v>
      </c>
      <c r="O260" s="2" t="s">
        <v>105</v>
      </c>
      <c r="P260" s="3"/>
      <c r="Q260" s="2" t="s">
        <v>130</v>
      </c>
      <c r="R260" s="2" t="s">
        <v>126</v>
      </c>
      <c r="S260" s="2" t="s">
        <v>165</v>
      </c>
      <c r="T260" s="2" t="s">
        <v>126</v>
      </c>
      <c r="U260" s="3"/>
      <c r="V260" s="2" t="s">
        <v>107</v>
      </c>
      <c r="W260" s="3"/>
      <c r="X260" s="3"/>
      <c r="Y260" s="2" t="s">
        <v>111</v>
      </c>
      <c r="Z260" s="3"/>
      <c r="AA260" s="3"/>
      <c r="AB260" s="2" t="s">
        <v>122</v>
      </c>
      <c r="AC260" s="2" t="s">
        <v>137</v>
      </c>
      <c r="AD260" s="2" t="s">
        <v>139</v>
      </c>
      <c r="AE260" s="3"/>
      <c r="AF260" s="2" t="s">
        <v>105</v>
      </c>
      <c r="AG260" s="3"/>
      <c r="AH260" s="3"/>
      <c r="AI260" s="3"/>
      <c r="AJ260" s="2" t="s">
        <v>125</v>
      </c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2" t="s">
        <v>111</v>
      </c>
      <c r="AW260" s="2" t="s">
        <v>108</v>
      </c>
      <c r="AX260" s="3"/>
      <c r="AY260" s="2" t="s">
        <v>130</v>
      </c>
      <c r="AZ260" s="2" t="s">
        <v>103</v>
      </c>
      <c r="BA260" s="2" t="s">
        <v>113</v>
      </c>
      <c r="BB260" s="2" t="s">
        <v>103</v>
      </c>
      <c r="BC260" s="2" t="s">
        <v>105</v>
      </c>
      <c r="BD260" s="2" t="s">
        <v>111</v>
      </c>
      <c r="BE260" s="2" t="s">
        <v>109</v>
      </c>
      <c r="BF260" s="2" t="s">
        <v>105</v>
      </c>
      <c r="BG260" s="2" t="s">
        <v>145</v>
      </c>
      <c r="BH260" s="3"/>
      <c r="BI260" s="3"/>
      <c r="BJ260" s="2" t="s">
        <v>103</v>
      </c>
      <c r="BK260" s="2" t="s">
        <v>113</v>
      </c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2" t="s">
        <v>103</v>
      </c>
      <c r="CD260" s="2" t="s">
        <v>109</v>
      </c>
      <c r="CE260" s="3"/>
      <c r="CF260" s="3"/>
      <c r="CG260" s="3"/>
      <c r="CH260" s="3"/>
      <c r="CI260" s="2" t="s">
        <v>116</v>
      </c>
      <c r="CJ260" s="2" t="s">
        <v>109</v>
      </c>
      <c r="CK260" s="2" t="s">
        <v>130</v>
      </c>
      <c r="CL260" s="3"/>
      <c r="CM260" s="3"/>
      <c r="CN260" s="3"/>
      <c r="CO260" s="2" t="s">
        <v>109</v>
      </c>
      <c r="CP260" s="3"/>
      <c r="CQ260" s="3"/>
      <c r="CR260" s="3"/>
      <c r="CS260" s="3"/>
      <c r="CT260" s="3"/>
      <c r="CU260" s="3"/>
      <c r="CV260" s="3"/>
      <c r="CW260" s="3"/>
      <c r="CX260" s="4" t="s">
        <v>108</v>
      </c>
      <c r="CY260" s="2" t="s">
        <v>123</v>
      </c>
    </row>
    <row r="261" spans="1:103" ht="15.75" customHeight="1" x14ac:dyDescent="0.2">
      <c r="A261" s="2" t="s">
        <v>105</v>
      </c>
      <c r="B261" s="2" t="s">
        <v>216</v>
      </c>
      <c r="C261" s="2" t="s">
        <v>312</v>
      </c>
      <c r="D261" s="3"/>
      <c r="E261" s="2" t="s">
        <v>103</v>
      </c>
      <c r="F261" s="3"/>
      <c r="G261" s="3"/>
      <c r="H261" s="2" t="s">
        <v>113</v>
      </c>
      <c r="I261" s="2" t="s">
        <v>140</v>
      </c>
      <c r="J261" s="2" t="s">
        <v>109</v>
      </c>
      <c r="K261" s="3"/>
      <c r="L261" s="2" t="s">
        <v>232</v>
      </c>
      <c r="M261" s="2" t="s">
        <v>130</v>
      </c>
      <c r="N261" s="2" t="s">
        <v>142</v>
      </c>
      <c r="O261" s="3"/>
      <c r="P261" s="3"/>
      <c r="Q261" s="2" t="s">
        <v>131</v>
      </c>
      <c r="R261" s="2" t="s">
        <v>109</v>
      </c>
      <c r="S261" s="2" t="s">
        <v>125</v>
      </c>
      <c r="T261" s="2" t="s">
        <v>109</v>
      </c>
      <c r="U261" s="3"/>
      <c r="V261" s="2" t="s">
        <v>109</v>
      </c>
      <c r="W261" s="3"/>
      <c r="X261" s="3"/>
      <c r="Y261" s="2" t="s">
        <v>111</v>
      </c>
      <c r="Z261" s="3"/>
      <c r="AA261" s="3"/>
      <c r="AB261" s="3"/>
      <c r="AC261" s="2" t="s">
        <v>108</v>
      </c>
      <c r="AD261" s="3"/>
      <c r="AE261" s="2" t="s">
        <v>108</v>
      </c>
      <c r="AF261" s="2" t="s">
        <v>108</v>
      </c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4" t="s">
        <v>139</v>
      </c>
      <c r="AX261" s="3"/>
      <c r="AY261" s="2" t="s">
        <v>109</v>
      </c>
      <c r="AZ261" s="3"/>
      <c r="BA261" s="3"/>
      <c r="BB261" s="3"/>
      <c r="BC261" s="3"/>
      <c r="BD261" s="2" t="s">
        <v>111</v>
      </c>
      <c r="BE261" s="2" t="s">
        <v>109</v>
      </c>
      <c r="BF261" s="2" t="s">
        <v>105</v>
      </c>
      <c r="BG261" s="4" t="s">
        <v>131</v>
      </c>
      <c r="BH261" s="3"/>
      <c r="BI261" s="3"/>
      <c r="BJ261" s="4" t="s">
        <v>121</v>
      </c>
      <c r="BK261" s="2" t="s">
        <v>108</v>
      </c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2" t="s">
        <v>103</v>
      </c>
      <c r="CD261" s="2" t="s">
        <v>109</v>
      </c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4" t="s">
        <v>142</v>
      </c>
      <c r="CY261" s="2" t="s">
        <v>149</v>
      </c>
    </row>
    <row r="262" spans="1:10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spans="1:10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spans="1:10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spans="1:10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spans="1:10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spans="1:10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spans="1:10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spans="1:10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spans="1:10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spans="1:10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spans="1:10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spans="1:10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spans="1:10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spans="1:10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spans="1:10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spans="1:10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spans="1:10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spans="1:10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spans="1:10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spans="1:10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spans="1:10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spans="1:10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spans="1:10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spans="1:10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spans="1:10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spans="1:10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spans="1:10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spans="1:10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spans="1:10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spans="1:10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spans="1:10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spans="1:10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spans="1:10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spans="1:10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spans="1:10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spans="1:10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spans="1:10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spans="1:10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spans="1:10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spans="1:10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spans="1:10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spans="1:10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spans="1:10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spans="1:10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spans="1:10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spans="1:10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spans="1:10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spans="1:10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spans="1:10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spans="1:10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spans="1:10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spans="1:10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spans="1:10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spans="1:10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spans="1:10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spans="1:10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spans="1:10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spans="1:10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spans="1:10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spans="1:10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spans="1:10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spans="1:10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spans="1:10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spans="1:10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spans="1:10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spans="1:10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spans="1:10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spans="1:10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spans="1:10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spans="1:10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spans="1:10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spans="1:10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spans="1:10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spans="1:10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spans="1:10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spans="1:10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spans="1:10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spans="1:10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  <row r="340" spans="1:10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</row>
    <row r="341" spans="1:10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</row>
    <row r="342" spans="1:10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</row>
    <row r="343" spans="1:10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</row>
    <row r="344" spans="1:10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</row>
    <row r="345" spans="1:10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</row>
    <row r="346" spans="1:10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</row>
    <row r="347" spans="1:10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</row>
    <row r="348" spans="1:10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</row>
    <row r="349" spans="1:10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</row>
    <row r="350" spans="1:10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</row>
    <row r="351" spans="1:10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</row>
    <row r="352" spans="1:10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</row>
    <row r="353" spans="1:10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</row>
    <row r="354" spans="1:10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</row>
    <row r="355" spans="1:10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</row>
    <row r="356" spans="1:10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</row>
    <row r="357" spans="1:10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</row>
    <row r="358" spans="1:10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</row>
    <row r="359" spans="1:10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</row>
    <row r="360" spans="1:10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</row>
    <row r="361" spans="1:10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</row>
    <row r="362" spans="1:10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</row>
    <row r="363" spans="1:10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</row>
    <row r="364" spans="1:10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</row>
    <row r="365" spans="1:10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</row>
    <row r="366" spans="1:10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</row>
    <row r="367" spans="1:10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</row>
    <row r="368" spans="1:10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</row>
    <row r="369" spans="1:10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</row>
    <row r="370" spans="1:10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</row>
    <row r="371" spans="1:10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</row>
    <row r="372" spans="1:10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</row>
    <row r="373" spans="1:10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</row>
    <row r="374" spans="1:10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</row>
    <row r="375" spans="1:10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</row>
    <row r="376" spans="1:10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</row>
    <row r="377" spans="1:10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</row>
    <row r="378" spans="1:10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</row>
    <row r="379" spans="1:10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</row>
    <row r="380" spans="1:10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</row>
    <row r="381" spans="1:10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</row>
    <row r="382" spans="1:10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</row>
    <row r="383" spans="1:10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</row>
    <row r="384" spans="1:10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</row>
    <row r="385" spans="1:10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</row>
    <row r="386" spans="1:10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</row>
    <row r="387" spans="1:10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</row>
    <row r="388" spans="1:10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</row>
    <row r="389" spans="1:10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</row>
    <row r="390" spans="1:10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</row>
    <row r="391" spans="1:10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</row>
    <row r="392" spans="1:10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</row>
    <row r="393" spans="1:10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</row>
    <row r="394" spans="1:10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</row>
    <row r="395" spans="1:10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</row>
    <row r="396" spans="1:10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</row>
    <row r="397" spans="1:10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</row>
    <row r="398" spans="1:10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</row>
    <row r="399" spans="1:10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</row>
    <row r="400" spans="1:10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</row>
    <row r="401" spans="1:10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</row>
    <row r="402" spans="1:10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</row>
    <row r="403" spans="1:10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</row>
    <row r="404" spans="1:10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</row>
    <row r="405" spans="1:10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</row>
    <row r="406" spans="1:10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</row>
    <row r="407" spans="1:10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</row>
    <row r="408" spans="1:10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</row>
    <row r="409" spans="1:10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</row>
    <row r="410" spans="1:10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</row>
    <row r="411" spans="1:10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</row>
    <row r="412" spans="1:10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</row>
    <row r="413" spans="1:10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</row>
    <row r="414" spans="1:10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</row>
    <row r="415" spans="1:10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</row>
    <row r="416" spans="1:10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</row>
    <row r="417" spans="1:10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</row>
    <row r="418" spans="1:10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</row>
    <row r="419" spans="1:10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</row>
    <row r="420" spans="1:10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</row>
    <row r="421" spans="1:10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</row>
    <row r="422" spans="1:10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</row>
    <row r="423" spans="1:10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</row>
    <row r="424" spans="1:10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</row>
    <row r="425" spans="1:10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</row>
    <row r="426" spans="1:10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</row>
    <row r="427" spans="1:10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</row>
    <row r="428" spans="1:10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</row>
    <row r="429" spans="1:10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</row>
    <row r="430" spans="1:10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</row>
    <row r="431" spans="1:10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</row>
    <row r="432" spans="1:10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</row>
    <row r="433" spans="1:10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</row>
    <row r="434" spans="1:10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</row>
    <row r="435" spans="1:10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</row>
    <row r="436" spans="1:10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</row>
    <row r="437" spans="1:10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</row>
    <row r="438" spans="1:10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</row>
    <row r="439" spans="1:10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</row>
    <row r="440" spans="1:10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</row>
    <row r="441" spans="1:10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</row>
    <row r="442" spans="1:10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</row>
    <row r="443" spans="1:10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</row>
    <row r="444" spans="1:10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</row>
    <row r="445" spans="1:10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</row>
    <row r="446" spans="1:10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</row>
    <row r="447" spans="1:10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</row>
    <row r="448" spans="1:10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</row>
    <row r="449" spans="1:10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</row>
    <row r="450" spans="1:10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</row>
    <row r="451" spans="1:10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</row>
    <row r="452" spans="1:10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</row>
    <row r="453" spans="1:10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</row>
    <row r="454" spans="1:10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</row>
    <row r="455" spans="1:10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</row>
    <row r="456" spans="1:10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</row>
    <row r="457" spans="1:10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</row>
    <row r="458" spans="1:10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</row>
    <row r="459" spans="1:10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</row>
    <row r="460" spans="1:10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</row>
    <row r="461" spans="1:10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1880 Ferrisburg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Gregg, Amanda</cp:lastModifiedBy>
  <dcterms:modified xsi:type="dcterms:W3CDTF">2025-08-21T14:38:59Z</dcterms:modified>
</cp:coreProperties>
</file>