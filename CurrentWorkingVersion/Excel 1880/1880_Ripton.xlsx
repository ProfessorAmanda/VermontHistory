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80_Ripton_NoNames" sheetId="1" r:id="rId4"/>
  </sheets>
  <definedNames/>
  <calcPr/>
</workbook>
</file>

<file path=xl/sharedStrings.xml><?xml version="1.0" encoding="utf-8"?>
<sst xmlns="http://schemas.openxmlformats.org/spreadsheetml/2006/main" count="2846" uniqueCount="262">
  <si>
    <t>rown</t>
  </si>
  <si>
    <t>pg_num</t>
  </si>
  <si>
    <t>town</t>
  </si>
  <si>
    <t>Name Original</t>
  </si>
  <si>
    <t>owner</t>
  </si>
  <si>
    <t>monthly_rental</t>
  </si>
  <si>
    <t>share_rental</t>
  </si>
  <si>
    <t>tilled</t>
  </si>
  <si>
    <t>meadow</t>
  </si>
  <si>
    <t>woodland</t>
  </si>
  <si>
    <t>other_unimproved</t>
  </si>
  <si>
    <t>cash_val</t>
  </si>
  <si>
    <t>machine_val</t>
  </si>
  <si>
    <t>livestock_val</t>
  </si>
  <si>
    <t>cost_fences</t>
  </si>
  <si>
    <t>cost_fertilizers</t>
  </si>
  <si>
    <t>wages</t>
  </si>
  <si>
    <t>weeks_hired</t>
  </si>
  <si>
    <t>total_val</t>
  </si>
  <si>
    <t>mown_grass</t>
  </si>
  <si>
    <t>unmown_grass</t>
  </si>
  <si>
    <t>hay</t>
  </si>
  <si>
    <t>clover</t>
  </si>
  <si>
    <t>grass</t>
  </si>
  <si>
    <t>horse</t>
  </si>
  <si>
    <t>mules</t>
  </si>
  <si>
    <t>oxen</t>
  </si>
  <si>
    <t>milkcow</t>
  </si>
  <si>
    <t>cattle</t>
  </si>
  <si>
    <t>calves</t>
  </si>
  <si>
    <t>cattle_purchased</t>
  </si>
  <si>
    <t>cattle_soldliving</t>
  </si>
  <si>
    <t>cattle_slaughtered</t>
  </si>
  <si>
    <t>cattle_lost</t>
  </si>
  <si>
    <t>milk</t>
  </si>
  <si>
    <t>butter</t>
  </si>
  <si>
    <t>cheese</t>
  </si>
  <si>
    <t>sheep</t>
  </si>
  <si>
    <t>lambs_dropped</t>
  </si>
  <si>
    <t>sheep_purchased</t>
  </si>
  <si>
    <t>sheep_soldliving</t>
  </si>
  <si>
    <t>sheep_slaughtered</t>
  </si>
  <si>
    <t>sheep_killed</t>
  </si>
  <si>
    <t>sheep_disease</t>
  </si>
  <si>
    <t>sheep_stress</t>
  </si>
  <si>
    <t>fleeces_num</t>
  </si>
  <si>
    <t>fleeces_wt</t>
  </si>
  <si>
    <t>swine</t>
  </si>
  <si>
    <t>barnyard_poultry</t>
  </si>
  <si>
    <t>other_poultry</t>
  </si>
  <si>
    <t>eggs</t>
  </si>
  <si>
    <t>barley_acres</t>
  </si>
  <si>
    <t>barley</t>
  </si>
  <si>
    <t>buckwheat_acres</t>
  </si>
  <si>
    <t>buckwheat</t>
  </si>
  <si>
    <t>corn_acres</t>
  </si>
  <si>
    <t>corn</t>
  </si>
  <si>
    <t>oats_acres</t>
  </si>
  <si>
    <t>oats</t>
  </si>
  <si>
    <t>rye_acres</t>
  </si>
  <si>
    <t>rye</t>
  </si>
  <si>
    <t>wheat_acres</t>
  </si>
  <si>
    <t>wheat</t>
  </si>
  <si>
    <t>peas</t>
  </si>
  <si>
    <t>beans</t>
  </si>
  <si>
    <t>flax_acres</t>
  </si>
  <si>
    <t>flaxseed</t>
  </si>
  <si>
    <t>flaxstraw</t>
  </si>
  <si>
    <t>flax</t>
  </si>
  <si>
    <t>hemp_acres</t>
  </si>
  <si>
    <t>hemp</t>
  </si>
  <si>
    <t>sorghum_acres</t>
  </si>
  <si>
    <t>sorghum_sugar</t>
  </si>
  <si>
    <t>sorghum_molasses</t>
  </si>
  <si>
    <t>maplesugar</t>
  </si>
  <si>
    <t>maple_molasses</t>
  </si>
  <si>
    <t>broomcorn_acres</t>
  </si>
  <si>
    <t>broomcorn</t>
  </si>
  <si>
    <t>hops_acres</t>
  </si>
  <si>
    <t>hops</t>
  </si>
  <si>
    <t>potatoes_acres</t>
  </si>
  <si>
    <t>potatoes</t>
  </si>
  <si>
    <t>sweetpotatoes_acres</t>
  </si>
  <si>
    <t>sweetpotatoes</t>
  </si>
  <si>
    <t>tobacco_acres</t>
  </si>
  <si>
    <t>tobacco</t>
  </si>
  <si>
    <t>apple_acres</t>
  </si>
  <si>
    <t>apple_trees</t>
  </si>
  <si>
    <t>apples</t>
  </si>
  <si>
    <t>peach_acres</t>
  </si>
  <si>
    <t>peach_trees</t>
  </si>
  <si>
    <t>peaches</t>
  </si>
  <si>
    <t>orchard_val</t>
  </si>
  <si>
    <t>nursery_acres</t>
  </si>
  <si>
    <t>nursery_val</t>
  </si>
  <si>
    <t>vineyard_acres</t>
  </si>
  <si>
    <t>grapes</t>
  </si>
  <si>
    <t>wine</t>
  </si>
  <si>
    <t>produce_val</t>
  </si>
  <si>
    <t>honey</t>
  </si>
  <si>
    <t>beeswax</t>
  </si>
  <si>
    <t>wood</t>
  </si>
  <si>
    <t>forest_val</t>
  </si>
  <si>
    <t>1</t>
  </si>
  <si>
    <t>Ripton</t>
  </si>
  <si>
    <t>25</t>
  </si>
  <si>
    <t>18</t>
  </si>
  <si>
    <t>50</t>
  </si>
  <si>
    <t>600</t>
  </si>
  <si>
    <t>40</t>
  </si>
  <si>
    <t>400</t>
  </si>
  <si>
    <t>200</t>
  </si>
  <si>
    <t>10</t>
  </si>
  <si>
    <t>15</t>
  </si>
  <si>
    <t>2</t>
  </si>
  <si>
    <t>8</t>
  </si>
  <si>
    <t>9</t>
  </si>
  <si>
    <t>14</t>
  </si>
  <si>
    <t>24</t>
  </si>
  <si>
    <t>12</t>
  </si>
  <si>
    <t>30</t>
  </si>
  <si>
    <t>100</t>
  </si>
  <si>
    <t>75</t>
  </si>
  <si>
    <t>150</t>
  </si>
  <si>
    <t>3000</t>
  </si>
  <si>
    <t>500</t>
  </si>
  <si>
    <t>6</t>
  </si>
  <si>
    <t>1000</t>
  </si>
  <si>
    <t>19</t>
  </si>
  <si>
    <t>90</t>
  </si>
  <si>
    <t>3</t>
  </si>
  <si>
    <t>350</t>
  </si>
  <si>
    <t>20</t>
  </si>
  <si>
    <t>80</t>
  </si>
  <si>
    <t>1500</t>
  </si>
  <si>
    <t>5</t>
  </si>
  <si>
    <t>300</t>
  </si>
  <si>
    <t>28</t>
  </si>
  <si>
    <t>4</t>
  </si>
  <si>
    <t>60</t>
  </si>
  <si>
    <t>54</t>
  </si>
  <si>
    <t>2500</t>
  </si>
  <si>
    <t>35</t>
  </si>
  <si>
    <t>135</t>
  </si>
  <si>
    <t>42</t>
  </si>
  <si>
    <t>120</t>
  </si>
  <si>
    <t>7</t>
  </si>
  <si>
    <t>45</t>
  </si>
  <si>
    <t>800</t>
  </si>
  <si>
    <t>43</t>
  </si>
  <si>
    <t>140</t>
  </si>
  <si>
    <t>134</t>
  </si>
  <si>
    <t>145</t>
  </si>
  <si>
    <t>2000</t>
  </si>
  <si>
    <t>450</t>
  </si>
  <si>
    <t>64</t>
  </si>
  <si>
    <t>13</t>
  </si>
  <si>
    <t>70</t>
  </si>
  <si>
    <t>32</t>
  </si>
  <si>
    <t>72</t>
  </si>
  <si>
    <t>250</t>
  </si>
  <si>
    <t>115</t>
  </si>
  <si>
    <t>360</t>
  </si>
  <si>
    <t>20000</t>
  </si>
  <si>
    <t>1421</t>
  </si>
  <si>
    <t>11</t>
  </si>
  <si>
    <t>17</t>
  </si>
  <si>
    <t>1600</t>
  </si>
  <si>
    <t>27</t>
  </si>
  <si>
    <t>22</t>
  </si>
  <si>
    <t>224</t>
  </si>
  <si>
    <t>456</t>
  </si>
  <si>
    <t>67</t>
  </si>
  <si>
    <t>700</t>
  </si>
  <si>
    <t>560</t>
  </si>
  <si>
    <t>230</t>
  </si>
  <si>
    <t>225</t>
  </si>
  <si>
    <t>1700</t>
  </si>
  <si>
    <t>227</t>
  </si>
  <si>
    <t>130</t>
  </si>
  <si>
    <t>113</t>
  </si>
  <si>
    <t>950</t>
  </si>
  <si>
    <t>900</t>
  </si>
  <si>
    <t>16</t>
  </si>
  <si>
    <t>21</t>
  </si>
  <si>
    <t>62</t>
  </si>
  <si>
    <t>57</t>
  </si>
  <si>
    <t>655</t>
  </si>
  <si>
    <t>340</t>
  </si>
  <si>
    <t>240</t>
  </si>
  <si>
    <t>4000</t>
  </si>
  <si>
    <t>940</t>
  </si>
  <si>
    <t>23</t>
  </si>
  <si>
    <t>274</t>
  </si>
  <si>
    <t>160</t>
  </si>
  <si>
    <t>84</t>
  </si>
  <si>
    <t>77</t>
  </si>
  <si>
    <t>119</t>
  </si>
  <si>
    <t>61</t>
  </si>
  <si>
    <t>125</t>
  </si>
  <si>
    <t>63</t>
  </si>
  <si>
    <t>65</t>
  </si>
  <si>
    <t>1800</t>
  </si>
  <si>
    <t>52</t>
  </si>
  <si>
    <t>1200</t>
  </si>
  <si>
    <t>330</t>
  </si>
  <si>
    <t>550</t>
  </si>
  <si>
    <t>47</t>
  </si>
  <si>
    <t>3100</t>
  </si>
  <si>
    <t>26</t>
  </si>
  <si>
    <t>210</t>
  </si>
  <si>
    <t>97</t>
  </si>
  <si>
    <t>33</t>
  </si>
  <si>
    <t>39</t>
  </si>
  <si>
    <t>37</t>
  </si>
  <si>
    <t>180</t>
  </si>
  <si>
    <t>190</t>
  </si>
  <si>
    <t>175</t>
  </si>
  <si>
    <t>44</t>
  </si>
  <si>
    <t>94</t>
  </si>
  <si>
    <t>325</t>
  </si>
  <si>
    <t>275</t>
  </si>
  <si>
    <t>85</t>
  </si>
  <si>
    <t>110</t>
  </si>
  <si>
    <t>1125</t>
  </si>
  <si>
    <t>38</t>
  </si>
  <si>
    <t>220</t>
  </si>
  <si>
    <t>36</t>
  </si>
  <si>
    <t>365</t>
  </si>
  <si>
    <t>143</t>
  </si>
  <si>
    <t>153</t>
  </si>
  <si>
    <t>95</t>
  </si>
  <si>
    <t>625</t>
  </si>
  <si>
    <t>750</t>
  </si>
  <si>
    <t>108</t>
  </si>
  <si>
    <t>185</t>
  </si>
  <si>
    <t>875</t>
  </si>
  <si>
    <t>949</t>
  </si>
  <si>
    <t>93</t>
  </si>
  <si>
    <t>1300</t>
  </si>
  <si>
    <t>55</t>
  </si>
  <si>
    <t>29</t>
  </si>
  <si>
    <t>117</t>
  </si>
  <si>
    <t>425</t>
  </si>
  <si>
    <t>96</t>
  </si>
  <si>
    <t>260</t>
  </si>
  <si>
    <t>1150</t>
  </si>
  <si>
    <t>280</t>
  </si>
  <si>
    <t>91</t>
  </si>
  <si>
    <t>127</t>
  </si>
  <si>
    <t>31</t>
  </si>
  <si>
    <t>165</t>
  </si>
  <si>
    <t>2600</t>
  </si>
  <si>
    <t>1650</t>
  </si>
  <si>
    <t>170</t>
  </si>
  <si>
    <t>3500</t>
  </si>
  <si>
    <t>1350</t>
  </si>
  <si>
    <t>1100</t>
  </si>
  <si>
    <t>92</t>
  </si>
  <si>
    <t>375</t>
  </si>
  <si>
    <t>76</t>
  </si>
  <si>
    <t>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</si>
</sst>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sz val="12.0"/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horizontal="left"/>
    </xf>
    <xf borderId="0" fillId="0" fontId="2" numFmtId="2" xfId="0" applyAlignment="1" applyFont="1" applyNumberFormat="1">
      <alignment horizontal="right"/>
    </xf>
    <xf borderId="0" fillId="0" fontId="3" numFmtId="2" xfId="0" applyAlignment="1" applyFont="1" applyNumberFormat="1">
      <alignment horizontal="right"/>
    </xf>
    <xf borderId="0" fillId="0" fontId="4" numFmtId="2" xfId="0" applyAlignment="1" applyFont="1" applyNumberFormat="1">
      <alignment horizontal="right" readingOrder="0"/>
    </xf>
    <xf borderId="0" fillId="0" fontId="4" numFmtId="2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03" width="10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ht="15.75" customHeight="1">
      <c r="A2" s="2" t="s">
        <v>103</v>
      </c>
      <c r="B2" s="2" t="s">
        <v>103</v>
      </c>
      <c r="C2" s="2" t="s">
        <v>104</v>
      </c>
      <c r="D2" s="3"/>
      <c r="E2" s="2" t="s">
        <v>103</v>
      </c>
      <c r="F2" s="2"/>
      <c r="G2" s="2"/>
      <c r="H2" s="2" t="s">
        <v>105</v>
      </c>
      <c r="I2" s="2" t="s">
        <v>106</v>
      </c>
      <c r="J2" s="2" t="s">
        <v>107</v>
      </c>
      <c r="K2" s="2"/>
      <c r="L2" s="2" t="s">
        <v>108</v>
      </c>
      <c r="M2" s="2" t="s">
        <v>109</v>
      </c>
      <c r="N2" s="2" t="s">
        <v>110</v>
      </c>
      <c r="O2" s="2"/>
      <c r="P2" s="2"/>
      <c r="Q2" s="2"/>
      <c r="R2" s="2"/>
      <c r="S2" s="2" t="s">
        <v>111</v>
      </c>
      <c r="T2" s="2" t="s">
        <v>112</v>
      </c>
      <c r="U2" s="2"/>
      <c r="V2" s="2" t="s">
        <v>113</v>
      </c>
      <c r="W2" s="2"/>
      <c r="X2" s="2"/>
      <c r="Y2" s="2" t="s">
        <v>103</v>
      </c>
      <c r="Z2" s="2"/>
      <c r="AA2" s="2" t="s">
        <v>114</v>
      </c>
      <c r="AB2" s="2" t="s">
        <v>114</v>
      </c>
      <c r="AC2" s="2"/>
      <c r="AD2" s="2"/>
      <c r="AE2" s="2" t="s">
        <v>114</v>
      </c>
      <c r="AF2" s="2"/>
      <c r="AG2" s="2"/>
      <c r="AH2" s="2"/>
      <c r="AI2" s="2"/>
      <c r="AJ2" s="2" t="s">
        <v>111</v>
      </c>
      <c r="AK2" s="2"/>
      <c r="AL2" s="2" t="s">
        <v>115</v>
      </c>
      <c r="AM2" s="2" t="s">
        <v>116</v>
      </c>
      <c r="AN2" s="2"/>
      <c r="AO2" s="2"/>
      <c r="AP2" s="2" t="s">
        <v>103</v>
      </c>
      <c r="AQ2" s="2"/>
      <c r="AR2" s="2"/>
      <c r="AS2" s="2"/>
      <c r="AT2" s="2" t="s">
        <v>115</v>
      </c>
      <c r="AU2" s="2" t="s">
        <v>107</v>
      </c>
      <c r="AV2" s="2"/>
      <c r="AW2" s="2" t="s">
        <v>117</v>
      </c>
      <c r="AX2" s="2"/>
      <c r="AY2" s="2" t="s">
        <v>118</v>
      </c>
      <c r="AZ2" s="2"/>
      <c r="BA2" s="2"/>
      <c r="BB2" s="2" t="s">
        <v>103</v>
      </c>
      <c r="BC2" s="2" t="s">
        <v>119</v>
      </c>
      <c r="BD2" s="2" t="s">
        <v>103</v>
      </c>
      <c r="BE2" s="2" t="s">
        <v>105</v>
      </c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>
        <f>3/4</f>
        <v>0.75</v>
      </c>
      <c r="CD2" s="2" t="s">
        <v>107</v>
      </c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3"/>
      <c r="CW2" s="3"/>
      <c r="CX2" s="2" t="s">
        <v>113</v>
      </c>
      <c r="CY2" s="2" t="s">
        <v>120</v>
      </c>
    </row>
    <row r="3" ht="15.75" customHeight="1">
      <c r="A3" s="2" t="s">
        <v>114</v>
      </c>
      <c r="B3" s="2" t="s">
        <v>103</v>
      </c>
      <c r="C3" s="2" t="s">
        <v>104</v>
      </c>
      <c r="D3" s="3"/>
      <c r="E3" s="2" t="s">
        <v>103</v>
      </c>
      <c r="F3" s="2"/>
      <c r="G3" s="2"/>
      <c r="H3" s="2" t="s">
        <v>121</v>
      </c>
      <c r="I3" s="2" t="s">
        <v>122</v>
      </c>
      <c r="J3" s="2" t="s">
        <v>123</v>
      </c>
      <c r="K3" s="2"/>
      <c r="L3" s="2" t="s">
        <v>124</v>
      </c>
      <c r="M3" s="2" t="s">
        <v>111</v>
      </c>
      <c r="N3" s="2" t="s">
        <v>125</v>
      </c>
      <c r="O3" s="2" t="s">
        <v>112</v>
      </c>
      <c r="P3" s="2"/>
      <c r="Q3" s="2" t="s">
        <v>109</v>
      </c>
      <c r="R3" s="2"/>
      <c r="S3" s="2" t="s">
        <v>108</v>
      </c>
      <c r="T3" s="2" t="s">
        <v>109</v>
      </c>
      <c r="U3" s="2"/>
      <c r="V3" s="2" t="s">
        <v>109</v>
      </c>
      <c r="W3" s="2"/>
      <c r="X3" s="2"/>
      <c r="Y3" s="2" t="s">
        <v>103</v>
      </c>
      <c r="Z3" s="2"/>
      <c r="AA3" s="2" t="s">
        <v>114</v>
      </c>
      <c r="AB3" s="2" t="s">
        <v>112</v>
      </c>
      <c r="AC3" s="2" t="s">
        <v>126</v>
      </c>
      <c r="AD3" s="2" t="s">
        <v>112</v>
      </c>
      <c r="AE3" s="2"/>
      <c r="AF3" s="2" t="s">
        <v>114</v>
      </c>
      <c r="AG3" s="2" t="s">
        <v>103</v>
      </c>
      <c r="AH3" s="2" t="s">
        <v>103</v>
      </c>
      <c r="AI3" s="2"/>
      <c r="AJ3" s="2" t="s">
        <v>127</v>
      </c>
      <c r="AK3" s="2"/>
      <c r="AL3" s="2" t="s">
        <v>128</v>
      </c>
      <c r="AM3" s="2" t="s">
        <v>119</v>
      </c>
      <c r="AN3" s="2"/>
      <c r="AO3" s="2"/>
      <c r="AP3" s="2" t="s">
        <v>103</v>
      </c>
      <c r="AQ3" s="2"/>
      <c r="AR3" s="2"/>
      <c r="AS3" s="2"/>
      <c r="AT3" s="2" t="s">
        <v>128</v>
      </c>
      <c r="AU3" s="2" t="s">
        <v>129</v>
      </c>
      <c r="AV3" s="2" t="s">
        <v>103</v>
      </c>
      <c r="AW3" s="2" t="s">
        <v>112</v>
      </c>
      <c r="AX3" s="2"/>
      <c r="AY3" s="2" t="s">
        <v>120</v>
      </c>
      <c r="AZ3" s="2"/>
      <c r="BA3" s="2"/>
      <c r="BB3" s="2">
        <f>1/2</f>
        <v>0.5</v>
      </c>
      <c r="BC3" s="2" t="s">
        <v>109</v>
      </c>
      <c r="BD3" s="2">
        <f>3/4</f>
        <v>0.75</v>
      </c>
      <c r="BE3" s="2" t="s">
        <v>120</v>
      </c>
      <c r="BF3" s="2" t="s">
        <v>130</v>
      </c>
      <c r="BG3" s="2" t="s">
        <v>121</v>
      </c>
      <c r="BH3" s="2"/>
      <c r="BI3" s="2"/>
      <c r="BJ3" s="2">
        <f>1/2</f>
        <v>0.5</v>
      </c>
      <c r="BK3" s="2" t="s">
        <v>112</v>
      </c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>
        <f>1/2</f>
        <v>0.5</v>
      </c>
      <c r="CD3" s="2" t="s">
        <v>131</v>
      </c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3"/>
      <c r="CW3" s="3"/>
      <c r="CX3" s="2" t="s">
        <v>132</v>
      </c>
      <c r="CY3" s="2" t="s">
        <v>107</v>
      </c>
    </row>
    <row r="4" ht="15.75" customHeight="1">
      <c r="A4" s="2" t="s">
        <v>130</v>
      </c>
      <c r="B4" s="2" t="s">
        <v>103</v>
      </c>
      <c r="C4" s="2" t="s">
        <v>104</v>
      </c>
      <c r="D4" s="3"/>
      <c r="E4" s="2" t="s">
        <v>103</v>
      </c>
      <c r="F4" s="2"/>
      <c r="G4" s="2"/>
      <c r="H4" s="2" t="s">
        <v>107</v>
      </c>
      <c r="I4" s="2" t="s">
        <v>109</v>
      </c>
      <c r="J4" s="2" t="s">
        <v>133</v>
      </c>
      <c r="K4" s="2"/>
      <c r="L4" s="2" t="s">
        <v>134</v>
      </c>
      <c r="M4" s="2" t="s">
        <v>107</v>
      </c>
      <c r="N4" s="2" t="s">
        <v>110</v>
      </c>
      <c r="O4" s="2" t="s">
        <v>135</v>
      </c>
      <c r="P4" s="2"/>
      <c r="Q4" s="2"/>
      <c r="R4" s="2"/>
      <c r="S4" s="2" t="s">
        <v>136</v>
      </c>
      <c r="T4" s="2" t="s">
        <v>106</v>
      </c>
      <c r="U4" s="2"/>
      <c r="V4" s="2" t="s">
        <v>137</v>
      </c>
      <c r="W4" s="2"/>
      <c r="X4" s="2"/>
      <c r="Y4" s="2" t="s">
        <v>103</v>
      </c>
      <c r="Z4" s="2"/>
      <c r="AA4" s="2" t="s">
        <v>114</v>
      </c>
      <c r="AB4" s="2" t="s">
        <v>135</v>
      </c>
      <c r="AC4" s="2" t="s">
        <v>112</v>
      </c>
      <c r="AD4" s="2" t="s">
        <v>138</v>
      </c>
      <c r="AE4" s="2" t="s">
        <v>114</v>
      </c>
      <c r="AF4" s="2" t="s">
        <v>114</v>
      </c>
      <c r="AG4" s="2"/>
      <c r="AH4" s="2" t="s">
        <v>103</v>
      </c>
      <c r="AI4" s="2"/>
      <c r="AJ4" s="2" t="s">
        <v>125</v>
      </c>
      <c r="AK4" s="2"/>
      <c r="AL4" s="2" t="s">
        <v>114</v>
      </c>
      <c r="AM4" s="2" t="s">
        <v>103</v>
      </c>
      <c r="AN4" s="2"/>
      <c r="AO4" s="2" t="s">
        <v>103</v>
      </c>
      <c r="AP4" s="2"/>
      <c r="AQ4" s="2"/>
      <c r="AR4" s="2"/>
      <c r="AS4" s="2"/>
      <c r="AT4" s="2" t="s">
        <v>114</v>
      </c>
      <c r="AU4" s="2" t="s">
        <v>112</v>
      </c>
      <c r="AV4" s="2" t="s">
        <v>103</v>
      </c>
      <c r="AW4" s="2" t="s">
        <v>126</v>
      </c>
      <c r="AX4" s="2"/>
      <c r="AY4" s="2" t="s">
        <v>132</v>
      </c>
      <c r="AZ4" s="2">
        <f>3/4</f>
        <v>0.75</v>
      </c>
      <c r="BA4" s="2" t="s">
        <v>132</v>
      </c>
      <c r="BB4" s="2"/>
      <c r="BC4" s="2"/>
      <c r="BD4" s="2" t="s">
        <v>103</v>
      </c>
      <c r="BE4" s="2" t="s">
        <v>107</v>
      </c>
      <c r="BF4" s="4">
        <f>2 + (1/2)</f>
        <v>2.5</v>
      </c>
      <c r="BG4" s="2" t="s">
        <v>133</v>
      </c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 t="s">
        <v>114</v>
      </c>
      <c r="CD4" s="2" t="s">
        <v>136</v>
      </c>
      <c r="CE4" s="2"/>
      <c r="CF4" s="2"/>
      <c r="CG4" s="2"/>
      <c r="CH4" s="2"/>
      <c r="CI4" s="2" t="s">
        <v>103</v>
      </c>
      <c r="CJ4" s="2" t="s">
        <v>132</v>
      </c>
      <c r="CK4" s="2" t="s">
        <v>139</v>
      </c>
      <c r="CL4" s="2"/>
      <c r="CM4" s="2"/>
      <c r="CN4" s="2"/>
      <c r="CO4" s="2" t="s">
        <v>113</v>
      </c>
      <c r="CP4" s="2"/>
      <c r="CQ4" s="2"/>
      <c r="CR4" s="2"/>
      <c r="CS4" s="2"/>
      <c r="CT4" s="2"/>
      <c r="CU4" s="2"/>
      <c r="CV4" s="3"/>
      <c r="CW4" s="3"/>
      <c r="CX4" s="2" t="s">
        <v>113</v>
      </c>
      <c r="CY4" s="2" t="s">
        <v>111</v>
      </c>
    </row>
    <row r="5" ht="15.75" customHeight="1">
      <c r="A5" s="2" t="s">
        <v>138</v>
      </c>
      <c r="B5" s="2" t="s">
        <v>103</v>
      </c>
      <c r="C5" s="2" t="s">
        <v>104</v>
      </c>
      <c r="D5" s="3"/>
      <c r="E5" s="2" t="s">
        <v>103</v>
      </c>
      <c r="F5" s="2"/>
      <c r="G5" s="2"/>
      <c r="H5" s="2" t="s">
        <v>139</v>
      </c>
      <c r="I5" s="2" t="s">
        <v>140</v>
      </c>
      <c r="J5" s="2" t="s">
        <v>139</v>
      </c>
      <c r="K5" s="2"/>
      <c r="L5" s="2" t="s">
        <v>141</v>
      </c>
      <c r="M5" s="2" t="s">
        <v>111</v>
      </c>
      <c r="N5" s="2" t="s">
        <v>110</v>
      </c>
      <c r="O5" s="2"/>
      <c r="P5" s="2"/>
      <c r="Q5" s="2" t="s">
        <v>107</v>
      </c>
      <c r="R5" s="2"/>
      <c r="S5" s="2" t="s">
        <v>125</v>
      </c>
      <c r="T5" s="2" t="s">
        <v>120</v>
      </c>
      <c r="U5" s="2"/>
      <c r="V5" s="2" t="s">
        <v>109</v>
      </c>
      <c r="W5" s="2"/>
      <c r="X5" s="2"/>
      <c r="Y5" s="2" t="s">
        <v>103</v>
      </c>
      <c r="Z5" s="2"/>
      <c r="AA5" s="2" t="s">
        <v>114</v>
      </c>
      <c r="AB5" s="2" t="s">
        <v>135</v>
      </c>
      <c r="AC5" s="2" t="s">
        <v>130</v>
      </c>
      <c r="AD5" s="2" t="s">
        <v>130</v>
      </c>
      <c r="AE5" s="2"/>
      <c r="AF5" s="2" t="s">
        <v>103</v>
      </c>
      <c r="AG5" s="2"/>
      <c r="AH5" s="2"/>
      <c r="AI5" s="2"/>
      <c r="AJ5" s="2" t="s">
        <v>125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 t="s">
        <v>103</v>
      </c>
      <c r="AW5" s="2" t="s">
        <v>112</v>
      </c>
      <c r="AX5" s="2" t="s">
        <v>138</v>
      </c>
      <c r="AY5" s="2" t="s">
        <v>109</v>
      </c>
      <c r="AZ5" s="2"/>
      <c r="BA5" s="2"/>
      <c r="BB5" s="2"/>
      <c r="BC5" s="2"/>
      <c r="BD5" s="2" t="s">
        <v>103</v>
      </c>
      <c r="BE5" s="2" t="s">
        <v>109</v>
      </c>
      <c r="BF5" s="2"/>
      <c r="BG5" s="2"/>
      <c r="BH5" s="2"/>
      <c r="BI5" s="2"/>
      <c r="BJ5" s="2" t="s">
        <v>114</v>
      </c>
      <c r="BK5" s="2" t="s">
        <v>142</v>
      </c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>
        <f>3/4</f>
        <v>0.75</v>
      </c>
      <c r="CD5" s="2" t="s">
        <v>123</v>
      </c>
      <c r="CE5" s="2"/>
      <c r="CF5" s="2"/>
      <c r="CG5" s="2"/>
      <c r="CH5" s="2"/>
      <c r="CI5" s="2">
        <f>1/2</f>
        <v>0.5</v>
      </c>
      <c r="CJ5" s="2" t="s">
        <v>113</v>
      </c>
      <c r="CK5" s="2" t="s">
        <v>109</v>
      </c>
      <c r="CL5" s="2"/>
      <c r="CM5" s="2"/>
      <c r="CN5" s="2"/>
      <c r="CO5" s="2" t="s">
        <v>115</v>
      </c>
      <c r="CP5" s="2"/>
      <c r="CQ5" s="2"/>
      <c r="CR5" s="2"/>
      <c r="CS5" s="2"/>
      <c r="CT5" s="2"/>
      <c r="CU5" s="2"/>
      <c r="CV5" s="3"/>
      <c r="CW5" s="3"/>
      <c r="CX5" s="2" t="s">
        <v>132</v>
      </c>
      <c r="CY5" s="2" t="s">
        <v>120</v>
      </c>
    </row>
    <row r="6" ht="15.75" customHeight="1">
      <c r="A6" s="2" t="s">
        <v>135</v>
      </c>
      <c r="B6" s="2" t="s">
        <v>103</v>
      </c>
      <c r="C6" s="2" t="s">
        <v>104</v>
      </c>
      <c r="D6" s="3"/>
      <c r="E6" s="2" t="s">
        <v>103</v>
      </c>
      <c r="F6" s="2"/>
      <c r="G6" s="2"/>
      <c r="H6" s="2" t="s">
        <v>132</v>
      </c>
      <c r="I6" s="2" t="s">
        <v>113</v>
      </c>
      <c r="J6" s="2" t="s">
        <v>120</v>
      </c>
      <c r="K6" s="2"/>
      <c r="L6" s="2" t="s">
        <v>125</v>
      </c>
      <c r="M6" s="2" t="s">
        <v>105</v>
      </c>
      <c r="N6" s="2" t="s">
        <v>143</v>
      </c>
      <c r="O6" s="2"/>
      <c r="P6" s="2"/>
      <c r="Q6" s="2"/>
      <c r="R6" s="2"/>
      <c r="S6" s="2" t="s">
        <v>122</v>
      </c>
      <c r="T6" s="2" t="s">
        <v>138</v>
      </c>
      <c r="U6" s="2"/>
      <c r="V6" s="2" t="s">
        <v>138</v>
      </c>
      <c r="W6" s="2"/>
      <c r="X6" s="2"/>
      <c r="Y6" s="2" t="s">
        <v>103</v>
      </c>
      <c r="Z6" s="2"/>
      <c r="AA6" s="2"/>
      <c r="AB6" s="2" t="s">
        <v>114</v>
      </c>
      <c r="AC6" s="2" t="s">
        <v>114</v>
      </c>
      <c r="AD6" s="2" t="s">
        <v>114</v>
      </c>
      <c r="AE6" s="2"/>
      <c r="AF6" s="2"/>
      <c r="AG6" s="2"/>
      <c r="AH6" s="2"/>
      <c r="AI6" s="2"/>
      <c r="AJ6" s="2" t="s">
        <v>131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 t="s">
        <v>103</v>
      </c>
      <c r="AW6" s="2" t="s">
        <v>119</v>
      </c>
      <c r="AX6" s="2"/>
      <c r="AY6" s="2" t="s">
        <v>123</v>
      </c>
      <c r="AZ6" s="2"/>
      <c r="BA6" s="2"/>
      <c r="BB6" s="2" t="s">
        <v>103</v>
      </c>
      <c r="BC6" s="2" t="s">
        <v>118</v>
      </c>
      <c r="BD6" s="2" t="s">
        <v>103</v>
      </c>
      <c r="BE6" s="2" t="s">
        <v>112</v>
      </c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 t="s">
        <v>121</v>
      </c>
      <c r="BX6" s="2"/>
      <c r="BY6" s="2"/>
      <c r="BZ6" s="2"/>
      <c r="CA6" s="2"/>
      <c r="CB6" s="2"/>
      <c r="CC6" s="2">
        <f>1/3</f>
        <v>0.3333333333</v>
      </c>
      <c r="CD6" s="2" t="s">
        <v>120</v>
      </c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3"/>
      <c r="CW6" s="3"/>
      <c r="CX6" s="3"/>
      <c r="CY6" s="3"/>
    </row>
    <row r="7" ht="15.75" customHeight="1">
      <c r="A7" s="2" t="s">
        <v>126</v>
      </c>
      <c r="B7" s="2" t="s">
        <v>103</v>
      </c>
      <c r="C7" s="2" t="s">
        <v>104</v>
      </c>
      <c r="D7" s="3"/>
      <c r="E7" s="2" t="s">
        <v>103</v>
      </c>
      <c r="F7" s="2"/>
      <c r="G7" s="2"/>
      <c r="H7" s="2" t="s">
        <v>115</v>
      </c>
      <c r="I7" s="2" t="s">
        <v>135</v>
      </c>
      <c r="J7" s="2" t="s">
        <v>144</v>
      </c>
      <c r="K7" s="2"/>
      <c r="L7" s="2" t="s">
        <v>110</v>
      </c>
      <c r="M7" s="2"/>
      <c r="N7" s="2" t="s">
        <v>145</v>
      </c>
      <c r="O7" s="2"/>
      <c r="P7" s="2"/>
      <c r="Q7" s="2"/>
      <c r="R7" s="2"/>
      <c r="S7" s="2" t="s">
        <v>139</v>
      </c>
      <c r="T7" s="2"/>
      <c r="U7" s="2"/>
      <c r="V7" s="2"/>
      <c r="W7" s="2"/>
      <c r="X7" s="2"/>
      <c r="Y7" s="2" t="s">
        <v>103</v>
      </c>
      <c r="Z7" s="2"/>
      <c r="AA7" s="2"/>
      <c r="AB7" s="2" t="s">
        <v>114</v>
      </c>
      <c r="AC7" s="2"/>
      <c r="AD7" s="2" t="s">
        <v>103</v>
      </c>
      <c r="AE7" s="2"/>
      <c r="AF7" s="2"/>
      <c r="AG7" s="2"/>
      <c r="AH7" s="2"/>
      <c r="AI7" s="2"/>
      <c r="AJ7" s="2" t="s">
        <v>111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 t="s">
        <v>103</v>
      </c>
      <c r="AW7" s="2" t="s">
        <v>112</v>
      </c>
      <c r="AX7" s="2"/>
      <c r="AY7" s="2" t="s">
        <v>107</v>
      </c>
      <c r="AZ7" s="2"/>
      <c r="BA7" s="2"/>
      <c r="BB7" s="2">
        <f>1/2</f>
        <v>0.5</v>
      </c>
      <c r="BC7" s="2" t="s">
        <v>117</v>
      </c>
      <c r="BD7" s="2">
        <f>1/4</f>
        <v>0.25</v>
      </c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>
        <f>1/2</f>
        <v>0.5</v>
      </c>
      <c r="CD7" s="2" t="s">
        <v>107</v>
      </c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3"/>
      <c r="CW7" s="3"/>
      <c r="CX7" s="2" t="s">
        <v>112</v>
      </c>
      <c r="CY7" s="2" t="s">
        <v>107</v>
      </c>
    </row>
    <row r="8" ht="15.75" customHeight="1">
      <c r="A8" s="2" t="s">
        <v>146</v>
      </c>
      <c r="B8" s="2" t="s">
        <v>103</v>
      </c>
      <c r="C8" s="2" t="s">
        <v>104</v>
      </c>
      <c r="D8" s="3"/>
      <c r="E8" s="2" t="s">
        <v>103</v>
      </c>
      <c r="F8" s="2"/>
      <c r="G8" s="2"/>
      <c r="H8" s="2" t="s">
        <v>112</v>
      </c>
      <c r="I8" s="2" t="s">
        <v>115</v>
      </c>
      <c r="J8" s="2"/>
      <c r="K8" s="2"/>
      <c r="L8" s="2" t="s">
        <v>125</v>
      </c>
      <c r="M8" s="2"/>
      <c r="N8" s="2" t="s">
        <v>120</v>
      </c>
      <c r="O8" s="2"/>
      <c r="P8" s="2"/>
      <c r="Q8" s="2"/>
      <c r="R8" s="2"/>
      <c r="S8" s="2" t="s">
        <v>139</v>
      </c>
      <c r="T8" s="2" t="s">
        <v>135</v>
      </c>
      <c r="U8" s="2"/>
      <c r="V8" s="2" t="s">
        <v>135</v>
      </c>
      <c r="W8" s="2"/>
      <c r="X8" s="2"/>
      <c r="Y8" s="2"/>
      <c r="Z8" s="2"/>
      <c r="AA8" s="2"/>
      <c r="AB8" s="2" t="s">
        <v>103</v>
      </c>
      <c r="AC8" s="2"/>
      <c r="AD8" s="2" t="s">
        <v>103</v>
      </c>
      <c r="AE8" s="2"/>
      <c r="AF8" s="2"/>
      <c r="AG8" s="2"/>
      <c r="AH8" s="2"/>
      <c r="AI8" s="2"/>
      <c r="AJ8" s="2" t="s">
        <v>121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 t="s">
        <v>116</v>
      </c>
      <c r="AX8" s="2"/>
      <c r="AY8" s="2" t="s">
        <v>109</v>
      </c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>
        <f>1/3</f>
        <v>0.3333333333</v>
      </c>
      <c r="CD8" s="2" t="s">
        <v>109</v>
      </c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3"/>
      <c r="CW8" s="3"/>
      <c r="CX8" s="3"/>
      <c r="CY8" s="3"/>
    </row>
    <row r="9" ht="15.75" customHeight="1">
      <c r="A9" s="2" t="s">
        <v>115</v>
      </c>
      <c r="B9" s="2" t="s">
        <v>103</v>
      </c>
      <c r="C9" s="2" t="s">
        <v>104</v>
      </c>
      <c r="D9" s="3"/>
      <c r="E9" s="2" t="s">
        <v>103</v>
      </c>
      <c r="F9" s="2"/>
      <c r="G9" s="2"/>
      <c r="H9" s="2" t="s">
        <v>107</v>
      </c>
      <c r="I9" s="2" t="s">
        <v>147</v>
      </c>
      <c r="J9" s="2" t="s">
        <v>139</v>
      </c>
      <c r="K9" s="2"/>
      <c r="L9" s="2" t="s">
        <v>148</v>
      </c>
      <c r="M9" s="2" t="s">
        <v>122</v>
      </c>
      <c r="N9" s="2" t="s">
        <v>110</v>
      </c>
      <c r="O9" s="2"/>
      <c r="P9" s="2"/>
      <c r="Q9" s="2"/>
      <c r="R9" s="2"/>
      <c r="S9" s="2" t="s">
        <v>136</v>
      </c>
      <c r="T9" s="2" t="s">
        <v>132</v>
      </c>
      <c r="U9" s="2"/>
      <c r="V9" s="2" t="s">
        <v>118</v>
      </c>
      <c r="W9" s="2"/>
      <c r="X9" s="2"/>
      <c r="Y9" s="2" t="s">
        <v>138</v>
      </c>
      <c r="Z9" s="2"/>
      <c r="AA9" s="2" t="s">
        <v>114</v>
      </c>
      <c r="AB9" s="2" t="s">
        <v>126</v>
      </c>
      <c r="AC9" s="2" t="s">
        <v>114</v>
      </c>
      <c r="AD9" s="2" t="s">
        <v>135</v>
      </c>
      <c r="AE9" s="2"/>
      <c r="AF9" s="2" t="s">
        <v>114</v>
      </c>
      <c r="AG9" s="2" t="s">
        <v>135</v>
      </c>
      <c r="AH9" s="2"/>
      <c r="AI9" s="2"/>
      <c r="AJ9" s="2" t="s">
        <v>136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 t="s">
        <v>103</v>
      </c>
      <c r="AW9" s="2" t="s">
        <v>138</v>
      </c>
      <c r="AX9" s="2"/>
      <c r="AY9" s="2" t="s">
        <v>132</v>
      </c>
      <c r="AZ9" s="2"/>
      <c r="BA9" s="2"/>
      <c r="BB9" s="2" t="s">
        <v>114</v>
      </c>
      <c r="BC9" s="2" t="s">
        <v>142</v>
      </c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 t="s">
        <v>121</v>
      </c>
      <c r="BX9" s="2"/>
      <c r="BY9" s="2"/>
      <c r="BZ9" s="2"/>
      <c r="CA9" s="2"/>
      <c r="CB9" s="2"/>
      <c r="CC9" s="2">
        <f>1/4</f>
        <v>0.25</v>
      </c>
      <c r="CD9" s="2" t="s">
        <v>123</v>
      </c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3"/>
      <c r="CW9" s="3"/>
      <c r="CX9" s="2" t="s">
        <v>132</v>
      </c>
      <c r="CY9" s="2" t="s">
        <v>121</v>
      </c>
    </row>
    <row r="10" ht="15.75" customHeight="1">
      <c r="A10" s="2" t="s">
        <v>116</v>
      </c>
      <c r="B10" s="2" t="s">
        <v>103</v>
      </c>
      <c r="C10" s="2" t="s">
        <v>104</v>
      </c>
      <c r="D10" s="3"/>
      <c r="E10" s="2" t="s">
        <v>103</v>
      </c>
      <c r="F10" s="2"/>
      <c r="G10" s="2"/>
      <c r="H10" s="2" t="s">
        <v>135</v>
      </c>
      <c r="I10" s="2" t="s">
        <v>130</v>
      </c>
      <c r="J10" s="2"/>
      <c r="K10" s="2"/>
      <c r="L10" s="2" t="s">
        <v>125</v>
      </c>
      <c r="M10" s="2"/>
      <c r="N10" s="2" t="s">
        <v>105</v>
      </c>
      <c r="O10" s="2"/>
      <c r="P10" s="2"/>
      <c r="Q10" s="2"/>
      <c r="R10" s="2"/>
      <c r="S10" s="2" t="s">
        <v>107</v>
      </c>
      <c r="T10" s="2" t="s">
        <v>103</v>
      </c>
      <c r="U10" s="2"/>
      <c r="V10" s="2" t="s">
        <v>103</v>
      </c>
      <c r="W10" s="2"/>
      <c r="X10" s="2"/>
      <c r="Y10" s="2" t="s">
        <v>103</v>
      </c>
      <c r="Z10" s="2"/>
      <c r="AA10" s="2"/>
      <c r="AB10" s="2"/>
      <c r="AC10" s="2"/>
      <c r="AD10" s="2"/>
      <c r="AE10" s="2" t="s">
        <v>109</v>
      </c>
      <c r="AF10" s="2" t="s">
        <v>149</v>
      </c>
      <c r="AG10" s="2"/>
      <c r="AH10" s="2"/>
      <c r="AI10" s="2"/>
      <c r="AJ10" s="2" t="s">
        <v>111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 t="s">
        <v>146</v>
      </c>
      <c r="AX10" s="2"/>
      <c r="AY10" s="2" t="s">
        <v>120</v>
      </c>
      <c r="AZ10" s="2"/>
      <c r="BA10" s="2"/>
      <c r="BB10" s="2" t="s">
        <v>103</v>
      </c>
      <c r="BC10" s="2" t="s">
        <v>137</v>
      </c>
      <c r="BD10" s="2"/>
      <c r="BE10" s="2"/>
      <c r="BF10" s="2" t="s">
        <v>114</v>
      </c>
      <c r="BG10" s="2" t="s">
        <v>107</v>
      </c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>
        <f>1/2</f>
        <v>0.5</v>
      </c>
      <c r="CD10" s="2" t="s">
        <v>109</v>
      </c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3"/>
      <c r="CW10" s="3"/>
      <c r="CX10" s="2" t="s">
        <v>112</v>
      </c>
      <c r="CY10" s="2" t="s">
        <v>132</v>
      </c>
    </row>
    <row r="11" ht="15.75" customHeight="1">
      <c r="A11" s="2" t="s">
        <v>112</v>
      </c>
      <c r="B11" s="2" t="s">
        <v>103</v>
      </c>
      <c r="C11" s="2" t="s">
        <v>104</v>
      </c>
      <c r="D11" s="3"/>
      <c r="E11" s="2"/>
      <c r="F11" s="2"/>
      <c r="G11" s="2" t="s">
        <v>103</v>
      </c>
      <c r="H11" s="2" t="s">
        <v>150</v>
      </c>
      <c r="I11" s="2" t="s">
        <v>151</v>
      </c>
      <c r="J11" s="2" t="s">
        <v>152</v>
      </c>
      <c r="K11" s="2"/>
      <c r="L11" s="2" t="s">
        <v>153</v>
      </c>
      <c r="M11" s="2" t="s">
        <v>121</v>
      </c>
      <c r="N11" s="2" t="s">
        <v>131</v>
      </c>
      <c r="O11" s="2" t="s">
        <v>107</v>
      </c>
      <c r="P11" s="2"/>
      <c r="Q11" s="2" t="s">
        <v>139</v>
      </c>
      <c r="R11" s="2"/>
      <c r="S11" s="2" t="s">
        <v>125</v>
      </c>
      <c r="T11" s="2" t="s">
        <v>142</v>
      </c>
      <c r="U11" s="2"/>
      <c r="V11" s="2" t="s">
        <v>109</v>
      </c>
      <c r="W11" s="2"/>
      <c r="X11" s="2"/>
      <c r="Y11" s="2" t="s">
        <v>114</v>
      </c>
      <c r="Z11" s="2"/>
      <c r="AA11" s="2"/>
      <c r="AB11" s="2" t="s">
        <v>112</v>
      </c>
      <c r="AC11" s="2" t="s">
        <v>126</v>
      </c>
      <c r="AD11" s="2" t="s">
        <v>112</v>
      </c>
      <c r="AE11" s="2"/>
      <c r="AF11" s="2" t="s">
        <v>114</v>
      </c>
      <c r="AG11" s="2" t="s">
        <v>103</v>
      </c>
      <c r="AH11" s="2"/>
      <c r="AI11" s="2"/>
      <c r="AJ11" s="2" t="s">
        <v>148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 t="s">
        <v>103</v>
      </c>
      <c r="AW11" s="2" t="s">
        <v>126</v>
      </c>
      <c r="AX11" s="2" t="s">
        <v>135</v>
      </c>
      <c r="AY11" s="2" t="s">
        <v>120</v>
      </c>
      <c r="AZ11" s="2"/>
      <c r="BA11" s="2"/>
      <c r="BB11" s="2">
        <f>1/2</f>
        <v>0.5</v>
      </c>
      <c r="BC11" s="2" t="s">
        <v>113</v>
      </c>
      <c r="BD11" s="2"/>
      <c r="BE11" s="2"/>
      <c r="BF11" s="2" t="s">
        <v>138</v>
      </c>
      <c r="BG11" s="2" t="s">
        <v>123</v>
      </c>
      <c r="BH11" s="2"/>
      <c r="BI11" s="2"/>
      <c r="BJ11" s="2" t="s">
        <v>103</v>
      </c>
      <c r="BK11" s="2" t="s">
        <v>113</v>
      </c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 t="s">
        <v>114</v>
      </c>
      <c r="CD11" s="2" t="s">
        <v>110</v>
      </c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3"/>
      <c r="CW11" s="3"/>
      <c r="CX11" s="2" t="s">
        <v>112</v>
      </c>
      <c r="CY11" s="2" t="s">
        <v>113</v>
      </c>
    </row>
    <row r="12" ht="15.75" customHeight="1">
      <c r="A12" s="2" t="s">
        <v>103</v>
      </c>
      <c r="B12" s="2" t="s">
        <v>114</v>
      </c>
      <c r="C12" s="2" t="s">
        <v>104</v>
      </c>
      <c r="D12" s="3"/>
      <c r="E12" s="2" t="s">
        <v>103</v>
      </c>
      <c r="F12" s="2"/>
      <c r="G12" s="2"/>
      <c r="H12" s="2" t="s">
        <v>138</v>
      </c>
      <c r="I12" s="2" t="s">
        <v>114</v>
      </c>
      <c r="J12" s="2" t="s">
        <v>132</v>
      </c>
      <c r="K12" s="2"/>
      <c r="L12" s="2" t="s">
        <v>154</v>
      </c>
      <c r="M12" s="2" t="s">
        <v>135</v>
      </c>
      <c r="N12" s="2"/>
      <c r="O12" s="2"/>
      <c r="P12" s="2"/>
      <c r="Q12" s="2"/>
      <c r="R12" s="2"/>
      <c r="S12" s="2" t="s">
        <v>113</v>
      </c>
      <c r="T12" s="2" t="s">
        <v>114</v>
      </c>
      <c r="U12" s="2"/>
      <c r="V12" s="2" t="s">
        <v>130</v>
      </c>
      <c r="W12" s="2"/>
      <c r="X12" s="2"/>
      <c r="Y12" s="2"/>
      <c r="Z12" s="2"/>
      <c r="AA12" s="2"/>
      <c r="AB12" s="2"/>
      <c r="AC12" s="2"/>
      <c r="AD12" s="2"/>
      <c r="AE12" s="2"/>
      <c r="AF12" s="2" t="s">
        <v>114</v>
      </c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>
        <f t="shared" ref="CC12:CC13" si="1">1/2</f>
        <v>0.5</v>
      </c>
      <c r="CD12" s="2" t="s">
        <v>132</v>
      </c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3"/>
      <c r="CW12" s="3"/>
      <c r="CX12" s="3"/>
      <c r="CY12" s="3"/>
    </row>
    <row r="13" ht="15.75" customHeight="1">
      <c r="A13" s="2" t="s">
        <v>114</v>
      </c>
      <c r="B13" s="2" t="s">
        <v>114</v>
      </c>
      <c r="C13" s="2" t="s">
        <v>104</v>
      </c>
      <c r="D13" s="3"/>
      <c r="E13" s="2" t="s">
        <v>103</v>
      </c>
      <c r="F13" s="2"/>
      <c r="G13" s="2"/>
      <c r="H13" s="2" t="s">
        <v>142</v>
      </c>
      <c r="I13" s="2" t="s">
        <v>120</v>
      </c>
      <c r="J13" s="2" t="s">
        <v>135</v>
      </c>
      <c r="K13" s="2"/>
      <c r="L13" s="2" t="s">
        <v>148</v>
      </c>
      <c r="M13" s="2" t="s">
        <v>135</v>
      </c>
      <c r="N13" s="2" t="s">
        <v>123</v>
      </c>
      <c r="O13" s="2" t="s">
        <v>112</v>
      </c>
      <c r="P13" s="2"/>
      <c r="Q13" s="2"/>
      <c r="R13" s="2"/>
      <c r="S13" s="2" t="s">
        <v>123</v>
      </c>
      <c r="T13" s="2" t="s">
        <v>126</v>
      </c>
      <c r="U13" s="2"/>
      <c r="V13" s="2" t="s">
        <v>116</v>
      </c>
      <c r="W13" s="2"/>
      <c r="X13" s="2"/>
      <c r="Y13" s="2"/>
      <c r="Z13" s="2"/>
      <c r="AA13" s="2" t="s">
        <v>114</v>
      </c>
      <c r="AB13" s="2" t="s">
        <v>130</v>
      </c>
      <c r="AC13" s="2" t="s">
        <v>103</v>
      </c>
      <c r="AD13" s="2" t="s">
        <v>103</v>
      </c>
      <c r="AE13" s="2"/>
      <c r="AF13" s="2" t="s">
        <v>114</v>
      </c>
      <c r="AG13" s="2" t="s">
        <v>103</v>
      </c>
      <c r="AH13" s="2"/>
      <c r="AI13" s="2"/>
      <c r="AJ13" s="2" t="s">
        <v>111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 t="s">
        <v>130</v>
      </c>
      <c r="AX13" s="2"/>
      <c r="AY13" s="2" t="s">
        <v>132</v>
      </c>
      <c r="AZ13" s="2">
        <f>1/2</f>
        <v>0.5</v>
      </c>
      <c r="BA13" s="2" t="s">
        <v>126</v>
      </c>
      <c r="BB13" s="2"/>
      <c r="BC13" s="2"/>
      <c r="BD13" s="2"/>
      <c r="BE13" s="2"/>
      <c r="BF13" s="2">
        <f>3/4</f>
        <v>0.75</v>
      </c>
      <c r="BG13" s="2" t="s">
        <v>118</v>
      </c>
      <c r="BH13" s="2"/>
      <c r="BI13" s="2"/>
      <c r="BJ13" s="2" t="s">
        <v>103</v>
      </c>
      <c r="BK13" s="2" t="s">
        <v>115</v>
      </c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>
        <f t="shared" si="1"/>
        <v>0.5</v>
      </c>
      <c r="CD13" s="2" t="s">
        <v>155</v>
      </c>
      <c r="CE13" s="2"/>
      <c r="CF13" s="2"/>
      <c r="CG13" s="2"/>
      <c r="CH13" s="2"/>
      <c r="CI13" s="2">
        <f>1/2</f>
        <v>0.5</v>
      </c>
      <c r="CJ13" s="2" t="s">
        <v>132</v>
      </c>
      <c r="CK13" s="2" t="s">
        <v>109</v>
      </c>
      <c r="CL13" s="2"/>
      <c r="CM13" s="2"/>
      <c r="CN13" s="2"/>
      <c r="CO13" s="2" t="s">
        <v>115</v>
      </c>
      <c r="CP13" s="2"/>
      <c r="CQ13" s="2"/>
      <c r="CR13" s="2"/>
      <c r="CS13" s="2"/>
      <c r="CT13" s="2"/>
      <c r="CU13" s="2"/>
      <c r="CV13" s="3"/>
      <c r="CW13" s="3"/>
      <c r="CX13" s="3"/>
      <c r="CY13" s="3"/>
    </row>
    <row r="14" ht="15.75" customHeight="1">
      <c r="A14" s="2" t="s">
        <v>130</v>
      </c>
      <c r="B14" s="2" t="s">
        <v>114</v>
      </c>
      <c r="C14" s="2" t="s">
        <v>104</v>
      </c>
      <c r="D14" s="3"/>
      <c r="E14" s="2" t="s">
        <v>103</v>
      </c>
      <c r="F14" s="2"/>
      <c r="G14" s="2"/>
      <c r="H14" s="2" t="s">
        <v>113</v>
      </c>
      <c r="I14" s="2" t="s">
        <v>156</v>
      </c>
      <c r="J14" s="2" t="s">
        <v>142</v>
      </c>
      <c r="K14" s="2"/>
      <c r="L14" s="2" t="s">
        <v>148</v>
      </c>
      <c r="M14" s="2" t="s">
        <v>135</v>
      </c>
      <c r="N14" s="2" t="s">
        <v>120</v>
      </c>
      <c r="O14" s="2"/>
      <c r="P14" s="2"/>
      <c r="Q14" s="2"/>
      <c r="R14" s="2"/>
      <c r="S14" s="2" t="s">
        <v>157</v>
      </c>
      <c r="T14" s="2" t="s">
        <v>130</v>
      </c>
      <c r="U14" s="2"/>
      <c r="V14" s="2" t="s">
        <v>138</v>
      </c>
      <c r="W14" s="2"/>
      <c r="X14" s="2"/>
      <c r="Y14" s="2"/>
      <c r="Z14" s="2"/>
      <c r="AA14" s="2"/>
      <c r="AB14" s="2" t="s">
        <v>103</v>
      </c>
      <c r="AC14" s="2" t="s">
        <v>114</v>
      </c>
      <c r="AD14" s="2" t="s">
        <v>103</v>
      </c>
      <c r="AE14" s="2"/>
      <c r="AF14" s="2"/>
      <c r="AG14" s="2"/>
      <c r="AH14" s="2" t="s">
        <v>103</v>
      </c>
      <c r="AI14" s="2"/>
      <c r="AJ14" s="2" t="s">
        <v>123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 t="s">
        <v>135</v>
      </c>
      <c r="AX14" s="2"/>
      <c r="AY14" s="2" t="s">
        <v>158</v>
      </c>
      <c r="AZ14" s="2"/>
      <c r="BA14" s="2"/>
      <c r="BB14" s="2"/>
      <c r="BC14" s="2"/>
      <c r="BD14" s="2">
        <f>1/4</f>
        <v>0.25</v>
      </c>
      <c r="BE14" s="2" t="s">
        <v>112</v>
      </c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 t="s">
        <v>103</v>
      </c>
      <c r="CD14" s="2" t="s">
        <v>129</v>
      </c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3"/>
      <c r="CW14" s="3"/>
      <c r="CX14" s="3"/>
      <c r="CY14" s="3"/>
    </row>
    <row r="15" ht="15.75" customHeight="1">
      <c r="A15" s="2" t="s">
        <v>138</v>
      </c>
      <c r="B15" s="2" t="s">
        <v>114</v>
      </c>
      <c r="C15" s="2" t="s">
        <v>104</v>
      </c>
      <c r="D15" s="3"/>
      <c r="E15" s="2" t="s">
        <v>103</v>
      </c>
      <c r="F15" s="2"/>
      <c r="G15" s="2"/>
      <c r="H15" s="2" t="s">
        <v>122</v>
      </c>
      <c r="I15" s="2" t="s">
        <v>159</v>
      </c>
      <c r="J15" s="2" t="s">
        <v>105</v>
      </c>
      <c r="K15" s="2"/>
      <c r="L15" s="2" t="s">
        <v>153</v>
      </c>
      <c r="M15" s="2" t="s">
        <v>123</v>
      </c>
      <c r="N15" s="2" t="s">
        <v>136</v>
      </c>
      <c r="O15" s="2"/>
      <c r="P15" s="2"/>
      <c r="Q15" s="2"/>
      <c r="R15" s="2"/>
      <c r="S15" s="2" t="s">
        <v>110</v>
      </c>
      <c r="T15" s="2" t="s">
        <v>132</v>
      </c>
      <c r="U15" s="2"/>
      <c r="V15" s="2" t="s">
        <v>105</v>
      </c>
      <c r="W15" s="2"/>
      <c r="X15" s="2"/>
      <c r="Y15" s="2" t="s">
        <v>103</v>
      </c>
      <c r="Z15" s="2"/>
      <c r="AA15" s="2"/>
      <c r="AB15" s="2" t="s">
        <v>135</v>
      </c>
      <c r="AC15" s="2" t="s">
        <v>130</v>
      </c>
      <c r="AD15" s="2" t="s">
        <v>135</v>
      </c>
      <c r="AE15" s="2"/>
      <c r="AF15" s="2" t="s">
        <v>138</v>
      </c>
      <c r="AG15" s="2"/>
      <c r="AH15" s="2"/>
      <c r="AI15" s="2"/>
      <c r="AJ15" s="2" t="s">
        <v>136</v>
      </c>
      <c r="AK15" s="2"/>
      <c r="AL15" s="2" t="s">
        <v>117</v>
      </c>
      <c r="AM15" s="2" t="s">
        <v>115</v>
      </c>
      <c r="AN15" s="2"/>
      <c r="AO15" s="2"/>
      <c r="AP15" s="2"/>
      <c r="AQ15" s="2"/>
      <c r="AR15" s="2"/>
      <c r="AS15" s="2"/>
      <c r="AT15" s="2" t="s">
        <v>117</v>
      </c>
      <c r="AU15" s="2" t="s">
        <v>157</v>
      </c>
      <c r="AV15" s="2"/>
      <c r="AW15" s="2" t="s">
        <v>135</v>
      </c>
      <c r="AX15" s="2"/>
      <c r="AY15" s="2" t="s">
        <v>105</v>
      </c>
      <c r="AZ15" s="2"/>
      <c r="BA15" s="2"/>
      <c r="BB15" s="2" t="s">
        <v>103</v>
      </c>
      <c r="BC15" s="2" t="s">
        <v>142</v>
      </c>
      <c r="BD15" s="2" t="s">
        <v>103</v>
      </c>
      <c r="BE15" s="2" t="s">
        <v>120</v>
      </c>
      <c r="BF15" s="2"/>
      <c r="BG15" s="2"/>
      <c r="BH15" s="2"/>
      <c r="BI15" s="2"/>
      <c r="BJ15" s="2">
        <f>3/4</f>
        <v>0.75</v>
      </c>
      <c r="BK15" s="2" t="s">
        <v>113</v>
      </c>
      <c r="BL15" s="2"/>
      <c r="BM15" s="2" t="s">
        <v>114</v>
      </c>
      <c r="BN15" s="2"/>
      <c r="BO15" s="2"/>
      <c r="BP15" s="2"/>
      <c r="BQ15" s="2"/>
      <c r="BR15" s="2"/>
      <c r="BS15" s="2"/>
      <c r="BT15" s="2"/>
      <c r="BU15" s="2"/>
      <c r="BV15" s="2"/>
      <c r="BW15" s="2" t="s">
        <v>122</v>
      </c>
      <c r="BX15" s="2"/>
      <c r="BY15" s="2"/>
      <c r="BZ15" s="2"/>
      <c r="CA15" s="2"/>
      <c r="CB15" s="2"/>
      <c r="CC15" s="2">
        <f>1/2</f>
        <v>0.5</v>
      </c>
      <c r="CD15" s="2" t="s">
        <v>139</v>
      </c>
      <c r="CE15" s="2"/>
      <c r="CF15" s="2"/>
      <c r="CG15" s="2"/>
      <c r="CH15" s="2"/>
      <c r="CI15" s="2">
        <f>1/2</f>
        <v>0.5</v>
      </c>
      <c r="CJ15" s="2" t="s">
        <v>113</v>
      </c>
      <c r="CK15" s="2" t="s">
        <v>107</v>
      </c>
      <c r="CL15" s="2"/>
      <c r="CM15" s="2"/>
      <c r="CN15" s="2"/>
      <c r="CO15" s="2" t="s">
        <v>112</v>
      </c>
      <c r="CP15" s="2"/>
      <c r="CQ15" s="2"/>
      <c r="CR15" s="2"/>
      <c r="CS15" s="2"/>
      <c r="CT15" s="2"/>
      <c r="CU15" s="2"/>
      <c r="CV15" s="3"/>
      <c r="CW15" s="3"/>
      <c r="CX15" s="2" t="s">
        <v>112</v>
      </c>
      <c r="CY15" s="2" t="s">
        <v>139</v>
      </c>
    </row>
    <row r="16" ht="15.75" customHeight="1">
      <c r="A16" s="2" t="s">
        <v>135</v>
      </c>
      <c r="B16" s="2" t="s">
        <v>114</v>
      </c>
      <c r="C16" s="2" t="s">
        <v>104</v>
      </c>
      <c r="D16" s="3"/>
      <c r="E16" s="2" t="s">
        <v>103</v>
      </c>
      <c r="F16" s="2"/>
      <c r="G16" s="2"/>
      <c r="H16" s="2" t="s">
        <v>147</v>
      </c>
      <c r="I16" s="2" t="s">
        <v>109</v>
      </c>
      <c r="J16" s="2"/>
      <c r="K16" s="2"/>
      <c r="L16" s="2" t="s">
        <v>127</v>
      </c>
      <c r="M16" s="2" t="s">
        <v>132</v>
      </c>
      <c r="N16" s="2" t="s">
        <v>160</v>
      </c>
      <c r="O16" s="2"/>
      <c r="P16" s="2"/>
      <c r="Q16" s="2"/>
      <c r="R16" s="2"/>
      <c r="S16" s="2" t="s">
        <v>160</v>
      </c>
      <c r="T16" s="2" t="s">
        <v>113</v>
      </c>
      <c r="U16" s="2"/>
      <c r="V16" s="2" t="s">
        <v>113</v>
      </c>
      <c r="W16" s="2"/>
      <c r="X16" s="2"/>
      <c r="Y16" s="2" t="s">
        <v>114</v>
      </c>
      <c r="Z16" s="2"/>
      <c r="AA16" s="2"/>
      <c r="AB16" s="2" t="s">
        <v>130</v>
      </c>
      <c r="AC16" s="2"/>
      <c r="AD16" s="2" t="s">
        <v>130</v>
      </c>
      <c r="AE16" s="2"/>
      <c r="AF16" s="2"/>
      <c r="AG16" s="2"/>
      <c r="AH16" s="2"/>
      <c r="AI16" s="2"/>
      <c r="AJ16" s="2" t="s">
        <v>111</v>
      </c>
      <c r="AK16" s="2" t="s">
        <v>111</v>
      </c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 t="s">
        <v>103</v>
      </c>
      <c r="AW16" s="2" t="s">
        <v>115</v>
      </c>
      <c r="AX16" s="2"/>
      <c r="AY16" s="2" t="s">
        <v>107</v>
      </c>
      <c r="AZ16" s="2">
        <f>1/2</f>
        <v>0.5</v>
      </c>
      <c r="BA16" s="2" t="s">
        <v>146</v>
      </c>
      <c r="BB16" s="2"/>
      <c r="BC16" s="2"/>
      <c r="BD16" s="2" t="s">
        <v>103</v>
      </c>
      <c r="BE16" s="2" t="s">
        <v>105</v>
      </c>
      <c r="BF16" s="2" t="s">
        <v>130</v>
      </c>
      <c r="BG16" s="2" t="s">
        <v>109</v>
      </c>
      <c r="BH16" s="2"/>
      <c r="BI16" s="2"/>
      <c r="BJ16" s="2"/>
      <c r="BK16" s="2"/>
      <c r="BL16" s="2"/>
      <c r="BM16" s="2" t="s">
        <v>135</v>
      </c>
      <c r="BN16" s="2"/>
      <c r="BO16" s="2"/>
      <c r="BP16" s="2"/>
      <c r="BQ16" s="2"/>
      <c r="BR16" s="2"/>
      <c r="BS16" s="2"/>
      <c r="BT16" s="2"/>
      <c r="BU16" s="2"/>
      <c r="BV16" s="2"/>
      <c r="BW16" s="2" t="s">
        <v>121</v>
      </c>
      <c r="BX16" s="2"/>
      <c r="BY16" s="2"/>
      <c r="BZ16" s="2"/>
      <c r="CA16" s="2"/>
      <c r="CB16" s="2"/>
      <c r="CC16" s="2">
        <f>3/4</f>
        <v>0.75</v>
      </c>
      <c r="CD16" s="2" t="s">
        <v>122</v>
      </c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3"/>
      <c r="CW16" s="3"/>
      <c r="CX16" s="3"/>
      <c r="CY16" s="3"/>
    </row>
    <row r="17" ht="15.75" customHeight="1">
      <c r="A17" s="2" t="s">
        <v>126</v>
      </c>
      <c r="B17" s="2" t="s">
        <v>114</v>
      </c>
      <c r="C17" s="2" t="s">
        <v>104</v>
      </c>
      <c r="D17" s="3"/>
      <c r="E17" s="2" t="s">
        <v>103</v>
      </c>
      <c r="F17" s="2"/>
      <c r="G17" s="2"/>
      <c r="H17" s="2" t="s">
        <v>150</v>
      </c>
      <c r="I17" s="2" t="s">
        <v>161</v>
      </c>
      <c r="J17" s="2" t="s">
        <v>162</v>
      </c>
      <c r="K17" s="2"/>
      <c r="L17" s="2" t="s">
        <v>163</v>
      </c>
      <c r="M17" s="2" t="s">
        <v>131</v>
      </c>
      <c r="N17" s="2" t="s">
        <v>134</v>
      </c>
      <c r="O17" s="2" t="s">
        <v>121</v>
      </c>
      <c r="P17" s="2" t="s">
        <v>111</v>
      </c>
      <c r="Q17" s="2" t="s">
        <v>108</v>
      </c>
      <c r="R17" s="2" t="s">
        <v>129</v>
      </c>
      <c r="S17" s="2" t="s">
        <v>164</v>
      </c>
      <c r="T17" s="2" t="s">
        <v>122</v>
      </c>
      <c r="U17" s="2"/>
      <c r="V17" s="2" t="s">
        <v>121</v>
      </c>
      <c r="W17" s="2"/>
      <c r="X17" s="2"/>
      <c r="Y17" s="2" t="s">
        <v>126</v>
      </c>
      <c r="Z17" s="2"/>
      <c r="AA17" s="2"/>
      <c r="AB17" s="2" t="s">
        <v>112</v>
      </c>
      <c r="AC17" s="2" t="s">
        <v>165</v>
      </c>
      <c r="AD17" s="2" t="s">
        <v>106</v>
      </c>
      <c r="AE17" s="2" t="s">
        <v>113</v>
      </c>
      <c r="AF17" s="2" t="s">
        <v>165</v>
      </c>
      <c r="AG17" s="2" t="s">
        <v>166</v>
      </c>
      <c r="AH17" s="2"/>
      <c r="AI17" s="2"/>
      <c r="AJ17" s="2" t="s">
        <v>167</v>
      </c>
      <c r="AK17" s="2"/>
      <c r="AL17" s="2" t="s">
        <v>137</v>
      </c>
      <c r="AM17" s="2" t="s">
        <v>105</v>
      </c>
      <c r="AN17" s="2" t="s">
        <v>126</v>
      </c>
      <c r="AO17" s="2"/>
      <c r="AP17" s="2" t="s">
        <v>168</v>
      </c>
      <c r="AQ17" s="2"/>
      <c r="AR17" s="2" t="s">
        <v>114</v>
      </c>
      <c r="AS17" s="2"/>
      <c r="AT17" s="5" t="s">
        <v>169</v>
      </c>
      <c r="AU17" s="2" t="s">
        <v>170</v>
      </c>
      <c r="AV17" s="2" t="s">
        <v>138</v>
      </c>
      <c r="AW17" s="2" t="s">
        <v>139</v>
      </c>
      <c r="AX17" s="2" t="s">
        <v>130</v>
      </c>
      <c r="AY17" s="5" t="s">
        <v>171</v>
      </c>
      <c r="AZ17" s="2" t="s">
        <v>114</v>
      </c>
      <c r="BA17" s="2" t="s">
        <v>172</v>
      </c>
      <c r="BB17" s="2" t="s">
        <v>114</v>
      </c>
      <c r="BC17" s="2" t="s">
        <v>139</v>
      </c>
      <c r="BD17" s="2"/>
      <c r="BE17" s="2"/>
      <c r="BF17" s="2" t="s">
        <v>119</v>
      </c>
      <c r="BG17" s="2" t="s">
        <v>173</v>
      </c>
      <c r="BH17" s="2"/>
      <c r="BI17" s="2"/>
      <c r="BJ17" s="2"/>
      <c r="BK17" s="2"/>
      <c r="BL17" s="2" t="s">
        <v>113</v>
      </c>
      <c r="BM17" s="2" t="s">
        <v>126</v>
      </c>
      <c r="BN17" s="2"/>
      <c r="BO17" s="2"/>
      <c r="BP17" s="2"/>
      <c r="BQ17" s="2"/>
      <c r="BR17" s="2"/>
      <c r="BS17" s="2"/>
      <c r="BT17" s="2"/>
      <c r="BU17" s="2"/>
      <c r="BV17" s="2"/>
      <c r="BW17" s="2" t="s">
        <v>111</v>
      </c>
      <c r="BX17" s="2"/>
      <c r="BY17" s="2"/>
      <c r="BZ17" s="2"/>
      <c r="CA17" s="2"/>
      <c r="CB17" s="2"/>
      <c r="CC17" s="2" t="s">
        <v>114</v>
      </c>
      <c r="CD17" s="2" t="s">
        <v>174</v>
      </c>
      <c r="CE17" s="2"/>
      <c r="CF17" s="2"/>
      <c r="CG17" s="2"/>
      <c r="CH17" s="2"/>
      <c r="CI17" s="2"/>
      <c r="CJ17" s="2" t="s">
        <v>126</v>
      </c>
      <c r="CK17" s="2" t="s">
        <v>112</v>
      </c>
      <c r="CL17" s="2"/>
      <c r="CM17" s="2"/>
      <c r="CN17" s="2"/>
      <c r="CO17" s="2" t="s">
        <v>146</v>
      </c>
      <c r="CP17" s="2"/>
      <c r="CQ17" s="2"/>
      <c r="CR17" s="2"/>
      <c r="CS17" s="2"/>
      <c r="CT17" s="2"/>
      <c r="CU17" s="2"/>
      <c r="CV17" s="3"/>
      <c r="CW17" s="3"/>
      <c r="CX17" s="2" t="s">
        <v>109</v>
      </c>
      <c r="CY17" s="2" t="s">
        <v>121</v>
      </c>
    </row>
    <row r="18" ht="15.75" customHeight="1">
      <c r="A18" s="2" t="s">
        <v>146</v>
      </c>
      <c r="B18" s="2" t="s">
        <v>114</v>
      </c>
      <c r="C18" s="2" t="s">
        <v>104</v>
      </c>
      <c r="D18" s="3"/>
      <c r="E18" s="2" t="s">
        <v>103</v>
      </c>
      <c r="F18" s="2"/>
      <c r="G18" s="2"/>
      <c r="H18" s="2" t="s">
        <v>107</v>
      </c>
      <c r="I18" s="2" t="s">
        <v>144</v>
      </c>
      <c r="J18" s="2"/>
      <c r="K18" s="2"/>
      <c r="L18" s="2" t="s">
        <v>127</v>
      </c>
      <c r="M18" s="2" t="s">
        <v>107</v>
      </c>
      <c r="N18" s="2" t="s">
        <v>175</v>
      </c>
      <c r="O18" s="2"/>
      <c r="P18" s="2"/>
      <c r="Q18" s="2"/>
      <c r="R18" s="2"/>
      <c r="S18" s="2" t="s">
        <v>176</v>
      </c>
      <c r="T18" s="2" t="s">
        <v>113</v>
      </c>
      <c r="U18" s="2"/>
      <c r="V18" s="2" t="s">
        <v>113</v>
      </c>
      <c r="W18" s="2"/>
      <c r="X18" s="2"/>
      <c r="Y18" s="2" t="s">
        <v>103</v>
      </c>
      <c r="Z18" s="2"/>
      <c r="AA18" s="2"/>
      <c r="AB18" s="2" t="s">
        <v>138</v>
      </c>
      <c r="AC18" s="2" t="s">
        <v>114</v>
      </c>
      <c r="AD18" s="2" t="s">
        <v>138</v>
      </c>
      <c r="AE18" s="2" t="s">
        <v>103</v>
      </c>
      <c r="AF18" s="2" t="s">
        <v>135</v>
      </c>
      <c r="AG18" s="2" t="s">
        <v>103</v>
      </c>
      <c r="AH18" s="2"/>
      <c r="AI18" s="2"/>
      <c r="AJ18" s="2" t="s">
        <v>136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 t="s">
        <v>112</v>
      </c>
      <c r="AX18" s="2"/>
      <c r="AY18" s="2" t="s">
        <v>107</v>
      </c>
      <c r="AZ18" s="2" t="s">
        <v>103</v>
      </c>
      <c r="BA18" s="2" t="s">
        <v>132</v>
      </c>
      <c r="BB18" s="2" t="s">
        <v>114</v>
      </c>
      <c r="BC18" s="2" t="s">
        <v>120</v>
      </c>
      <c r="BD18" s="2" t="s">
        <v>103</v>
      </c>
      <c r="BE18" s="2" t="s">
        <v>105</v>
      </c>
      <c r="BF18" s="2"/>
      <c r="BG18" s="2"/>
      <c r="BH18" s="2">
        <f>1/4</f>
        <v>0.25</v>
      </c>
      <c r="BI18" s="2" t="s">
        <v>126</v>
      </c>
      <c r="BJ18" s="2" t="s">
        <v>103</v>
      </c>
      <c r="BK18" s="2" t="s">
        <v>112</v>
      </c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 t="s">
        <v>103</v>
      </c>
      <c r="CD18" s="2" t="s">
        <v>121</v>
      </c>
      <c r="CE18" s="2"/>
      <c r="CF18" s="2"/>
      <c r="CG18" s="2"/>
      <c r="CH18" s="2"/>
      <c r="CI18" s="2">
        <f>1/2</f>
        <v>0.5</v>
      </c>
      <c r="CJ18" s="2" t="s">
        <v>119</v>
      </c>
      <c r="CK18" s="2" t="s">
        <v>105</v>
      </c>
      <c r="CL18" s="2"/>
      <c r="CM18" s="2"/>
      <c r="CN18" s="2"/>
      <c r="CO18" s="2" t="s">
        <v>135</v>
      </c>
      <c r="CP18" s="2"/>
      <c r="CQ18" s="2"/>
      <c r="CR18" s="2"/>
      <c r="CS18" s="2"/>
      <c r="CT18" s="2"/>
      <c r="CU18" s="2"/>
      <c r="CV18" s="3"/>
      <c r="CW18" s="3"/>
      <c r="CX18" s="3"/>
      <c r="CY18" s="3"/>
    </row>
    <row r="19" ht="15.75" customHeight="1">
      <c r="A19" s="2" t="s">
        <v>115</v>
      </c>
      <c r="B19" s="2" t="s">
        <v>114</v>
      </c>
      <c r="C19" s="2" t="s">
        <v>104</v>
      </c>
      <c r="D19" s="3"/>
      <c r="E19" s="2" t="s">
        <v>103</v>
      </c>
      <c r="F19" s="2"/>
      <c r="G19" s="2"/>
      <c r="H19" s="2" t="s">
        <v>122</v>
      </c>
      <c r="I19" s="2" t="s">
        <v>107</v>
      </c>
      <c r="J19" s="2" t="s">
        <v>105</v>
      </c>
      <c r="K19" s="2"/>
      <c r="L19" s="2" t="s">
        <v>177</v>
      </c>
      <c r="M19" s="2" t="s">
        <v>111</v>
      </c>
      <c r="N19" s="2" t="s">
        <v>154</v>
      </c>
      <c r="O19" s="2" t="s">
        <v>105</v>
      </c>
      <c r="P19" s="2" t="s">
        <v>126</v>
      </c>
      <c r="Q19" s="2" t="s">
        <v>111</v>
      </c>
      <c r="R19" s="2" t="s">
        <v>120</v>
      </c>
      <c r="S19" s="2" t="s">
        <v>108</v>
      </c>
      <c r="T19" s="2" t="s">
        <v>105</v>
      </c>
      <c r="U19" s="2"/>
      <c r="V19" s="2" t="s">
        <v>105</v>
      </c>
      <c r="W19" s="2"/>
      <c r="X19" s="2"/>
      <c r="Y19" s="2" t="s">
        <v>114</v>
      </c>
      <c r="Z19" s="2"/>
      <c r="AA19" s="2"/>
      <c r="AB19" s="2" t="s">
        <v>126</v>
      </c>
      <c r="AC19" s="2" t="s">
        <v>114</v>
      </c>
      <c r="AD19" s="2" t="s">
        <v>126</v>
      </c>
      <c r="AE19" s="2"/>
      <c r="AF19" s="2" t="s">
        <v>130</v>
      </c>
      <c r="AG19" s="2" t="s">
        <v>103</v>
      </c>
      <c r="AH19" s="2"/>
      <c r="AI19" s="2"/>
      <c r="AJ19" s="2" t="s">
        <v>108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 t="s">
        <v>114</v>
      </c>
      <c r="AW19" s="2" t="s">
        <v>132</v>
      </c>
      <c r="AX19" s="2"/>
      <c r="AY19" s="2" t="s">
        <v>122</v>
      </c>
      <c r="AZ19" s="2"/>
      <c r="BA19" s="2"/>
      <c r="BB19" s="2" t="s">
        <v>126</v>
      </c>
      <c r="BC19" s="2" t="s">
        <v>129</v>
      </c>
      <c r="BD19" s="2"/>
      <c r="BE19" s="2"/>
      <c r="BF19" s="2" t="s">
        <v>146</v>
      </c>
      <c r="BG19" s="2" t="s">
        <v>178</v>
      </c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 t="s">
        <v>138</v>
      </c>
      <c r="CD19" s="2" t="s">
        <v>110</v>
      </c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3"/>
      <c r="CW19" s="3"/>
      <c r="CX19" s="2" t="s">
        <v>112</v>
      </c>
      <c r="CY19" s="2" t="s">
        <v>132</v>
      </c>
    </row>
    <row r="20" ht="15.75" customHeight="1">
      <c r="A20" s="2" t="s">
        <v>116</v>
      </c>
      <c r="B20" s="2" t="s">
        <v>114</v>
      </c>
      <c r="C20" s="2" t="s">
        <v>104</v>
      </c>
      <c r="D20" s="3"/>
      <c r="E20" s="2" t="s">
        <v>103</v>
      </c>
      <c r="F20" s="2"/>
      <c r="G20" s="2"/>
      <c r="H20" s="2" t="s">
        <v>179</v>
      </c>
      <c r="I20" s="2" t="s">
        <v>180</v>
      </c>
      <c r="J20" s="2" t="s">
        <v>179</v>
      </c>
      <c r="K20" s="2"/>
      <c r="L20" s="2" t="s">
        <v>141</v>
      </c>
      <c r="M20" s="2" t="s">
        <v>121</v>
      </c>
      <c r="N20" s="2" t="s">
        <v>181</v>
      </c>
      <c r="O20" s="2" t="s">
        <v>120</v>
      </c>
      <c r="P20" s="2"/>
      <c r="Q20" s="2" t="s">
        <v>111</v>
      </c>
      <c r="R20" s="2" t="s">
        <v>120</v>
      </c>
      <c r="S20" s="2" t="s">
        <v>182</v>
      </c>
      <c r="T20" s="2" t="s">
        <v>120</v>
      </c>
      <c r="U20" s="2"/>
      <c r="V20" s="2" t="s">
        <v>107</v>
      </c>
      <c r="W20" s="2"/>
      <c r="X20" s="2"/>
      <c r="Y20" s="2" t="s">
        <v>130</v>
      </c>
      <c r="Z20" s="2"/>
      <c r="AA20" s="2" t="s">
        <v>114</v>
      </c>
      <c r="AB20" s="2" t="s">
        <v>119</v>
      </c>
      <c r="AC20" s="2" t="s">
        <v>112</v>
      </c>
      <c r="AD20" s="2" t="s">
        <v>165</v>
      </c>
      <c r="AE20" s="2" t="s">
        <v>135</v>
      </c>
      <c r="AF20" s="2" t="s">
        <v>183</v>
      </c>
      <c r="AG20" s="2" t="s">
        <v>138</v>
      </c>
      <c r="AH20" s="2" t="s">
        <v>103</v>
      </c>
      <c r="AI20" s="2"/>
      <c r="AJ20" s="2" t="s">
        <v>108</v>
      </c>
      <c r="AK20" s="2"/>
      <c r="AL20" s="2" t="s">
        <v>132</v>
      </c>
      <c r="AM20" s="2" t="s">
        <v>115</v>
      </c>
      <c r="AN20" s="2" t="s">
        <v>115</v>
      </c>
      <c r="AO20" s="2"/>
      <c r="AP20" s="2"/>
      <c r="AQ20" s="2"/>
      <c r="AR20" s="2"/>
      <c r="AS20" s="2"/>
      <c r="AT20" s="2" t="s">
        <v>106</v>
      </c>
      <c r="AU20" s="2" t="s">
        <v>129</v>
      </c>
      <c r="AV20" s="2" t="s">
        <v>130</v>
      </c>
      <c r="AW20" s="2" t="s">
        <v>184</v>
      </c>
      <c r="AX20" s="2"/>
      <c r="AY20" s="2" t="s">
        <v>123</v>
      </c>
      <c r="AZ20" s="2" t="s">
        <v>103</v>
      </c>
      <c r="BA20" s="2" t="s">
        <v>132</v>
      </c>
      <c r="BB20" s="2">
        <f>1/2</f>
        <v>0.5</v>
      </c>
      <c r="BC20" s="2" t="s">
        <v>109</v>
      </c>
      <c r="BD20" s="2" t="s">
        <v>114</v>
      </c>
      <c r="BE20" s="2" t="s">
        <v>107</v>
      </c>
      <c r="BF20" s="2" t="s">
        <v>130</v>
      </c>
      <c r="BG20" s="2" t="s">
        <v>150</v>
      </c>
      <c r="BH20" s="2"/>
      <c r="BI20" s="2"/>
      <c r="BJ20" s="5" t="s">
        <v>103</v>
      </c>
      <c r="BK20" s="2" t="s">
        <v>118</v>
      </c>
      <c r="BL20" s="2"/>
      <c r="BM20" s="2" t="s">
        <v>112</v>
      </c>
      <c r="BN20" s="2"/>
      <c r="BO20" s="2"/>
      <c r="BP20" s="2"/>
      <c r="BQ20" s="2"/>
      <c r="BR20" s="2"/>
      <c r="BS20" s="2"/>
      <c r="BT20" s="2"/>
      <c r="BU20" s="2"/>
      <c r="BV20" s="2"/>
      <c r="BW20" s="2" t="s">
        <v>111</v>
      </c>
      <c r="BX20" s="2"/>
      <c r="BY20" s="2"/>
      <c r="BZ20" s="2"/>
      <c r="CA20" s="2"/>
      <c r="CB20" s="2"/>
      <c r="CC20" s="2" t="s">
        <v>130</v>
      </c>
      <c r="CD20" s="2" t="s">
        <v>110</v>
      </c>
      <c r="CE20" s="2"/>
      <c r="CF20" s="2"/>
      <c r="CG20" s="2"/>
      <c r="CH20" s="2"/>
      <c r="CI20" s="2"/>
      <c r="CJ20" s="2" t="s">
        <v>126</v>
      </c>
      <c r="CK20" s="2" t="s">
        <v>119</v>
      </c>
      <c r="CL20" s="2"/>
      <c r="CM20" s="2"/>
      <c r="CN20" s="2"/>
      <c r="CO20" s="2" t="s">
        <v>130</v>
      </c>
      <c r="CP20" s="2"/>
      <c r="CQ20" s="2"/>
      <c r="CR20" s="2"/>
      <c r="CS20" s="2"/>
      <c r="CT20" s="2"/>
      <c r="CU20" s="2"/>
      <c r="CV20" s="3"/>
      <c r="CW20" s="3"/>
      <c r="CX20" s="2" t="s">
        <v>109</v>
      </c>
      <c r="CY20" s="2" t="s">
        <v>160</v>
      </c>
    </row>
    <row r="21" ht="15.75" customHeight="1">
      <c r="A21" s="2" t="s">
        <v>112</v>
      </c>
      <c r="B21" s="2" t="s">
        <v>114</v>
      </c>
      <c r="C21" s="2" t="s">
        <v>104</v>
      </c>
      <c r="D21" s="3"/>
      <c r="E21" s="2" t="s">
        <v>103</v>
      </c>
      <c r="F21" s="2"/>
      <c r="G21" s="2"/>
      <c r="H21" s="2" t="s">
        <v>185</v>
      </c>
      <c r="I21" s="2" t="s">
        <v>186</v>
      </c>
      <c r="J21" s="2" t="s">
        <v>157</v>
      </c>
      <c r="K21" s="2"/>
      <c r="L21" s="2" t="s">
        <v>167</v>
      </c>
      <c r="M21" s="2" t="s">
        <v>121</v>
      </c>
      <c r="N21" s="2" t="s">
        <v>125</v>
      </c>
      <c r="O21" s="2"/>
      <c r="P21" s="2" t="s">
        <v>115</v>
      </c>
      <c r="Q21" s="2" t="s">
        <v>121</v>
      </c>
      <c r="R21" s="2" t="s">
        <v>106</v>
      </c>
      <c r="S21" s="2" t="s">
        <v>187</v>
      </c>
      <c r="T21" s="2" t="s">
        <v>132</v>
      </c>
      <c r="U21" s="2"/>
      <c r="V21" s="2" t="s">
        <v>169</v>
      </c>
      <c r="W21" s="2"/>
      <c r="X21" s="2"/>
      <c r="Y21" s="2" t="s">
        <v>114</v>
      </c>
      <c r="Z21" s="2"/>
      <c r="AA21" s="2"/>
      <c r="AB21" s="2" t="s">
        <v>115</v>
      </c>
      <c r="AC21" s="2" t="s">
        <v>146</v>
      </c>
      <c r="AD21" s="2" t="s">
        <v>115</v>
      </c>
      <c r="AE21" s="2" t="s">
        <v>103</v>
      </c>
      <c r="AF21" s="2" t="s">
        <v>103</v>
      </c>
      <c r="AG21" s="2" t="s">
        <v>138</v>
      </c>
      <c r="AH21" s="2" t="s">
        <v>103</v>
      </c>
      <c r="AI21" s="2"/>
      <c r="AJ21" s="2" t="s">
        <v>127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 t="s">
        <v>114</v>
      </c>
      <c r="AW21" s="2" t="s">
        <v>132</v>
      </c>
      <c r="AX21" s="2" t="s">
        <v>114</v>
      </c>
      <c r="AY21" s="2" t="s">
        <v>121</v>
      </c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 t="s">
        <v>105</v>
      </c>
      <c r="BY21" s="2"/>
      <c r="BZ21" s="2"/>
      <c r="CA21" s="2"/>
      <c r="CB21" s="2"/>
      <c r="CC21" s="4">
        <f>2 + (1/2)</f>
        <v>2.5</v>
      </c>
      <c r="CD21" s="2" t="s">
        <v>188</v>
      </c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3"/>
      <c r="CW21" s="3"/>
      <c r="CX21" s="2" t="s">
        <v>129</v>
      </c>
      <c r="CY21" s="2" t="s">
        <v>110</v>
      </c>
    </row>
    <row r="22" ht="15.75" customHeight="1">
      <c r="A22" s="2" t="s">
        <v>103</v>
      </c>
      <c r="B22" s="2" t="s">
        <v>130</v>
      </c>
      <c r="C22" s="2" t="s">
        <v>104</v>
      </c>
      <c r="D22" s="3"/>
      <c r="E22" s="2"/>
      <c r="F22" s="2"/>
      <c r="G22" s="2" t="s">
        <v>103</v>
      </c>
      <c r="H22" s="2" t="s">
        <v>160</v>
      </c>
      <c r="I22" s="2" t="s">
        <v>189</v>
      </c>
      <c r="J22" s="2"/>
      <c r="K22" s="2"/>
      <c r="L22" s="2" t="s">
        <v>190</v>
      </c>
      <c r="M22" s="2" t="s">
        <v>107</v>
      </c>
      <c r="N22" s="2" t="s">
        <v>191</v>
      </c>
      <c r="O22" s="2" t="s">
        <v>105</v>
      </c>
      <c r="P22" s="2"/>
      <c r="Q22" s="2" t="s">
        <v>121</v>
      </c>
      <c r="R22" s="2" t="s">
        <v>117</v>
      </c>
      <c r="S22" s="2" t="s">
        <v>182</v>
      </c>
      <c r="T22" s="2" t="s">
        <v>157</v>
      </c>
      <c r="U22" s="2"/>
      <c r="V22" s="2" t="s">
        <v>139</v>
      </c>
      <c r="W22" s="2"/>
      <c r="X22" s="2"/>
      <c r="Y22" s="2" t="s">
        <v>135</v>
      </c>
      <c r="Z22" s="2"/>
      <c r="AA22" s="2" t="s">
        <v>113</v>
      </c>
      <c r="AB22" s="2" t="s">
        <v>119</v>
      </c>
      <c r="AC22" s="2" t="s">
        <v>183</v>
      </c>
      <c r="AD22" s="2"/>
      <c r="AE22" s="2" t="s">
        <v>126</v>
      </c>
      <c r="AF22" s="2" t="s">
        <v>103</v>
      </c>
      <c r="AG22" s="2"/>
      <c r="AH22" s="2"/>
      <c r="AI22" s="2"/>
      <c r="AJ22" s="2" t="s">
        <v>134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 t="s">
        <v>114</v>
      </c>
      <c r="AW22" s="2" t="s">
        <v>192</v>
      </c>
      <c r="AX22" s="2"/>
      <c r="AY22" s="2" t="s">
        <v>121</v>
      </c>
      <c r="AZ22" s="2"/>
      <c r="BA22" s="2"/>
      <c r="BB22" s="2" t="s">
        <v>103</v>
      </c>
      <c r="BC22" s="2" t="s">
        <v>113</v>
      </c>
      <c r="BD22" s="2">
        <f>1/2</f>
        <v>0.5</v>
      </c>
      <c r="BE22" s="2" t="s">
        <v>119</v>
      </c>
      <c r="BF22" s="2" t="s">
        <v>115</v>
      </c>
      <c r="BG22" s="2" t="s">
        <v>193</v>
      </c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>
        <f t="shared" ref="CC22:CC24" si="2">1/2</f>
        <v>0.5</v>
      </c>
      <c r="CD22" s="2" t="s">
        <v>123</v>
      </c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3"/>
      <c r="CW22" s="3"/>
      <c r="CX22" s="3"/>
      <c r="CY22" s="3"/>
    </row>
    <row r="23" ht="15.75" customHeight="1">
      <c r="A23" s="2" t="s">
        <v>114</v>
      </c>
      <c r="B23" s="2" t="s">
        <v>130</v>
      </c>
      <c r="C23" s="2" t="s">
        <v>104</v>
      </c>
      <c r="D23" s="3"/>
      <c r="E23" s="2" t="s">
        <v>103</v>
      </c>
      <c r="F23" s="2"/>
      <c r="G23" s="2"/>
      <c r="H23" s="2" t="s">
        <v>123</v>
      </c>
      <c r="I23" s="2" t="s">
        <v>144</v>
      </c>
      <c r="J23" s="2"/>
      <c r="K23" s="2"/>
      <c r="L23" s="2" t="s">
        <v>182</v>
      </c>
      <c r="M23" s="2" t="s">
        <v>107</v>
      </c>
      <c r="N23" s="2" t="s">
        <v>131</v>
      </c>
      <c r="O23" s="2" t="s">
        <v>112</v>
      </c>
      <c r="P23" s="2"/>
      <c r="Q23" s="2" t="s">
        <v>107</v>
      </c>
      <c r="R23" s="2" t="s">
        <v>115</v>
      </c>
      <c r="S23" s="2" t="s">
        <v>110</v>
      </c>
      <c r="T23" s="2" t="s">
        <v>132</v>
      </c>
      <c r="U23" s="2"/>
      <c r="V23" s="2" t="s">
        <v>132</v>
      </c>
      <c r="W23" s="2"/>
      <c r="X23" s="2"/>
      <c r="Y23" s="2" t="s">
        <v>130</v>
      </c>
      <c r="Z23" s="2"/>
      <c r="AA23" s="2" t="s">
        <v>135</v>
      </c>
      <c r="AB23" s="2" t="s">
        <v>126</v>
      </c>
      <c r="AC23" s="2" t="s">
        <v>126</v>
      </c>
      <c r="AD23" s="2"/>
      <c r="AE23" s="2" t="s">
        <v>130</v>
      </c>
      <c r="AF23" s="2" t="s">
        <v>103</v>
      </c>
      <c r="AG23" s="2" t="s">
        <v>103</v>
      </c>
      <c r="AH23" s="2"/>
      <c r="AI23" s="2"/>
      <c r="AJ23" s="2" t="s">
        <v>148</v>
      </c>
      <c r="AK23" s="2"/>
      <c r="AL23" s="2" t="s">
        <v>112</v>
      </c>
      <c r="AM23" s="2" t="s">
        <v>130</v>
      </c>
      <c r="AN23" s="2"/>
      <c r="AO23" s="2" t="s">
        <v>116</v>
      </c>
      <c r="AP23" s="2"/>
      <c r="AQ23" s="2"/>
      <c r="AR23" s="2"/>
      <c r="AS23" s="2"/>
      <c r="AT23" s="2" t="s">
        <v>112</v>
      </c>
      <c r="AU23" s="2" t="s">
        <v>139</v>
      </c>
      <c r="AV23" s="2" t="s">
        <v>130</v>
      </c>
      <c r="AW23" s="2" t="s">
        <v>115</v>
      </c>
      <c r="AX23" s="2" t="s">
        <v>130</v>
      </c>
      <c r="AY23" s="2" t="s">
        <v>109</v>
      </c>
      <c r="AZ23" s="2"/>
      <c r="BA23" s="2"/>
      <c r="BB23" s="2"/>
      <c r="BC23" s="2"/>
      <c r="BD23" s="2" t="s">
        <v>103</v>
      </c>
      <c r="BE23" s="2" t="s">
        <v>107</v>
      </c>
      <c r="BF23" s="2" t="s">
        <v>138</v>
      </c>
      <c r="BG23" s="2" t="s">
        <v>194</v>
      </c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>
        <f t="shared" si="2"/>
        <v>0.5</v>
      </c>
      <c r="CD23" s="2" t="s">
        <v>123</v>
      </c>
      <c r="CE23" s="2"/>
      <c r="CF23" s="2"/>
      <c r="CG23" s="2"/>
      <c r="CH23" s="2"/>
      <c r="CI23" s="2"/>
      <c r="CJ23" s="2" t="s">
        <v>119</v>
      </c>
      <c r="CK23" s="2" t="s">
        <v>105</v>
      </c>
      <c r="CL23" s="2"/>
      <c r="CM23" s="2"/>
      <c r="CN23" s="2"/>
      <c r="CO23" s="2" t="s">
        <v>135</v>
      </c>
      <c r="CP23" s="2"/>
      <c r="CQ23" s="2"/>
      <c r="CR23" s="2"/>
      <c r="CS23" s="2"/>
      <c r="CT23" s="2"/>
      <c r="CU23" s="2"/>
      <c r="CV23" s="3"/>
      <c r="CW23" s="3"/>
      <c r="CX23" s="2" t="s">
        <v>105</v>
      </c>
      <c r="CY23" s="2" t="s">
        <v>121</v>
      </c>
    </row>
    <row r="24" ht="15.75" customHeight="1">
      <c r="A24" s="2" t="s">
        <v>130</v>
      </c>
      <c r="B24" s="2" t="s">
        <v>130</v>
      </c>
      <c r="C24" s="2" t="s">
        <v>104</v>
      </c>
      <c r="D24" s="3"/>
      <c r="E24" s="2" t="s">
        <v>103</v>
      </c>
      <c r="F24" s="2"/>
      <c r="G24" s="2"/>
      <c r="H24" s="2" t="s">
        <v>195</v>
      </c>
      <c r="I24" s="2" t="s">
        <v>196</v>
      </c>
      <c r="J24" s="2"/>
      <c r="K24" s="2"/>
      <c r="L24" s="2" t="s">
        <v>127</v>
      </c>
      <c r="M24" s="2" t="s">
        <v>121</v>
      </c>
      <c r="N24" s="2" t="s">
        <v>136</v>
      </c>
      <c r="O24" s="2" t="s">
        <v>105</v>
      </c>
      <c r="P24" s="2"/>
      <c r="Q24" s="2" t="s">
        <v>105</v>
      </c>
      <c r="R24" s="2" t="s">
        <v>138</v>
      </c>
      <c r="S24" s="2" t="s">
        <v>110</v>
      </c>
      <c r="T24" s="2" t="s">
        <v>105</v>
      </c>
      <c r="U24" s="2"/>
      <c r="V24" s="2" t="s">
        <v>105</v>
      </c>
      <c r="W24" s="2"/>
      <c r="X24" s="2"/>
      <c r="Y24" s="2" t="s">
        <v>114</v>
      </c>
      <c r="Z24" s="2"/>
      <c r="AA24" s="2" t="s">
        <v>135</v>
      </c>
      <c r="AB24" s="2" t="s">
        <v>135</v>
      </c>
      <c r="AC24" s="2" t="s">
        <v>138</v>
      </c>
      <c r="AD24" s="2"/>
      <c r="AE24" s="2" t="s">
        <v>112</v>
      </c>
      <c r="AF24" s="2" t="s">
        <v>103</v>
      </c>
      <c r="AG24" s="2" t="s">
        <v>103</v>
      </c>
      <c r="AH24" s="2"/>
      <c r="AI24" s="2"/>
      <c r="AJ24" s="2" t="s">
        <v>173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 t="s">
        <v>197</v>
      </c>
      <c r="AX24" s="2" t="s">
        <v>126</v>
      </c>
      <c r="AY24" s="2" t="s">
        <v>131</v>
      </c>
      <c r="AZ24" s="2"/>
      <c r="BA24" s="2"/>
      <c r="BB24" s="2" t="s">
        <v>103</v>
      </c>
      <c r="BC24" s="2" t="s">
        <v>120</v>
      </c>
      <c r="BD24" s="2" t="s">
        <v>103</v>
      </c>
      <c r="BE24" s="2" t="s">
        <v>105</v>
      </c>
      <c r="BF24" s="2" t="s">
        <v>103</v>
      </c>
      <c r="BG24" s="2" t="s">
        <v>105</v>
      </c>
      <c r="BH24" s="2"/>
      <c r="BI24" s="2"/>
      <c r="BJ24" s="2"/>
      <c r="BK24" s="2"/>
      <c r="BL24" s="2"/>
      <c r="BM24" s="2" t="s">
        <v>138</v>
      </c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>
        <f t="shared" si="2"/>
        <v>0.5</v>
      </c>
      <c r="CD24" s="2" t="s">
        <v>132</v>
      </c>
      <c r="CE24" s="2"/>
      <c r="CF24" s="2"/>
      <c r="CG24" s="2"/>
      <c r="CH24" s="2"/>
      <c r="CI24" s="2"/>
      <c r="CJ24" s="2"/>
      <c r="CK24" s="2" t="s">
        <v>142</v>
      </c>
      <c r="CL24" s="2"/>
      <c r="CM24" s="2"/>
      <c r="CN24" s="2"/>
      <c r="CO24" s="2" t="s">
        <v>115</v>
      </c>
      <c r="CP24" s="2"/>
      <c r="CQ24" s="2"/>
      <c r="CR24" s="2"/>
      <c r="CS24" s="2"/>
      <c r="CT24" s="2"/>
      <c r="CU24" s="2"/>
      <c r="CV24" s="3"/>
      <c r="CW24" s="3"/>
      <c r="CX24" s="3"/>
      <c r="CY24" s="3"/>
    </row>
    <row r="25" ht="15.75" customHeight="1">
      <c r="A25" s="2" t="s">
        <v>138</v>
      </c>
      <c r="B25" s="2" t="s">
        <v>130</v>
      </c>
      <c r="C25" s="2" t="s">
        <v>104</v>
      </c>
      <c r="D25" s="3"/>
      <c r="E25" s="2"/>
      <c r="F25" s="2"/>
      <c r="G25" s="2" t="s">
        <v>103</v>
      </c>
      <c r="H25" s="2" t="s">
        <v>122</v>
      </c>
      <c r="I25" s="2" t="s">
        <v>198</v>
      </c>
      <c r="J25" s="2" t="s">
        <v>109</v>
      </c>
      <c r="K25" s="2"/>
      <c r="L25" s="2" t="s">
        <v>141</v>
      </c>
      <c r="M25" s="2" t="s">
        <v>107</v>
      </c>
      <c r="N25" s="2" t="s">
        <v>111</v>
      </c>
      <c r="O25" s="2" t="s">
        <v>122</v>
      </c>
      <c r="P25" s="2" t="s">
        <v>119</v>
      </c>
      <c r="Q25" s="2" t="s">
        <v>199</v>
      </c>
      <c r="R25" s="2" t="s">
        <v>106</v>
      </c>
      <c r="S25" s="2" t="s">
        <v>131</v>
      </c>
      <c r="T25" s="2" t="s">
        <v>120</v>
      </c>
      <c r="U25" s="2"/>
      <c r="V25" s="2" t="s">
        <v>105</v>
      </c>
      <c r="W25" s="2"/>
      <c r="X25" s="2"/>
      <c r="Y25" s="2" t="s">
        <v>114</v>
      </c>
      <c r="Z25" s="2"/>
      <c r="AA25" s="2" t="s">
        <v>114</v>
      </c>
      <c r="AB25" s="2" t="s">
        <v>130</v>
      </c>
      <c r="AC25" s="2" t="s">
        <v>103</v>
      </c>
      <c r="AD25" s="2"/>
      <c r="AE25" s="2" t="s">
        <v>135</v>
      </c>
      <c r="AF25" s="2" t="s">
        <v>103</v>
      </c>
      <c r="AG25" s="2" t="s">
        <v>103</v>
      </c>
      <c r="AH25" s="2"/>
      <c r="AI25" s="2"/>
      <c r="AJ25" s="2" t="s">
        <v>110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 t="s">
        <v>113</v>
      </c>
      <c r="AX25" s="2"/>
      <c r="AY25" s="2" t="s">
        <v>139</v>
      </c>
      <c r="AZ25" s="2"/>
      <c r="BA25" s="2"/>
      <c r="BB25" s="4">
        <f>1 + (1/2)</f>
        <v>1.5</v>
      </c>
      <c r="BC25" s="2" t="s">
        <v>109</v>
      </c>
      <c r="BD25" s="2" t="s">
        <v>103</v>
      </c>
      <c r="BE25" s="2" t="s">
        <v>120</v>
      </c>
      <c r="BF25" s="2" t="s">
        <v>138</v>
      </c>
      <c r="BG25" s="2" t="s">
        <v>150</v>
      </c>
      <c r="BH25" s="2"/>
      <c r="BI25" s="2"/>
      <c r="BJ25" s="2"/>
      <c r="BK25" s="2"/>
      <c r="BL25" s="2"/>
      <c r="BM25" s="2" t="s">
        <v>114</v>
      </c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 t="s">
        <v>114</v>
      </c>
      <c r="CD25" s="2" t="s">
        <v>136</v>
      </c>
      <c r="CE25" s="2"/>
      <c r="CF25" s="2"/>
      <c r="CG25" s="2"/>
      <c r="CH25" s="2"/>
      <c r="CI25" s="4">
        <f>2 + (1/2)</f>
        <v>2.5</v>
      </c>
      <c r="CJ25" s="2" t="s">
        <v>120</v>
      </c>
      <c r="CK25" s="2" t="s">
        <v>105</v>
      </c>
      <c r="CL25" s="2"/>
      <c r="CM25" s="2"/>
      <c r="CN25" s="2"/>
      <c r="CO25" s="2" t="s">
        <v>135</v>
      </c>
      <c r="CP25" s="2"/>
      <c r="CQ25" s="2"/>
      <c r="CR25" s="2"/>
      <c r="CS25" s="2"/>
      <c r="CT25" s="2"/>
      <c r="CU25" s="2"/>
      <c r="CV25" s="3"/>
      <c r="CW25" s="3"/>
      <c r="CX25" s="2" t="s">
        <v>109</v>
      </c>
      <c r="CY25" s="2" t="s">
        <v>160</v>
      </c>
    </row>
    <row r="26" ht="15.75" customHeight="1">
      <c r="A26" s="2" t="s">
        <v>135</v>
      </c>
      <c r="B26" s="2" t="s">
        <v>130</v>
      </c>
      <c r="C26" s="2" t="s">
        <v>104</v>
      </c>
      <c r="D26" s="3"/>
      <c r="E26" s="2" t="s">
        <v>103</v>
      </c>
      <c r="F26" s="2"/>
      <c r="G26" s="2"/>
      <c r="H26" s="2" t="s">
        <v>117</v>
      </c>
      <c r="I26" s="2" t="s">
        <v>119</v>
      </c>
      <c r="J26" s="2" t="s">
        <v>117</v>
      </c>
      <c r="K26" s="2"/>
      <c r="L26" s="2" t="s">
        <v>110</v>
      </c>
      <c r="M26" s="2" t="s">
        <v>112</v>
      </c>
      <c r="N26" s="2" t="s">
        <v>105</v>
      </c>
      <c r="O26" s="2"/>
      <c r="P26" s="2"/>
      <c r="Q26" s="2"/>
      <c r="R26" s="2"/>
      <c r="S26" s="2" t="s">
        <v>121</v>
      </c>
      <c r="T26" s="2" t="s">
        <v>126</v>
      </c>
      <c r="U26" s="2"/>
      <c r="V26" s="2" t="s">
        <v>138</v>
      </c>
      <c r="W26" s="2"/>
      <c r="X26" s="2" t="s">
        <v>114</v>
      </c>
      <c r="Y26" s="2"/>
      <c r="Z26" s="2"/>
      <c r="AA26" s="2" t="s">
        <v>103</v>
      </c>
      <c r="AB26" s="2"/>
      <c r="AC26" s="2"/>
      <c r="AD26" s="2"/>
      <c r="AE26" s="2"/>
      <c r="AF26" s="2" t="s">
        <v>103</v>
      </c>
      <c r="AG26" s="2"/>
      <c r="AH26" s="2"/>
      <c r="AI26" s="2"/>
      <c r="AJ26" s="2" t="s">
        <v>123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 t="s">
        <v>113</v>
      </c>
      <c r="AX26" s="2"/>
      <c r="AY26" s="2" t="s">
        <v>109</v>
      </c>
      <c r="AZ26" s="2"/>
      <c r="BA26" s="2"/>
      <c r="BB26" s="2" t="s">
        <v>114</v>
      </c>
      <c r="BC26" s="2" t="s">
        <v>120</v>
      </c>
      <c r="BD26" s="2" t="s">
        <v>103</v>
      </c>
      <c r="BE26" s="2" t="s">
        <v>119</v>
      </c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 t="s">
        <v>121</v>
      </c>
      <c r="BX26" s="2"/>
      <c r="BY26" s="2"/>
      <c r="BZ26" s="2"/>
      <c r="CA26" s="2"/>
      <c r="CB26" s="2"/>
      <c r="CC26" s="2" t="s">
        <v>103</v>
      </c>
      <c r="CD26" s="2" t="s">
        <v>139</v>
      </c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3"/>
      <c r="CW26" s="3"/>
      <c r="CX26" s="2" t="s">
        <v>105</v>
      </c>
      <c r="CY26" s="2" t="s">
        <v>120</v>
      </c>
    </row>
    <row r="27" ht="15.75" customHeight="1">
      <c r="A27" s="2" t="s">
        <v>126</v>
      </c>
      <c r="B27" s="2" t="s">
        <v>130</v>
      </c>
      <c r="C27" s="2" t="s">
        <v>104</v>
      </c>
      <c r="D27" s="3"/>
      <c r="E27" s="2" t="s">
        <v>103</v>
      </c>
      <c r="F27" s="2"/>
      <c r="G27" s="2"/>
      <c r="H27" s="2" t="s">
        <v>122</v>
      </c>
      <c r="I27" s="2" t="s">
        <v>200</v>
      </c>
      <c r="J27" s="2" t="s">
        <v>201</v>
      </c>
      <c r="K27" s="2"/>
      <c r="L27" s="2" t="s">
        <v>202</v>
      </c>
      <c r="M27" s="2" t="s">
        <v>111</v>
      </c>
      <c r="N27" s="2" t="s">
        <v>108</v>
      </c>
      <c r="O27" s="2"/>
      <c r="P27" s="2"/>
      <c r="Q27" s="2" t="s">
        <v>136</v>
      </c>
      <c r="R27" s="2" t="s">
        <v>203</v>
      </c>
      <c r="S27" s="2" t="s">
        <v>108</v>
      </c>
      <c r="T27" s="2" t="s">
        <v>120</v>
      </c>
      <c r="U27" s="2"/>
      <c r="V27" s="2" t="s">
        <v>120</v>
      </c>
      <c r="W27" s="2"/>
      <c r="X27" s="2"/>
      <c r="Y27" s="2" t="s">
        <v>130</v>
      </c>
      <c r="Z27" s="2" t="s">
        <v>138</v>
      </c>
      <c r="AA27" s="2" t="s">
        <v>138</v>
      </c>
      <c r="AB27" s="2" t="s">
        <v>138</v>
      </c>
      <c r="AC27" s="2" t="s">
        <v>130</v>
      </c>
      <c r="AD27" s="2" t="s">
        <v>103</v>
      </c>
      <c r="AE27" s="2" t="s">
        <v>165</v>
      </c>
      <c r="AF27" s="2" t="s">
        <v>103</v>
      </c>
      <c r="AG27" s="2"/>
      <c r="AH27" s="2"/>
      <c r="AI27" s="2"/>
      <c r="AJ27" s="2" t="s">
        <v>204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 t="s">
        <v>103</v>
      </c>
      <c r="BA27" s="2" t="s">
        <v>132</v>
      </c>
      <c r="BB27" s="4">
        <f>1 + (1/2)</f>
        <v>1.5</v>
      </c>
      <c r="BC27" s="2" t="s">
        <v>109</v>
      </c>
      <c r="BD27" s="2" t="s">
        <v>103</v>
      </c>
      <c r="BE27" s="2" t="s">
        <v>142</v>
      </c>
      <c r="BF27" s="2" t="s">
        <v>126</v>
      </c>
      <c r="BG27" s="2" t="s">
        <v>111</v>
      </c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 t="s">
        <v>130</v>
      </c>
      <c r="CD27" s="2" t="s">
        <v>125</v>
      </c>
      <c r="CE27" s="2"/>
      <c r="CF27" s="2"/>
      <c r="CG27" s="2"/>
      <c r="CH27" s="2"/>
      <c r="CI27" s="2"/>
      <c r="CJ27" s="2" t="s">
        <v>138</v>
      </c>
      <c r="CK27" s="2" t="s">
        <v>113</v>
      </c>
      <c r="CL27" s="2"/>
      <c r="CM27" s="2"/>
      <c r="CN27" s="2"/>
      <c r="CO27" s="2" t="s">
        <v>115</v>
      </c>
      <c r="CP27" s="2"/>
      <c r="CQ27" s="2"/>
      <c r="CR27" s="2"/>
      <c r="CS27" s="2"/>
      <c r="CT27" s="2"/>
      <c r="CU27" s="2"/>
      <c r="CV27" s="3"/>
      <c r="CW27" s="3"/>
      <c r="CX27" s="2" t="s">
        <v>123</v>
      </c>
      <c r="CY27" s="2" t="s">
        <v>205</v>
      </c>
    </row>
    <row r="28" ht="15.75" customHeight="1">
      <c r="A28" s="2" t="s">
        <v>146</v>
      </c>
      <c r="B28" s="2" t="s">
        <v>130</v>
      </c>
      <c r="C28" s="2" t="s">
        <v>104</v>
      </c>
      <c r="D28" s="3"/>
      <c r="E28" s="2" t="s">
        <v>103</v>
      </c>
      <c r="F28" s="2"/>
      <c r="G28" s="2"/>
      <c r="H28" s="2" t="s">
        <v>109</v>
      </c>
      <c r="I28" s="2" t="s">
        <v>112</v>
      </c>
      <c r="J28" s="2" t="s">
        <v>194</v>
      </c>
      <c r="K28" s="2"/>
      <c r="L28" s="2" t="s">
        <v>173</v>
      </c>
      <c r="M28" s="2" t="s">
        <v>121</v>
      </c>
      <c r="N28" s="2" t="s">
        <v>111</v>
      </c>
      <c r="O28" s="2" t="s">
        <v>112</v>
      </c>
      <c r="P28" s="2"/>
      <c r="Q28" s="2"/>
      <c r="R28" s="2"/>
      <c r="S28" s="2" t="s">
        <v>160</v>
      </c>
      <c r="T28" s="2" t="s">
        <v>113</v>
      </c>
      <c r="U28" s="2"/>
      <c r="V28" s="2" t="s">
        <v>119</v>
      </c>
      <c r="W28" s="2"/>
      <c r="X28" s="2"/>
      <c r="Y28" s="2" t="s">
        <v>114</v>
      </c>
      <c r="Z28" s="2"/>
      <c r="AA28" s="2" t="s">
        <v>130</v>
      </c>
      <c r="AB28" s="2" t="s">
        <v>130</v>
      </c>
      <c r="AC28" s="2" t="s">
        <v>114</v>
      </c>
      <c r="AD28" s="2"/>
      <c r="AE28" s="2" t="s">
        <v>103</v>
      </c>
      <c r="AF28" s="2" t="s">
        <v>103</v>
      </c>
      <c r="AG28" s="2" t="s">
        <v>103</v>
      </c>
      <c r="AH28" s="2"/>
      <c r="AI28" s="2"/>
      <c r="AJ28" s="2" t="s">
        <v>110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 t="s">
        <v>103</v>
      </c>
      <c r="AW28" s="2" t="s">
        <v>128</v>
      </c>
      <c r="AX28" s="2" t="s">
        <v>135</v>
      </c>
      <c r="AY28" s="2" t="s">
        <v>121</v>
      </c>
      <c r="AZ28" s="2"/>
      <c r="BA28" s="2"/>
      <c r="BB28" s="2" t="s">
        <v>103</v>
      </c>
      <c r="BC28" s="2" t="s">
        <v>112</v>
      </c>
      <c r="BD28" s="2" t="s">
        <v>103</v>
      </c>
      <c r="BE28" s="2" t="s">
        <v>112</v>
      </c>
      <c r="BF28" s="2" t="s">
        <v>114</v>
      </c>
      <c r="BG28" s="2" t="s">
        <v>107</v>
      </c>
      <c r="BH28" s="2"/>
      <c r="BI28" s="2"/>
      <c r="BJ28" s="2" t="s">
        <v>114</v>
      </c>
      <c r="BK28" s="2" t="s">
        <v>184</v>
      </c>
      <c r="BL28" s="2"/>
      <c r="BM28" s="2" t="s">
        <v>114</v>
      </c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 t="s">
        <v>103</v>
      </c>
      <c r="CD28" s="2" t="s">
        <v>121</v>
      </c>
      <c r="CE28" s="2"/>
      <c r="CF28" s="2"/>
      <c r="CG28" s="2"/>
      <c r="CH28" s="2"/>
      <c r="CI28" s="2"/>
      <c r="CJ28" s="2" t="s">
        <v>112</v>
      </c>
      <c r="CK28" s="2" t="s">
        <v>105</v>
      </c>
      <c r="CL28" s="2"/>
      <c r="CM28" s="2"/>
      <c r="CN28" s="2"/>
      <c r="CO28" s="2" t="s">
        <v>135</v>
      </c>
      <c r="CP28" s="2"/>
      <c r="CQ28" s="2"/>
      <c r="CR28" s="2"/>
      <c r="CS28" s="2"/>
      <c r="CT28" s="2"/>
      <c r="CU28" s="2"/>
      <c r="CV28" s="3"/>
      <c r="CW28" s="3"/>
      <c r="CX28" s="2" t="s">
        <v>111</v>
      </c>
      <c r="CY28" s="2" t="s">
        <v>206</v>
      </c>
    </row>
    <row r="29" ht="15.75" customHeight="1">
      <c r="A29" s="2" t="s">
        <v>115</v>
      </c>
      <c r="B29" s="2" t="s">
        <v>130</v>
      </c>
      <c r="C29" s="2" t="s">
        <v>104</v>
      </c>
      <c r="D29" s="3"/>
      <c r="E29" s="2" t="s">
        <v>103</v>
      </c>
      <c r="F29" s="2"/>
      <c r="G29" s="2"/>
      <c r="H29" s="2" t="s">
        <v>139</v>
      </c>
      <c r="I29" s="2" t="s">
        <v>207</v>
      </c>
      <c r="J29" s="2" t="s">
        <v>107</v>
      </c>
      <c r="K29" s="2"/>
      <c r="L29" s="2" t="s">
        <v>208</v>
      </c>
      <c r="M29" s="2" t="s">
        <v>121</v>
      </c>
      <c r="N29" s="2" t="s">
        <v>110</v>
      </c>
      <c r="O29" s="2" t="s">
        <v>132</v>
      </c>
      <c r="P29" s="2"/>
      <c r="Q29" s="2" t="s">
        <v>199</v>
      </c>
      <c r="R29" s="2" t="s">
        <v>132</v>
      </c>
      <c r="S29" s="2" t="s">
        <v>136</v>
      </c>
      <c r="T29" s="2" t="s">
        <v>112</v>
      </c>
      <c r="U29" s="2"/>
      <c r="V29" s="2" t="s">
        <v>112</v>
      </c>
      <c r="W29" s="2"/>
      <c r="X29" s="2"/>
      <c r="Y29" s="2" t="s">
        <v>103</v>
      </c>
      <c r="Z29" s="2"/>
      <c r="AA29" s="2" t="s">
        <v>126</v>
      </c>
      <c r="AB29" s="2" t="s">
        <v>103</v>
      </c>
      <c r="AC29" s="2" t="s">
        <v>138</v>
      </c>
      <c r="AD29" s="2"/>
      <c r="AE29" s="2" t="s">
        <v>138</v>
      </c>
      <c r="AF29" s="2" t="s">
        <v>114</v>
      </c>
      <c r="AG29" s="2" t="s">
        <v>103</v>
      </c>
      <c r="AH29" s="2"/>
      <c r="AI29" s="2"/>
      <c r="AJ29" s="2" t="s">
        <v>125</v>
      </c>
      <c r="AK29" s="2" t="s">
        <v>123</v>
      </c>
      <c r="AL29" s="2" t="s">
        <v>209</v>
      </c>
      <c r="AM29" s="2" t="s">
        <v>112</v>
      </c>
      <c r="AN29" s="2"/>
      <c r="AO29" s="2"/>
      <c r="AP29" s="2"/>
      <c r="AQ29" s="2"/>
      <c r="AR29" s="2"/>
      <c r="AS29" s="2" t="s">
        <v>114</v>
      </c>
      <c r="AT29" s="2" t="s">
        <v>209</v>
      </c>
      <c r="AU29" s="2" t="s">
        <v>210</v>
      </c>
      <c r="AV29" s="2" t="s">
        <v>135</v>
      </c>
      <c r="AW29" s="2" t="s">
        <v>209</v>
      </c>
      <c r="AX29" s="2"/>
      <c r="AY29" s="2" t="s">
        <v>123</v>
      </c>
      <c r="AZ29" s="2"/>
      <c r="BA29" s="2"/>
      <c r="BB29" s="2" t="s">
        <v>130</v>
      </c>
      <c r="BC29" s="2" t="s">
        <v>139</v>
      </c>
      <c r="BD29" s="2" t="s">
        <v>103</v>
      </c>
      <c r="BE29" s="2" t="s">
        <v>120</v>
      </c>
      <c r="BF29" s="2" t="s">
        <v>126</v>
      </c>
      <c r="BG29" s="2" t="s">
        <v>145</v>
      </c>
      <c r="BH29" s="2"/>
      <c r="BI29" s="2"/>
      <c r="BJ29" s="2" t="s">
        <v>114</v>
      </c>
      <c r="BK29" s="2" t="s">
        <v>109</v>
      </c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 t="s">
        <v>103</v>
      </c>
      <c r="CD29" s="2" t="s">
        <v>111</v>
      </c>
      <c r="CE29" s="2"/>
      <c r="CF29" s="2"/>
      <c r="CG29" s="2"/>
      <c r="CH29" s="2"/>
      <c r="CI29" s="2"/>
      <c r="CJ29" s="2" t="s">
        <v>107</v>
      </c>
      <c r="CK29" s="2" t="s">
        <v>121</v>
      </c>
      <c r="CL29" s="2"/>
      <c r="CM29" s="2"/>
      <c r="CN29" s="2"/>
      <c r="CO29" s="2" t="s">
        <v>132</v>
      </c>
      <c r="CP29" s="2"/>
      <c r="CQ29" s="2"/>
      <c r="CR29" s="2"/>
      <c r="CS29" s="2"/>
      <c r="CT29" s="2"/>
      <c r="CU29" s="2"/>
      <c r="CV29" s="3"/>
      <c r="CW29" s="3"/>
      <c r="CX29" s="2" t="s">
        <v>132</v>
      </c>
      <c r="CY29" s="2" t="s">
        <v>109</v>
      </c>
    </row>
    <row r="30" ht="15.75" customHeight="1">
      <c r="A30" s="2" t="s">
        <v>116</v>
      </c>
      <c r="B30" s="2" t="s">
        <v>130</v>
      </c>
      <c r="C30" s="2" t="s">
        <v>104</v>
      </c>
      <c r="D30" s="3"/>
      <c r="E30" s="2" t="s">
        <v>103</v>
      </c>
      <c r="F30" s="2"/>
      <c r="G30" s="2"/>
      <c r="H30" s="2" t="s">
        <v>105</v>
      </c>
      <c r="I30" s="2" t="s">
        <v>169</v>
      </c>
      <c r="J30" s="2" t="s">
        <v>109</v>
      </c>
      <c r="K30" s="2"/>
      <c r="L30" s="2" t="s">
        <v>127</v>
      </c>
      <c r="M30" s="2" t="s">
        <v>107</v>
      </c>
      <c r="N30" s="2" t="s">
        <v>136</v>
      </c>
      <c r="O30" s="2" t="s">
        <v>120</v>
      </c>
      <c r="P30" s="2"/>
      <c r="Q30" s="2" t="s">
        <v>121</v>
      </c>
      <c r="R30" s="2" t="s">
        <v>166</v>
      </c>
      <c r="S30" s="2" t="s">
        <v>111</v>
      </c>
      <c r="T30" s="2" t="s">
        <v>119</v>
      </c>
      <c r="U30" s="2"/>
      <c r="V30" s="2" t="s">
        <v>119</v>
      </c>
      <c r="W30" s="2"/>
      <c r="X30" s="2"/>
      <c r="Y30" s="2" t="s">
        <v>103</v>
      </c>
      <c r="Z30" s="2" t="s">
        <v>114</v>
      </c>
      <c r="AA30" s="2" t="s">
        <v>138</v>
      </c>
      <c r="AB30" s="2" t="s">
        <v>138</v>
      </c>
      <c r="AC30" s="2" t="s">
        <v>103</v>
      </c>
      <c r="AD30" s="2"/>
      <c r="AE30" s="2"/>
      <c r="AF30" s="2"/>
      <c r="AG30" s="2"/>
      <c r="AH30" s="2"/>
      <c r="AI30" s="2"/>
      <c r="AJ30" s="2" t="s">
        <v>111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 t="s">
        <v>103</v>
      </c>
      <c r="AW30" s="2" t="s">
        <v>112</v>
      </c>
      <c r="AX30" s="2"/>
      <c r="AY30" s="2" t="s">
        <v>109</v>
      </c>
      <c r="AZ30" s="2">
        <f>1/2</f>
        <v>0.5</v>
      </c>
      <c r="BA30" s="2" t="s">
        <v>146</v>
      </c>
      <c r="BB30" s="2">
        <f>1/2</f>
        <v>0.5</v>
      </c>
      <c r="BC30" s="2" t="s">
        <v>112</v>
      </c>
      <c r="BD30" s="2" t="s">
        <v>103</v>
      </c>
      <c r="BE30" s="2" t="s">
        <v>107</v>
      </c>
      <c r="BF30" s="2" t="s">
        <v>103</v>
      </c>
      <c r="BG30" s="2" t="s">
        <v>113</v>
      </c>
      <c r="BH30" s="2"/>
      <c r="BI30" s="2"/>
      <c r="BJ30" s="2"/>
      <c r="BK30" s="2"/>
      <c r="BL30" s="2"/>
      <c r="BM30" s="2" t="s">
        <v>103</v>
      </c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>
        <f>3/4</f>
        <v>0.75</v>
      </c>
      <c r="CD30" s="2" t="s">
        <v>107</v>
      </c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3"/>
      <c r="CW30" s="3"/>
      <c r="CX30" s="2" t="s">
        <v>132</v>
      </c>
      <c r="CY30" s="2" t="s">
        <v>132</v>
      </c>
    </row>
    <row r="31" ht="15.75" customHeight="1">
      <c r="A31" s="2" t="s">
        <v>112</v>
      </c>
      <c r="B31" s="2" t="s">
        <v>130</v>
      </c>
      <c r="C31" s="2" t="s">
        <v>104</v>
      </c>
      <c r="D31" s="3"/>
      <c r="E31" s="2" t="s">
        <v>103</v>
      </c>
      <c r="F31" s="2"/>
      <c r="G31" s="2"/>
      <c r="H31" s="2" t="s">
        <v>142</v>
      </c>
      <c r="I31" s="2" t="s">
        <v>158</v>
      </c>
      <c r="J31" s="2"/>
      <c r="K31" s="2"/>
      <c r="L31" s="2" t="s">
        <v>136</v>
      </c>
      <c r="M31" s="2" t="s">
        <v>107</v>
      </c>
      <c r="N31" s="2" t="s">
        <v>111</v>
      </c>
      <c r="O31" s="2" t="s">
        <v>105</v>
      </c>
      <c r="P31" s="2"/>
      <c r="Q31" s="2"/>
      <c r="R31" s="2"/>
      <c r="S31" s="2" t="s">
        <v>121</v>
      </c>
      <c r="T31" s="2" t="s">
        <v>112</v>
      </c>
      <c r="U31" s="2"/>
      <c r="V31" s="2" t="s">
        <v>115</v>
      </c>
      <c r="W31" s="2"/>
      <c r="X31" s="2"/>
      <c r="Y31" s="2" t="s">
        <v>114</v>
      </c>
      <c r="Z31" s="2" t="s">
        <v>114</v>
      </c>
      <c r="AA31" s="2" t="s">
        <v>103</v>
      </c>
      <c r="AB31" s="2" t="s">
        <v>114</v>
      </c>
      <c r="AC31" s="2"/>
      <c r="AD31" s="2" t="s">
        <v>103</v>
      </c>
      <c r="AE31" s="2" t="s">
        <v>130</v>
      </c>
      <c r="AF31" s="2"/>
      <c r="AG31" s="2"/>
      <c r="AH31" s="2"/>
      <c r="AI31" s="2"/>
      <c r="AJ31" s="2" t="s">
        <v>121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 t="s">
        <v>156</v>
      </c>
      <c r="AX31" s="2"/>
      <c r="AY31" s="2" t="s">
        <v>121</v>
      </c>
      <c r="AZ31" s="2"/>
      <c r="BA31" s="2"/>
      <c r="BB31" s="2" t="s">
        <v>114</v>
      </c>
      <c r="BC31" s="2" t="s">
        <v>120</v>
      </c>
      <c r="BD31" s="2" t="s">
        <v>103</v>
      </c>
      <c r="BE31" s="2" t="s">
        <v>142</v>
      </c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>
        <f>1/2</f>
        <v>0.5</v>
      </c>
      <c r="CD31" s="2" t="s">
        <v>201</v>
      </c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3"/>
      <c r="CW31" s="3"/>
      <c r="CX31" s="2" t="s">
        <v>132</v>
      </c>
      <c r="CY31" s="2" t="s">
        <v>107</v>
      </c>
    </row>
    <row r="32" ht="15.75" customHeight="1">
      <c r="A32" s="2" t="s">
        <v>103</v>
      </c>
      <c r="B32" s="2" t="s">
        <v>138</v>
      </c>
      <c r="C32" s="2" t="s">
        <v>104</v>
      </c>
      <c r="D32" s="3"/>
      <c r="E32" s="2"/>
      <c r="F32" s="2" t="s">
        <v>103</v>
      </c>
      <c r="G32" s="2"/>
      <c r="H32" s="2" t="s">
        <v>112</v>
      </c>
      <c r="I32" s="2" t="s">
        <v>138</v>
      </c>
      <c r="J32" s="2"/>
      <c r="K32" s="2"/>
      <c r="L32" s="2" t="s">
        <v>110</v>
      </c>
      <c r="M32" s="2"/>
      <c r="N32" s="2" t="s">
        <v>111</v>
      </c>
      <c r="O32" s="2" t="s">
        <v>135</v>
      </c>
      <c r="P32" s="2"/>
      <c r="Q32" s="2"/>
      <c r="R32" s="2"/>
      <c r="S32" s="2" t="s">
        <v>121</v>
      </c>
      <c r="T32" s="2" t="s">
        <v>114</v>
      </c>
      <c r="U32" s="2"/>
      <c r="V32" s="2" t="s">
        <v>114</v>
      </c>
      <c r="W32" s="2"/>
      <c r="X32" s="2"/>
      <c r="Y32" s="2" t="s">
        <v>130</v>
      </c>
      <c r="Z32" s="2"/>
      <c r="AA32" s="2"/>
      <c r="AB32" s="2" t="s">
        <v>103</v>
      </c>
      <c r="AC32" s="2" t="s">
        <v>103</v>
      </c>
      <c r="AD32" s="2" t="s">
        <v>103</v>
      </c>
      <c r="AE32" s="2" t="s">
        <v>135</v>
      </c>
      <c r="AF32" s="2" t="s">
        <v>135</v>
      </c>
      <c r="AG32" s="2"/>
      <c r="AH32" s="2"/>
      <c r="AI32" s="2"/>
      <c r="AJ32" s="2" t="s">
        <v>121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 t="s">
        <v>116</v>
      </c>
      <c r="AX32" s="2"/>
      <c r="AY32" s="2" t="s">
        <v>109</v>
      </c>
      <c r="AZ32" s="2"/>
      <c r="BA32" s="2"/>
      <c r="BB32" s="2"/>
      <c r="BC32" s="2"/>
      <c r="BD32" s="2" t="s">
        <v>114</v>
      </c>
      <c r="BE32" s="2" t="s">
        <v>107</v>
      </c>
      <c r="BF32" s="2"/>
      <c r="BG32" s="2"/>
      <c r="BH32" s="2"/>
      <c r="BI32" s="2"/>
      <c r="BJ32" s="2"/>
      <c r="BK32" s="2"/>
      <c r="BL32" s="2" t="s">
        <v>114</v>
      </c>
      <c r="BM32" s="2" t="s">
        <v>114</v>
      </c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 t="s">
        <v>103</v>
      </c>
      <c r="CD32" s="2" t="s">
        <v>122</v>
      </c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3"/>
      <c r="CW32" s="3"/>
      <c r="CX32" s="3"/>
      <c r="CY32" s="3"/>
    </row>
    <row r="33" ht="15.75" customHeight="1">
      <c r="A33" s="2" t="s">
        <v>114</v>
      </c>
      <c r="B33" s="2" t="s">
        <v>138</v>
      </c>
      <c r="C33" s="2" t="s">
        <v>104</v>
      </c>
      <c r="D33" s="3"/>
      <c r="E33" s="2" t="s">
        <v>103</v>
      </c>
      <c r="F33" s="2"/>
      <c r="G33" s="2"/>
      <c r="H33" s="2" t="s">
        <v>211</v>
      </c>
      <c r="I33" s="2" t="s">
        <v>129</v>
      </c>
      <c r="J33" s="2" t="s">
        <v>113</v>
      </c>
      <c r="K33" s="2"/>
      <c r="L33" s="2" t="s">
        <v>153</v>
      </c>
      <c r="M33" s="2" t="s">
        <v>123</v>
      </c>
      <c r="N33" s="2" t="s">
        <v>136</v>
      </c>
      <c r="O33" s="2" t="s">
        <v>109</v>
      </c>
      <c r="P33" s="2"/>
      <c r="Q33" s="2" t="s">
        <v>120</v>
      </c>
      <c r="R33" s="2" t="s">
        <v>135</v>
      </c>
      <c r="S33" s="2" t="s">
        <v>110</v>
      </c>
      <c r="T33" s="2" t="s">
        <v>142</v>
      </c>
      <c r="U33" s="2"/>
      <c r="V33" s="2" t="s">
        <v>212</v>
      </c>
      <c r="W33" s="2"/>
      <c r="X33" s="2" t="s">
        <v>165</v>
      </c>
      <c r="Y33" s="2" t="s">
        <v>103</v>
      </c>
      <c r="Z33" s="2"/>
      <c r="AA33" s="2"/>
      <c r="AB33" s="2" t="s">
        <v>115</v>
      </c>
      <c r="AC33" s="2" t="s">
        <v>130</v>
      </c>
      <c r="AD33" s="2" t="s">
        <v>115</v>
      </c>
      <c r="AE33" s="2"/>
      <c r="AF33" s="2" t="s">
        <v>146</v>
      </c>
      <c r="AG33" s="2" t="s">
        <v>103</v>
      </c>
      <c r="AH33" s="2"/>
      <c r="AI33" s="2"/>
      <c r="AJ33" s="2" t="s">
        <v>153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 t="s">
        <v>114</v>
      </c>
      <c r="AW33" s="2" t="s">
        <v>105</v>
      </c>
      <c r="AX33" s="2"/>
      <c r="AY33" s="2" t="s">
        <v>123</v>
      </c>
      <c r="AZ33" s="2"/>
      <c r="BA33" s="2"/>
      <c r="BB33" s="2" t="s">
        <v>103</v>
      </c>
      <c r="BC33" s="2" t="s">
        <v>120</v>
      </c>
      <c r="BD33" s="4">
        <f>1 + (3/4)</f>
        <v>1.75</v>
      </c>
      <c r="BE33" s="2" t="s">
        <v>122</v>
      </c>
      <c r="BF33" s="2" t="s">
        <v>103</v>
      </c>
      <c r="BG33" s="2" t="s">
        <v>120</v>
      </c>
      <c r="BH33" s="2"/>
      <c r="BI33" s="2"/>
      <c r="BJ33" s="2"/>
      <c r="BK33" s="2"/>
      <c r="BL33" s="2" t="s">
        <v>135</v>
      </c>
      <c r="BM33" s="2" t="s">
        <v>135</v>
      </c>
      <c r="BN33" s="2"/>
      <c r="BO33" s="2"/>
      <c r="BP33" s="2"/>
      <c r="BQ33" s="2"/>
      <c r="BR33" s="2"/>
      <c r="BS33" s="2"/>
      <c r="BT33" s="2"/>
      <c r="BU33" s="2"/>
      <c r="BV33" s="2"/>
      <c r="BW33" s="2" t="s">
        <v>107</v>
      </c>
      <c r="BX33" s="2"/>
      <c r="BY33" s="2"/>
      <c r="BZ33" s="2"/>
      <c r="CA33" s="2"/>
      <c r="CB33" s="2"/>
      <c r="CC33" s="2">
        <f t="shared" ref="CC33:CC34" si="3">1/2</f>
        <v>0.5</v>
      </c>
      <c r="CD33" s="2" t="s">
        <v>109</v>
      </c>
      <c r="CE33" s="2"/>
      <c r="CF33" s="2"/>
      <c r="CG33" s="2"/>
      <c r="CH33" s="2"/>
      <c r="CI33" s="2"/>
      <c r="CJ33" s="2" t="s">
        <v>119</v>
      </c>
      <c r="CK33" s="2" t="s">
        <v>105</v>
      </c>
      <c r="CL33" s="2"/>
      <c r="CM33" s="2"/>
      <c r="CN33" s="2"/>
      <c r="CO33" s="2" t="s">
        <v>135</v>
      </c>
      <c r="CP33" s="2"/>
      <c r="CQ33" s="2"/>
      <c r="CR33" s="2"/>
      <c r="CS33" s="2"/>
      <c r="CT33" s="2"/>
      <c r="CU33" s="2"/>
      <c r="CV33" s="3"/>
      <c r="CW33" s="3"/>
      <c r="CX33" s="2" t="s">
        <v>105</v>
      </c>
      <c r="CY33" s="2" t="s">
        <v>122</v>
      </c>
    </row>
    <row r="34" ht="15.75" customHeight="1">
      <c r="A34" s="2" t="s">
        <v>130</v>
      </c>
      <c r="B34" s="2" t="s">
        <v>138</v>
      </c>
      <c r="C34" s="2" t="s">
        <v>104</v>
      </c>
      <c r="D34" s="3"/>
      <c r="E34" s="2" t="s">
        <v>103</v>
      </c>
      <c r="F34" s="2"/>
      <c r="G34" s="2"/>
      <c r="H34" s="2" t="s">
        <v>213</v>
      </c>
      <c r="I34" s="2" t="s">
        <v>214</v>
      </c>
      <c r="J34" s="2"/>
      <c r="K34" s="2"/>
      <c r="L34" s="2" t="s">
        <v>127</v>
      </c>
      <c r="M34" s="2" t="s">
        <v>107</v>
      </c>
      <c r="N34" s="2" t="s">
        <v>133</v>
      </c>
      <c r="O34" s="2" t="s">
        <v>107</v>
      </c>
      <c r="P34" s="2"/>
      <c r="Q34" s="2" t="s">
        <v>107</v>
      </c>
      <c r="R34" s="2" t="s">
        <v>115</v>
      </c>
      <c r="S34" s="2" t="s">
        <v>123</v>
      </c>
      <c r="T34" s="2" t="s">
        <v>166</v>
      </c>
      <c r="U34" s="2"/>
      <c r="V34" s="2" t="s">
        <v>119</v>
      </c>
      <c r="W34" s="2"/>
      <c r="X34" s="2"/>
      <c r="Y34" s="2"/>
      <c r="Z34" s="2"/>
      <c r="AA34" s="2"/>
      <c r="AB34" s="2" t="s">
        <v>114</v>
      </c>
      <c r="AC34" s="2"/>
      <c r="AD34" s="2" t="s">
        <v>114</v>
      </c>
      <c r="AE34" s="2"/>
      <c r="AF34" s="2" t="s">
        <v>114</v>
      </c>
      <c r="AG34" s="2" t="s">
        <v>103</v>
      </c>
      <c r="AH34" s="2"/>
      <c r="AI34" s="2"/>
      <c r="AJ34" s="2" t="s">
        <v>111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 t="s">
        <v>106</v>
      </c>
      <c r="AX34" s="2"/>
      <c r="AY34" s="2" t="s">
        <v>215</v>
      </c>
      <c r="AZ34" s="2"/>
      <c r="BA34" s="2"/>
      <c r="BB34" s="2"/>
      <c r="BC34" s="2"/>
      <c r="BD34" s="2">
        <f t="shared" ref="BD34:BD36" si="4">1/2</f>
        <v>0.5</v>
      </c>
      <c r="BE34" s="2" t="s">
        <v>112</v>
      </c>
      <c r="BF34" s="2"/>
      <c r="BG34" s="2"/>
      <c r="BH34" s="2"/>
      <c r="BI34" s="2"/>
      <c r="BJ34" s="2"/>
      <c r="BK34" s="2"/>
      <c r="BL34" s="2"/>
      <c r="BM34" s="2" t="s">
        <v>130</v>
      </c>
      <c r="BN34" s="2"/>
      <c r="BO34" s="2"/>
      <c r="BP34" s="2"/>
      <c r="BQ34" s="2"/>
      <c r="BR34" s="2"/>
      <c r="BS34" s="2"/>
      <c r="BT34" s="2"/>
      <c r="BU34" s="2"/>
      <c r="BV34" s="2"/>
      <c r="BW34" s="2" t="s">
        <v>121</v>
      </c>
      <c r="BX34" s="2"/>
      <c r="BY34" s="2"/>
      <c r="BZ34" s="2"/>
      <c r="CA34" s="2"/>
      <c r="CB34" s="2"/>
      <c r="CC34" s="2">
        <f t="shared" si="3"/>
        <v>0.5</v>
      </c>
      <c r="CD34" s="2" t="s">
        <v>109</v>
      </c>
      <c r="CE34" s="2"/>
      <c r="CF34" s="2"/>
      <c r="CG34" s="2"/>
      <c r="CH34" s="2"/>
      <c r="CI34" s="2">
        <f>1/2</f>
        <v>0.5</v>
      </c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3"/>
      <c r="CW34" s="3"/>
      <c r="CX34" s="2" t="s">
        <v>119</v>
      </c>
      <c r="CY34" s="2" t="s">
        <v>106</v>
      </c>
    </row>
    <row r="35" ht="15.75" customHeight="1">
      <c r="A35" s="2" t="s">
        <v>138</v>
      </c>
      <c r="B35" s="2" t="s">
        <v>138</v>
      </c>
      <c r="C35" s="2" t="s">
        <v>104</v>
      </c>
      <c r="D35" s="3"/>
      <c r="E35" s="2" t="s">
        <v>103</v>
      </c>
      <c r="F35" s="2"/>
      <c r="G35" s="2"/>
      <c r="H35" s="2" t="s">
        <v>212</v>
      </c>
      <c r="I35" s="2" t="s">
        <v>120</v>
      </c>
      <c r="J35" s="2"/>
      <c r="K35" s="2"/>
      <c r="L35" s="2" t="s">
        <v>127</v>
      </c>
      <c r="M35" s="2" t="s">
        <v>105</v>
      </c>
      <c r="N35" s="2" t="s">
        <v>176</v>
      </c>
      <c r="O35" s="2" t="s">
        <v>113</v>
      </c>
      <c r="P35" s="2"/>
      <c r="Q35" s="2"/>
      <c r="R35" s="2"/>
      <c r="S35" s="2" t="s">
        <v>123</v>
      </c>
      <c r="T35" s="2" t="s">
        <v>130</v>
      </c>
      <c r="U35" s="2"/>
      <c r="V35" s="2" t="s">
        <v>135</v>
      </c>
      <c r="W35" s="2"/>
      <c r="X35" s="2"/>
      <c r="Y35" s="2" t="s">
        <v>114</v>
      </c>
      <c r="Z35" s="2"/>
      <c r="AA35" s="2" t="s">
        <v>114</v>
      </c>
      <c r="AB35" s="2" t="s">
        <v>114</v>
      </c>
      <c r="AC35" s="2"/>
      <c r="AD35" s="2"/>
      <c r="AE35" s="2"/>
      <c r="AF35" s="2"/>
      <c r="AG35" s="2"/>
      <c r="AH35" s="2"/>
      <c r="AI35" s="2"/>
      <c r="AJ35" s="2" t="s">
        <v>121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 t="s">
        <v>103</v>
      </c>
      <c r="AW35" s="2" t="s">
        <v>156</v>
      </c>
      <c r="AX35" s="2"/>
      <c r="AY35" s="2" t="s">
        <v>107</v>
      </c>
      <c r="AZ35" s="2"/>
      <c r="BA35" s="2"/>
      <c r="BB35" s="2"/>
      <c r="BC35" s="2"/>
      <c r="BD35" s="2">
        <f t="shared" si="4"/>
        <v>0.5</v>
      </c>
      <c r="BE35" s="2" t="s">
        <v>113</v>
      </c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 t="s">
        <v>103</v>
      </c>
      <c r="CD35" s="2" t="s">
        <v>216</v>
      </c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3"/>
      <c r="CW35" s="3"/>
      <c r="CX35" s="3"/>
      <c r="CY35" s="3"/>
    </row>
    <row r="36" ht="15.75" customHeight="1">
      <c r="A36" s="2" t="s">
        <v>135</v>
      </c>
      <c r="B36" s="2" t="s">
        <v>138</v>
      </c>
      <c r="C36" s="2" t="s">
        <v>104</v>
      </c>
      <c r="D36" s="3"/>
      <c r="E36" s="2" t="s">
        <v>103</v>
      </c>
      <c r="F36" s="2"/>
      <c r="G36" s="2"/>
      <c r="H36" s="2" t="s">
        <v>113</v>
      </c>
      <c r="I36" s="2" t="s">
        <v>165</v>
      </c>
      <c r="J36" s="2" t="s">
        <v>142</v>
      </c>
      <c r="K36" s="2"/>
      <c r="L36" s="2" t="s">
        <v>110</v>
      </c>
      <c r="M36" s="2" t="s">
        <v>105</v>
      </c>
      <c r="N36" s="2" t="s">
        <v>217</v>
      </c>
      <c r="O36" s="2"/>
      <c r="P36" s="2"/>
      <c r="Q36" s="2"/>
      <c r="R36" s="2"/>
      <c r="S36" s="2" t="s">
        <v>123</v>
      </c>
      <c r="T36" s="2" t="s">
        <v>112</v>
      </c>
      <c r="U36" s="2"/>
      <c r="V36" s="2" t="s">
        <v>112</v>
      </c>
      <c r="W36" s="2"/>
      <c r="X36" s="2"/>
      <c r="Y36" s="2" t="s">
        <v>103</v>
      </c>
      <c r="Z36" s="2"/>
      <c r="AA36" s="2" t="s">
        <v>114</v>
      </c>
      <c r="AB36" s="2" t="s">
        <v>114</v>
      </c>
      <c r="AC36" s="2"/>
      <c r="AD36" s="2" t="s">
        <v>103</v>
      </c>
      <c r="AE36" s="2"/>
      <c r="AF36" s="2" t="s">
        <v>103</v>
      </c>
      <c r="AG36" s="2"/>
      <c r="AH36" s="2"/>
      <c r="AI36" s="2"/>
      <c r="AJ36" s="2" t="s">
        <v>123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 t="s">
        <v>115</v>
      </c>
      <c r="AX36" s="2"/>
      <c r="AY36" s="2" t="s">
        <v>109</v>
      </c>
      <c r="AZ36" s="2"/>
      <c r="BA36" s="2"/>
      <c r="BB36" s="2" t="s">
        <v>103</v>
      </c>
      <c r="BC36" s="2" t="s">
        <v>106</v>
      </c>
      <c r="BD36" s="2">
        <f t="shared" si="4"/>
        <v>0.5</v>
      </c>
      <c r="BE36" s="2" t="s">
        <v>107</v>
      </c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 t="s">
        <v>103</v>
      </c>
      <c r="CD36" s="2" t="s">
        <v>121</v>
      </c>
      <c r="CE36" s="2"/>
      <c r="CF36" s="2"/>
      <c r="CG36" s="2"/>
      <c r="CH36" s="2"/>
      <c r="CI36" s="2"/>
      <c r="CJ36" s="2" t="s">
        <v>113</v>
      </c>
      <c r="CK36" s="2" t="s">
        <v>168</v>
      </c>
      <c r="CL36" s="2"/>
      <c r="CM36" s="2"/>
      <c r="CN36" s="2"/>
      <c r="CO36" s="2" t="s">
        <v>126</v>
      </c>
      <c r="CP36" s="2"/>
      <c r="CQ36" s="2"/>
      <c r="CR36" s="2"/>
      <c r="CS36" s="2"/>
      <c r="CT36" s="2"/>
      <c r="CU36" s="2"/>
      <c r="CV36" s="3"/>
      <c r="CW36" s="3"/>
      <c r="CX36" s="2" t="s">
        <v>107</v>
      </c>
      <c r="CY36" s="2" t="s">
        <v>133</v>
      </c>
    </row>
    <row r="37" ht="15.75" customHeight="1">
      <c r="A37" s="2" t="s">
        <v>126</v>
      </c>
      <c r="B37" s="2" t="s">
        <v>138</v>
      </c>
      <c r="C37" s="2" t="s">
        <v>104</v>
      </c>
      <c r="D37" s="3"/>
      <c r="E37" s="2" t="s">
        <v>103</v>
      </c>
      <c r="F37" s="2"/>
      <c r="G37" s="2"/>
      <c r="H37" s="2" t="s">
        <v>218</v>
      </c>
      <c r="I37" s="2" t="s">
        <v>109</v>
      </c>
      <c r="J37" s="2" t="s">
        <v>107</v>
      </c>
      <c r="K37" s="2"/>
      <c r="L37" s="2" t="s">
        <v>148</v>
      </c>
      <c r="M37" s="2" t="s">
        <v>120</v>
      </c>
      <c r="N37" s="2" t="s">
        <v>123</v>
      </c>
      <c r="O37" s="2"/>
      <c r="P37" s="2"/>
      <c r="Q37" s="2"/>
      <c r="R37" s="2"/>
      <c r="S37" s="2" t="s">
        <v>123</v>
      </c>
      <c r="T37" s="2" t="s">
        <v>112</v>
      </c>
      <c r="U37" s="2"/>
      <c r="V37" s="2" t="s">
        <v>112</v>
      </c>
      <c r="W37" s="2"/>
      <c r="X37" s="2"/>
      <c r="Y37" s="2"/>
      <c r="Z37" s="2"/>
      <c r="AA37" s="2" t="s">
        <v>114</v>
      </c>
      <c r="AB37" s="2" t="s">
        <v>103</v>
      </c>
      <c r="AC37" s="2" t="s">
        <v>103</v>
      </c>
      <c r="AD37" s="2" t="s">
        <v>103</v>
      </c>
      <c r="AE37" s="2"/>
      <c r="AF37" s="2" t="s">
        <v>103</v>
      </c>
      <c r="AG37" s="2"/>
      <c r="AH37" s="2"/>
      <c r="AI37" s="2"/>
      <c r="AJ37" s="2" t="s">
        <v>121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 t="s">
        <v>135</v>
      </c>
      <c r="AX37" s="2"/>
      <c r="AY37" s="2" t="s">
        <v>105</v>
      </c>
      <c r="AZ37" s="2"/>
      <c r="BA37" s="2"/>
      <c r="BB37" s="2" t="s">
        <v>103</v>
      </c>
      <c r="BC37" s="2" t="s">
        <v>132</v>
      </c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 t="s">
        <v>103</v>
      </c>
      <c r="CD37" s="2" t="s">
        <v>121</v>
      </c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3"/>
      <c r="CW37" s="3"/>
      <c r="CX37" s="2" t="s">
        <v>105</v>
      </c>
      <c r="CY37" s="2" t="s">
        <v>107</v>
      </c>
    </row>
    <row r="38" ht="15.75" customHeight="1">
      <c r="A38" s="2" t="s">
        <v>146</v>
      </c>
      <c r="B38" s="2" t="s">
        <v>138</v>
      </c>
      <c r="C38" s="2" t="s">
        <v>104</v>
      </c>
      <c r="D38" s="3"/>
      <c r="E38" s="2" t="s">
        <v>103</v>
      </c>
      <c r="F38" s="2"/>
      <c r="G38" s="2"/>
      <c r="H38" s="2" t="s">
        <v>121</v>
      </c>
      <c r="I38" s="2" t="s">
        <v>219</v>
      </c>
      <c r="J38" s="2"/>
      <c r="K38" s="2"/>
      <c r="L38" s="2" t="s">
        <v>148</v>
      </c>
      <c r="M38" s="2" t="s">
        <v>120</v>
      </c>
      <c r="N38" s="2" t="s">
        <v>194</v>
      </c>
      <c r="O38" s="2" t="s">
        <v>112</v>
      </c>
      <c r="P38" s="2"/>
      <c r="Q38" s="2" t="s">
        <v>107</v>
      </c>
      <c r="R38" s="2" t="s">
        <v>116</v>
      </c>
      <c r="S38" s="2" t="s">
        <v>111</v>
      </c>
      <c r="T38" s="2" t="s">
        <v>120</v>
      </c>
      <c r="U38" s="2"/>
      <c r="V38" s="2" t="s">
        <v>113</v>
      </c>
      <c r="W38" s="2"/>
      <c r="X38" s="2"/>
      <c r="Y38" s="2" t="s">
        <v>103</v>
      </c>
      <c r="Z38" s="2"/>
      <c r="AA38" s="2" t="s">
        <v>114</v>
      </c>
      <c r="AB38" s="2" t="s">
        <v>130</v>
      </c>
      <c r="AC38" s="2" t="s">
        <v>103</v>
      </c>
      <c r="AD38" s="2" t="s">
        <v>114</v>
      </c>
      <c r="AE38" s="2"/>
      <c r="AF38" s="2"/>
      <c r="AG38" s="2"/>
      <c r="AH38" s="2" t="s">
        <v>138</v>
      </c>
      <c r="AI38" s="2"/>
      <c r="AJ38" s="2" t="s">
        <v>136</v>
      </c>
      <c r="AK38" s="2"/>
      <c r="AL38" s="2" t="s">
        <v>103</v>
      </c>
      <c r="AM38" s="2"/>
      <c r="AN38" s="2"/>
      <c r="AO38" s="2"/>
      <c r="AP38" s="2"/>
      <c r="AQ38" s="2"/>
      <c r="AR38" s="2"/>
      <c r="AS38" s="2"/>
      <c r="AT38" s="2" t="s">
        <v>103</v>
      </c>
      <c r="AU38" s="2" t="s">
        <v>115</v>
      </c>
      <c r="AV38" s="2"/>
      <c r="AW38" s="2" t="s">
        <v>106</v>
      </c>
      <c r="AX38" s="2"/>
      <c r="AY38" s="2" t="s">
        <v>121</v>
      </c>
      <c r="AZ38" s="5">
        <f>1/3</f>
        <v>0.3333333333</v>
      </c>
      <c r="BA38" s="2" t="s">
        <v>112</v>
      </c>
      <c r="BB38" s="2" t="s">
        <v>114</v>
      </c>
      <c r="BC38" s="2" t="s">
        <v>132</v>
      </c>
      <c r="BD38" s="2" t="s">
        <v>103</v>
      </c>
      <c r="BE38" s="2" t="s">
        <v>113</v>
      </c>
      <c r="BF38" s="4">
        <f>1 + (1/2)</f>
        <v>1.5</v>
      </c>
      <c r="BG38" s="2" t="s">
        <v>139</v>
      </c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 t="s">
        <v>122</v>
      </c>
      <c r="BX38" s="2"/>
      <c r="BY38" s="2"/>
      <c r="BZ38" s="2"/>
      <c r="CA38" s="2"/>
      <c r="CB38" s="2"/>
      <c r="CC38" s="2" t="s">
        <v>103</v>
      </c>
      <c r="CD38" s="2" t="s">
        <v>109</v>
      </c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3"/>
      <c r="CW38" s="3"/>
      <c r="CX38" s="2" t="s">
        <v>120</v>
      </c>
      <c r="CY38" s="2" t="s">
        <v>107</v>
      </c>
    </row>
    <row r="39" ht="15.75" customHeight="1">
      <c r="A39" s="2" t="s">
        <v>115</v>
      </c>
      <c r="B39" s="2" t="s">
        <v>138</v>
      </c>
      <c r="C39" s="2" t="s">
        <v>104</v>
      </c>
      <c r="D39" s="3"/>
      <c r="E39" s="2" t="s">
        <v>103</v>
      </c>
      <c r="F39" s="2"/>
      <c r="G39" s="2"/>
      <c r="H39" s="2" t="s">
        <v>120</v>
      </c>
      <c r="I39" s="2" t="s">
        <v>132</v>
      </c>
      <c r="J39" s="2" t="s">
        <v>132</v>
      </c>
      <c r="K39" s="2"/>
      <c r="L39" s="2" t="s">
        <v>148</v>
      </c>
      <c r="M39" s="2" t="s">
        <v>142</v>
      </c>
      <c r="N39" s="2" t="s">
        <v>220</v>
      </c>
      <c r="O39" s="2"/>
      <c r="P39" s="2"/>
      <c r="Q39" s="2" t="s">
        <v>107</v>
      </c>
      <c r="R39" s="2" t="s">
        <v>115</v>
      </c>
      <c r="S39" s="2" t="s">
        <v>221</v>
      </c>
      <c r="T39" s="2" t="s">
        <v>132</v>
      </c>
      <c r="U39" s="2"/>
      <c r="V39" s="2" t="s">
        <v>132</v>
      </c>
      <c r="W39" s="2"/>
      <c r="X39" s="2"/>
      <c r="Y39" s="2" t="s">
        <v>114</v>
      </c>
      <c r="Z39" s="2"/>
      <c r="AA39" s="2"/>
      <c r="AB39" s="2" t="s">
        <v>126</v>
      </c>
      <c r="AC39" s="2"/>
      <c r="AD39" s="2" t="s">
        <v>130</v>
      </c>
      <c r="AE39" s="2"/>
      <c r="AF39" s="2" t="s">
        <v>114</v>
      </c>
      <c r="AG39" s="2" t="s">
        <v>103</v>
      </c>
      <c r="AH39" s="2"/>
      <c r="AI39" s="2"/>
      <c r="AJ39" s="2" t="s">
        <v>148</v>
      </c>
      <c r="AK39" s="2"/>
      <c r="AL39" s="2"/>
      <c r="AM39" s="2" t="s">
        <v>138</v>
      </c>
      <c r="AN39" s="2"/>
      <c r="AO39" s="2"/>
      <c r="AP39" s="2" t="s">
        <v>114</v>
      </c>
      <c r="AQ39" s="2"/>
      <c r="AR39" s="2" t="s">
        <v>103</v>
      </c>
      <c r="AS39" s="2"/>
      <c r="AT39" s="2" t="s">
        <v>126</v>
      </c>
      <c r="AU39" s="2" t="s">
        <v>146</v>
      </c>
      <c r="AV39" s="2" t="s">
        <v>103</v>
      </c>
      <c r="AW39" s="2" t="s">
        <v>142</v>
      </c>
      <c r="AX39" s="2"/>
      <c r="AY39" s="2" t="s">
        <v>160</v>
      </c>
      <c r="AZ39" s="2"/>
      <c r="BA39" s="2"/>
      <c r="BB39" s="2" t="s">
        <v>103</v>
      </c>
      <c r="BC39" s="2" t="s">
        <v>119</v>
      </c>
      <c r="BD39" s="2"/>
      <c r="BE39" s="2"/>
      <c r="BF39" s="2" t="s">
        <v>130</v>
      </c>
      <c r="BG39" s="2" t="s">
        <v>161</v>
      </c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 t="s">
        <v>103</v>
      </c>
      <c r="CD39" s="2" t="s">
        <v>123</v>
      </c>
      <c r="CE39" s="2"/>
      <c r="CF39" s="2"/>
      <c r="CG39" s="2"/>
      <c r="CH39" s="2"/>
      <c r="CI39" s="2" t="s">
        <v>103</v>
      </c>
      <c r="CJ39" s="2" t="s">
        <v>107</v>
      </c>
      <c r="CK39" s="2" t="s">
        <v>107</v>
      </c>
      <c r="CL39" s="2"/>
      <c r="CM39" s="2"/>
      <c r="CN39" s="2"/>
      <c r="CO39" s="2" t="s">
        <v>113</v>
      </c>
      <c r="CP39" s="2"/>
      <c r="CQ39" s="2"/>
      <c r="CR39" s="2"/>
      <c r="CS39" s="2"/>
      <c r="CT39" s="2"/>
      <c r="CU39" s="2"/>
      <c r="CV39" s="3"/>
      <c r="CW39" s="3"/>
      <c r="CX39" s="2" t="s">
        <v>132</v>
      </c>
      <c r="CY39" s="2" t="s">
        <v>109</v>
      </c>
    </row>
    <row r="40" ht="15.75" customHeight="1">
      <c r="A40" s="2" t="s">
        <v>116</v>
      </c>
      <c r="B40" s="2" t="s">
        <v>138</v>
      </c>
      <c r="C40" s="2" t="s">
        <v>104</v>
      </c>
      <c r="D40" s="3"/>
      <c r="E40" s="2" t="s">
        <v>103</v>
      </c>
      <c r="F40" s="2"/>
      <c r="G40" s="2"/>
      <c r="H40" s="2" t="s">
        <v>129</v>
      </c>
      <c r="I40" s="2" t="s">
        <v>222</v>
      </c>
      <c r="J40" s="2" t="s">
        <v>223</v>
      </c>
      <c r="K40" s="2"/>
      <c r="L40" s="2" t="s">
        <v>224</v>
      </c>
      <c r="M40" s="2" t="s">
        <v>113</v>
      </c>
      <c r="N40" s="2" t="s">
        <v>176</v>
      </c>
      <c r="O40" s="2" t="s">
        <v>112</v>
      </c>
      <c r="P40" s="2" t="s">
        <v>113</v>
      </c>
      <c r="Q40" s="2" t="s">
        <v>120</v>
      </c>
      <c r="R40" s="2" t="s">
        <v>135</v>
      </c>
      <c r="S40" s="2" t="s">
        <v>160</v>
      </c>
      <c r="T40" s="2" t="s">
        <v>192</v>
      </c>
      <c r="U40" s="2"/>
      <c r="V40" s="2" t="s">
        <v>105</v>
      </c>
      <c r="W40" s="2"/>
      <c r="X40" s="2"/>
      <c r="Y40" s="2" t="s">
        <v>114</v>
      </c>
      <c r="Z40" s="2"/>
      <c r="AA40" s="2"/>
      <c r="AB40" s="2" t="s">
        <v>103</v>
      </c>
      <c r="AC40" s="2"/>
      <c r="AD40" s="2" t="s">
        <v>103</v>
      </c>
      <c r="AE40" s="2" t="s">
        <v>103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 t="s">
        <v>103</v>
      </c>
      <c r="AW40" s="2" t="s">
        <v>166</v>
      </c>
      <c r="AX40" s="2"/>
      <c r="AY40" s="2" t="s">
        <v>120</v>
      </c>
      <c r="AZ40" s="2"/>
      <c r="BA40" s="2"/>
      <c r="BB40" s="2" t="s">
        <v>103</v>
      </c>
      <c r="BC40" s="2" t="s">
        <v>225</v>
      </c>
      <c r="BD40" s="2"/>
      <c r="BE40" s="2"/>
      <c r="BF40" s="2" t="s">
        <v>103</v>
      </c>
      <c r="BG40" s="2" t="s">
        <v>225</v>
      </c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 t="s">
        <v>103</v>
      </c>
      <c r="CD40" s="2" t="s">
        <v>145</v>
      </c>
      <c r="CE40" s="2"/>
      <c r="CF40" s="2"/>
      <c r="CG40" s="2"/>
      <c r="CH40" s="2"/>
      <c r="CI40" s="2">
        <f>1/2</f>
        <v>0.5</v>
      </c>
      <c r="CJ40" s="2" t="s">
        <v>132</v>
      </c>
      <c r="CK40" s="2" t="s">
        <v>132</v>
      </c>
      <c r="CL40" s="2"/>
      <c r="CM40" s="2"/>
      <c r="CN40" s="2"/>
      <c r="CO40" s="2" t="s">
        <v>135</v>
      </c>
      <c r="CP40" s="2"/>
      <c r="CQ40" s="2"/>
      <c r="CR40" s="2"/>
      <c r="CS40" s="2"/>
      <c r="CT40" s="2"/>
      <c r="CU40" s="2"/>
      <c r="CV40" s="3"/>
      <c r="CW40" s="3"/>
      <c r="CX40" s="2" t="s">
        <v>107</v>
      </c>
      <c r="CY40" s="2" t="s">
        <v>123</v>
      </c>
    </row>
    <row r="41" ht="15.75" customHeight="1">
      <c r="A41" s="2" t="s">
        <v>112</v>
      </c>
      <c r="B41" s="2" t="s">
        <v>138</v>
      </c>
      <c r="C41" s="2" t="s">
        <v>104</v>
      </c>
      <c r="D41" s="3"/>
      <c r="E41" s="2"/>
      <c r="F41" s="2" t="s">
        <v>103</v>
      </c>
      <c r="G41" s="2"/>
      <c r="H41" s="2" t="s">
        <v>132</v>
      </c>
      <c r="I41" s="2" t="s">
        <v>183</v>
      </c>
      <c r="J41" s="2" t="s">
        <v>120</v>
      </c>
      <c r="K41" s="2"/>
      <c r="L41" s="2" t="s">
        <v>136</v>
      </c>
      <c r="M41" s="2" t="s">
        <v>112</v>
      </c>
      <c r="N41" s="2" t="s">
        <v>143</v>
      </c>
      <c r="O41" s="2"/>
      <c r="P41" s="2"/>
      <c r="Q41" s="2"/>
      <c r="R41" s="2"/>
      <c r="S41" s="2" t="s">
        <v>217</v>
      </c>
      <c r="T41" s="2" t="s">
        <v>183</v>
      </c>
      <c r="U41" s="2"/>
      <c r="V41" s="2" t="s">
        <v>112</v>
      </c>
      <c r="W41" s="2"/>
      <c r="X41" s="2"/>
      <c r="Y41" s="2" t="s">
        <v>103</v>
      </c>
      <c r="Z41" s="2"/>
      <c r="AA41" s="2" t="s">
        <v>114</v>
      </c>
      <c r="AB41" s="2" t="s">
        <v>114</v>
      </c>
      <c r="AC41" s="2"/>
      <c r="AD41" s="2" t="s">
        <v>114</v>
      </c>
      <c r="AE41" s="2"/>
      <c r="AF41" s="2"/>
      <c r="AG41" s="2"/>
      <c r="AH41" s="2"/>
      <c r="AI41" s="2"/>
      <c r="AJ41" s="2" t="s">
        <v>123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 t="s">
        <v>103</v>
      </c>
      <c r="AW41" s="2" t="s">
        <v>183</v>
      </c>
      <c r="AX41" s="2"/>
      <c r="AY41" s="2" t="s">
        <v>109</v>
      </c>
      <c r="AZ41" s="2"/>
      <c r="BA41" s="2"/>
      <c r="BB41" s="2">
        <f>1/2</f>
        <v>0.5</v>
      </c>
      <c r="BC41" s="2" t="s">
        <v>113</v>
      </c>
      <c r="BD41" s="2">
        <f>1/2</f>
        <v>0.5</v>
      </c>
      <c r="BE41" s="2" t="s">
        <v>113</v>
      </c>
      <c r="BF41" s="2"/>
      <c r="BG41" s="2"/>
      <c r="BH41" s="2"/>
      <c r="BI41" s="2"/>
      <c r="BJ41" s="2"/>
      <c r="BK41" s="2"/>
      <c r="BL41" s="2"/>
      <c r="BM41" s="2" t="s">
        <v>130</v>
      </c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 t="s">
        <v>114</v>
      </c>
      <c r="CD41" s="2" t="s">
        <v>226</v>
      </c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3"/>
      <c r="CW41" s="3"/>
      <c r="CX41" s="2" t="s">
        <v>121</v>
      </c>
      <c r="CY41" s="2" t="s">
        <v>121</v>
      </c>
    </row>
    <row r="42" ht="15.75" customHeight="1">
      <c r="A42" s="2" t="s">
        <v>103</v>
      </c>
      <c r="B42" s="2" t="s">
        <v>135</v>
      </c>
      <c r="C42" s="2" t="s">
        <v>104</v>
      </c>
      <c r="D42" s="3"/>
      <c r="E42" s="2" t="s">
        <v>103</v>
      </c>
      <c r="F42" s="2"/>
      <c r="G42" s="2"/>
      <c r="H42" s="2" t="s">
        <v>227</v>
      </c>
      <c r="I42" s="2" t="s">
        <v>120</v>
      </c>
      <c r="J42" s="2" t="s">
        <v>155</v>
      </c>
      <c r="K42" s="2"/>
      <c r="L42" s="2" t="s">
        <v>148</v>
      </c>
      <c r="M42" s="2" t="s">
        <v>105</v>
      </c>
      <c r="N42" s="2" t="s">
        <v>123</v>
      </c>
      <c r="O42" s="2" t="s">
        <v>113</v>
      </c>
      <c r="P42" s="2"/>
      <c r="Q42" s="2" t="s">
        <v>135</v>
      </c>
      <c r="R42" s="2" t="s">
        <v>103</v>
      </c>
      <c r="S42" s="2" t="s">
        <v>111</v>
      </c>
      <c r="T42" s="2" t="s">
        <v>113</v>
      </c>
      <c r="U42" s="2"/>
      <c r="V42" s="2" t="s">
        <v>112</v>
      </c>
      <c r="W42" s="2"/>
      <c r="X42" s="2"/>
      <c r="Y42" s="2" t="s">
        <v>114</v>
      </c>
      <c r="Z42" s="2"/>
      <c r="AA42" s="2"/>
      <c r="AB42" s="2" t="s">
        <v>135</v>
      </c>
      <c r="AC42" s="2"/>
      <c r="AD42" s="2" t="s">
        <v>138</v>
      </c>
      <c r="AE42" s="2"/>
      <c r="AF42" s="2" t="s">
        <v>135</v>
      </c>
      <c r="AG42" s="2"/>
      <c r="AH42" s="2"/>
      <c r="AI42" s="2"/>
      <c r="AJ42" s="2" t="s">
        <v>173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 t="s">
        <v>103</v>
      </c>
      <c r="AW42" s="2" t="s">
        <v>146</v>
      </c>
      <c r="AX42" s="2"/>
      <c r="AY42" s="2" t="s">
        <v>109</v>
      </c>
      <c r="AZ42" s="2"/>
      <c r="BA42" s="2"/>
      <c r="BB42" s="2">
        <f>3/4</f>
        <v>0.75</v>
      </c>
      <c r="BC42" s="2" t="s">
        <v>169</v>
      </c>
      <c r="BD42" s="2" t="s">
        <v>103</v>
      </c>
      <c r="BE42" s="2" t="s">
        <v>120</v>
      </c>
      <c r="BF42" s="4">
        <f>1 + (1/4)</f>
        <v>1.25</v>
      </c>
      <c r="BG42" s="2" t="s">
        <v>225</v>
      </c>
      <c r="BH42" s="2"/>
      <c r="BI42" s="2"/>
      <c r="BJ42" s="2"/>
      <c r="BK42" s="2"/>
      <c r="BL42" s="2"/>
      <c r="BM42" s="2" t="s">
        <v>103</v>
      </c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>
        <f>1/2</f>
        <v>0.5</v>
      </c>
      <c r="CD42" s="2" t="s">
        <v>155</v>
      </c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3"/>
      <c r="CW42" s="3"/>
      <c r="CX42" s="2" t="s">
        <v>113</v>
      </c>
      <c r="CY42" s="2" t="s">
        <v>113</v>
      </c>
    </row>
    <row r="43" ht="15.75" customHeight="1">
      <c r="A43" s="2" t="s">
        <v>114</v>
      </c>
      <c r="B43" s="2" t="s">
        <v>135</v>
      </c>
      <c r="C43" s="2" t="s">
        <v>104</v>
      </c>
      <c r="D43" s="3"/>
      <c r="E43" s="2" t="s">
        <v>103</v>
      </c>
      <c r="F43" s="2"/>
      <c r="G43" s="2"/>
      <c r="H43" s="2" t="s">
        <v>139</v>
      </c>
      <c r="I43" s="2" t="s">
        <v>107</v>
      </c>
      <c r="J43" s="2" t="s">
        <v>111</v>
      </c>
      <c r="K43" s="2"/>
      <c r="L43" s="2" t="s">
        <v>153</v>
      </c>
      <c r="M43" s="2" t="s">
        <v>160</v>
      </c>
      <c r="N43" s="2" t="s">
        <v>125</v>
      </c>
      <c r="O43" s="2" t="s">
        <v>132</v>
      </c>
      <c r="P43" s="2"/>
      <c r="Q43" s="2"/>
      <c r="R43" s="2"/>
      <c r="S43" s="2" t="s">
        <v>110</v>
      </c>
      <c r="T43" s="2" t="s">
        <v>132</v>
      </c>
      <c r="U43" s="2"/>
      <c r="V43" s="2" t="s">
        <v>105</v>
      </c>
      <c r="W43" s="2"/>
      <c r="X43" s="2"/>
      <c r="Y43" s="2" t="s">
        <v>114</v>
      </c>
      <c r="Z43" s="2"/>
      <c r="AA43" s="2"/>
      <c r="AB43" s="2" t="s">
        <v>115</v>
      </c>
      <c r="AC43" s="2"/>
      <c r="AD43" s="2" t="s">
        <v>146</v>
      </c>
      <c r="AE43" s="2" t="s">
        <v>114</v>
      </c>
      <c r="AF43" s="2" t="s">
        <v>114</v>
      </c>
      <c r="AG43" s="2"/>
      <c r="AH43" s="2"/>
      <c r="AI43" s="2"/>
      <c r="AJ43" s="2" t="s">
        <v>167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 t="s">
        <v>103</v>
      </c>
      <c r="AW43" s="2" t="s">
        <v>109</v>
      </c>
      <c r="AX43" s="2"/>
      <c r="AY43" s="2" t="s">
        <v>131</v>
      </c>
      <c r="AZ43" s="2"/>
      <c r="BA43" s="2"/>
      <c r="BB43" s="2" t="s">
        <v>103</v>
      </c>
      <c r="BC43" s="2" t="s">
        <v>109</v>
      </c>
      <c r="BD43" s="2"/>
      <c r="BE43" s="2"/>
      <c r="BF43" s="2" t="s">
        <v>130</v>
      </c>
      <c r="BG43" s="2" t="s">
        <v>121</v>
      </c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 t="s">
        <v>130</v>
      </c>
      <c r="CD43" s="2" t="s">
        <v>228</v>
      </c>
      <c r="CE43" s="2"/>
      <c r="CF43" s="2"/>
      <c r="CG43" s="2"/>
      <c r="CH43" s="2"/>
      <c r="CI43" s="2"/>
      <c r="CJ43" s="2" t="s">
        <v>132</v>
      </c>
      <c r="CK43" s="2" t="s">
        <v>139</v>
      </c>
      <c r="CL43" s="2"/>
      <c r="CM43" s="2"/>
      <c r="CN43" s="2"/>
      <c r="CO43" s="2" t="s">
        <v>113</v>
      </c>
      <c r="CP43" s="2"/>
      <c r="CQ43" s="2"/>
      <c r="CR43" s="2"/>
      <c r="CS43" s="2"/>
      <c r="CT43" s="2"/>
      <c r="CU43" s="2"/>
      <c r="CV43" s="3"/>
      <c r="CW43" s="3"/>
      <c r="CX43" s="2" t="s">
        <v>201</v>
      </c>
      <c r="CY43" s="2" t="s">
        <v>121</v>
      </c>
    </row>
    <row r="44" ht="15.75" customHeight="1">
      <c r="A44" s="2" t="s">
        <v>130</v>
      </c>
      <c r="B44" s="2" t="s">
        <v>135</v>
      </c>
      <c r="C44" s="2" t="s">
        <v>104</v>
      </c>
      <c r="D44" s="3"/>
      <c r="E44" s="2" t="s">
        <v>103</v>
      </c>
      <c r="F44" s="2"/>
      <c r="G44" s="2"/>
      <c r="H44" s="2" t="s">
        <v>229</v>
      </c>
      <c r="I44" s="2" t="s">
        <v>230</v>
      </c>
      <c r="J44" s="2" t="s">
        <v>231</v>
      </c>
      <c r="K44" s="2"/>
      <c r="L44" s="2" t="s">
        <v>127</v>
      </c>
      <c r="M44" s="2" t="s">
        <v>105</v>
      </c>
      <c r="N44" s="2" t="s">
        <v>136</v>
      </c>
      <c r="O44" s="2" t="s">
        <v>105</v>
      </c>
      <c r="P44" s="2"/>
      <c r="Q44" s="2"/>
      <c r="R44" s="2"/>
      <c r="S44" s="2" t="s">
        <v>136</v>
      </c>
      <c r="T44" s="2" t="s">
        <v>120</v>
      </c>
      <c r="U44" s="2"/>
      <c r="V44" s="2" t="s">
        <v>105</v>
      </c>
      <c r="W44" s="2"/>
      <c r="X44" s="2"/>
      <c r="Y44" s="2" t="s">
        <v>103</v>
      </c>
      <c r="Z44" s="2"/>
      <c r="AA44" s="2" t="s">
        <v>114</v>
      </c>
      <c r="AB44" s="2" t="s">
        <v>126</v>
      </c>
      <c r="AC44" s="2" t="s">
        <v>114</v>
      </c>
      <c r="AD44" s="2" t="s">
        <v>130</v>
      </c>
      <c r="AE44" s="2" t="s">
        <v>130</v>
      </c>
      <c r="AF44" s="2"/>
      <c r="AG44" s="2"/>
      <c r="AH44" s="2" t="s">
        <v>130</v>
      </c>
      <c r="AI44" s="2"/>
      <c r="AJ44" s="2" t="s">
        <v>136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 t="s">
        <v>103</v>
      </c>
      <c r="AW44" s="2"/>
      <c r="AX44" s="2"/>
      <c r="AY44" s="2"/>
      <c r="AZ44" s="2"/>
      <c r="BA44" s="2"/>
      <c r="BB44" s="2"/>
      <c r="BC44" s="2"/>
      <c r="BD44" s="2" t="s">
        <v>103</v>
      </c>
      <c r="BE44" s="2" t="s">
        <v>132</v>
      </c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 t="s">
        <v>103</v>
      </c>
      <c r="CD44" s="2" t="s">
        <v>111</v>
      </c>
      <c r="CE44" s="2"/>
      <c r="CF44" s="2"/>
      <c r="CG44" s="2"/>
      <c r="CH44" s="2"/>
      <c r="CI44" s="2"/>
      <c r="CJ44" s="2" t="s">
        <v>113</v>
      </c>
      <c r="CK44" s="2" t="s">
        <v>120</v>
      </c>
      <c r="CL44" s="2"/>
      <c r="CM44" s="2"/>
      <c r="CN44" s="2"/>
      <c r="CO44" s="2" t="s">
        <v>115</v>
      </c>
      <c r="CP44" s="2"/>
      <c r="CQ44" s="2"/>
      <c r="CR44" s="2"/>
      <c r="CS44" s="2"/>
      <c r="CT44" s="2"/>
      <c r="CU44" s="2"/>
      <c r="CV44" s="3"/>
      <c r="CW44" s="3"/>
      <c r="CX44" s="2" t="s">
        <v>139</v>
      </c>
      <c r="CY44" s="2" t="s">
        <v>121</v>
      </c>
    </row>
    <row r="45" ht="15.75" customHeight="1">
      <c r="A45" s="2" t="s">
        <v>138</v>
      </c>
      <c r="B45" s="2" t="s">
        <v>135</v>
      </c>
      <c r="C45" s="2" t="s">
        <v>104</v>
      </c>
      <c r="D45" s="3"/>
      <c r="E45" s="2" t="s">
        <v>103</v>
      </c>
      <c r="F45" s="2"/>
      <c r="G45" s="2"/>
      <c r="H45" s="2" t="s">
        <v>142</v>
      </c>
      <c r="I45" s="2" t="s">
        <v>212</v>
      </c>
      <c r="J45" s="2"/>
      <c r="K45" s="2"/>
      <c r="L45" s="2" t="s">
        <v>125</v>
      </c>
      <c r="M45" s="2" t="s">
        <v>112</v>
      </c>
      <c r="N45" s="2" t="s">
        <v>139</v>
      </c>
      <c r="O45" s="2"/>
      <c r="P45" s="2"/>
      <c r="Q45" s="2" t="s">
        <v>107</v>
      </c>
      <c r="R45" s="2" t="s">
        <v>115</v>
      </c>
      <c r="S45" s="2" t="s">
        <v>199</v>
      </c>
      <c r="T45" s="2" t="s">
        <v>117</v>
      </c>
      <c r="U45" s="2"/>
      <c r="V45" s="2" t="s">
        <v>119</v>
      </c>
      <c r="W45" s="2"/>
      <c r="X45" s="2"/>
      <c r="Y45" s="2"/>
      <c r="Z45" s="2"/>
      <c r="AA45" s="2"/>
      <c r="AB45" s="2" t="s">
        <v>114</v>
      </c>
      <c r="AC45" s="2"/>
      <c r="AD45" s="2" t="s">
        <v>114</v>
      </c>
      <c r="AE45" s="2"/>
      <c r="AF45" s="2"/>
      <c r="AG45" s="2" t="s">
        <v>103</v>
      </c>
      <c r="AH45" s="2"/>
      <c r="AI45" s="2"/>
      <c r="AJ45" s="2" t="s">
        <v>111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 t="s">
        <v>103</v>
      </c>
      <c r="AW45" s="2" t="s">
        <v>130</v>
      </c>
      <c r="AX45" s="2"/>
      <c r="AY45" s="2" t="s">
        <v>120</v>
      </c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>
        <f t="shared" ref="CC45:CC46" si="5">1/2</f>
        <v>0.5</v>
      </c>
      <c r="CD45" s="2" t="s">
        <v>113</v>
      </c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3"/>
      <c r="CW45" s="3"/>
      <c r="CX45" s="3"/>
      <c r="CY45" s="3"/>
    </row>
    <row r="46" ht="15.75" customHeight="1">
      <c r="A46" s="2" t="s">
        <v>135</v>
      </c>
      <c r="B46" s="2" t="s">
        <v>135</v>
      </c>
      <c r="C46" s="2" t="s">
        <v>104</v>
      </c>
      <c r="D46" s="3"/>
      <c r="E46" s="2" t="s">
        <v>103</v>
      </c>
      <c r="F46" s="2"/>
      <c r="G46" s="2"/>
      <c r="H46" s="2" t="s">
        <v>132</v>
      </c>
      <c r="I46" s="2" t="s">
        <v>196</v>
      </c>
      <c r="J46" s="2" t="s">
        <v>107</v>
      </c>
      <c r="K46" s="2"/>
      <c r="L46" s="2" t="s">
        <v>134</v>
      </c>
      <c r="M46" s="2" t="s">
        <v>122</v>
      </c>
      <c r="N46" s="2" t="s">
        <v>136</v>
      </c>
      <c r="O46" s="2"/>
      <c r="P46" s="2"/>
      <c r="Q46" s="2"/>
      <c r="R46" s="2"/>
      <c r="S46" s="2" t="s">
        <v>111</v>
      </c>
      <c r="T46" s="2" t="s">
        <v>113</v>
      </c>
      <c r="U46" s="2"/>
      <c r="V46" s="2" t="s">
        <v>113</v>
      </c>
      <c r="W46" s="2"/>
      <c r="X46" s="2"/>
      <c r="Y46" s="2" t="s">
        <v>130</v>
      </c>
      <c r="Z46" s="2"/>
      <c r="AA46" s="2"/>
      <c r="AB46" s="2" t="s">
        <v>130</v>
      </c>
      <c r="AC46" s="2"/>
      <c r="AD46" s="2" t="s">
        <v>130</v>
      </c>
      <c r="AE46" s="2"/>
      <c r="AF46" s="2" t="s">
        <v>103</v>
      </c>
      <c r="AG46" s="2"/>
      <c r="AH46" s="2" t="s">
        <v>103</v>
      </c>
      <c r="AI46" s="2"/>
      <c r="AJ46" s="2" t="s">
        <v>136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 t="s">
        <v>106</v>
      </c>
      <c r="AX46" s="2" t="s">
        <v>138</v>
      </c>
      <c r="AY46" s="2" t="s">
        <v>159</v>
      </c>
      <c r="AZ46" s="2"/>
      <c r="BA46" s="2"/>
      <c r="BB46" s="2"/>
      <c r="BC46" s="2"/>
      <c r="BD46" s="2">
        <f>1/2</f>
        <v>0.5</v>
      </c>
      <c r="BE46" s="2" t="s">
        <v>112</v>
      </c>
      <c r="BF46" s="2"/>
      <c r="BG46" s="2"/>
      <c r="BH46" s="2"/>
      <c r="BI46" s="2"/>
      <c r="BJ46" s="2"/>
      <c r="BK46" s="2"/>
      <c r="BL46" s="2"/>
      <c r="BM46" s="2" t="s">
        <v>103</v>
      </c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>
        <f t="shared" si="5"/>
        <v>0.5</v>
      </c>
      <c r="CD46" s="2" t="s">
        <v>107</v>
      </c>
      <c r="CE46" s="2"/>
      <c r="CF46" s="2"/>
      <c r="CG46" s="2"/>
      <c r="CH46" s="2"/>
      <c r="CI46" s="2"/>
      <c r="CJ46" s="2" t="s">
        <v>132</v>
      </c>
      <c r="CK46" s="2" t="s">
        <v>132</v>
      </c>
      <c r="CL46" s="2"/>
      <c r="CM46" s="2"/>
      <c r="CN46" s="2"/>
      <c r="CO46" s="2" t="s">
        <v>135</v>
      </c>
      <c r="CP46" s="2"/>
      <c r="CQ46" s="2"/>
      <c r="CR46" s="2"/>
      <c r="CS46" s="2"/>
      <c r="CT46" s="2"/>
      <c r="CU46" s="2"/>
      <c r="CV46" s="2" t="s">
        <v>109</v>
      </c>
      <c r="CW46" s="2" t="s">
        <v>130</v>
      </c>
      <c r="CX46" s="3"/>
      <c r="CY46" s="3"/>
    </row>
    <row r="47" ht="15.75" customHeight="1">
      <c r="A47" s="2" t="s">
        <v>126</v>
      </c>
      <c r="B47" s="2" t="s">
        <v>135</v>
      </c>
      <c r="C47" s="2" t="s">
        <v>104</v>
      </c>
      <c r="D47" s="3"/>
      <c r="E47" s="2"/>
      <c r="F47" s="2" t="s">
        <v>103</v>
      </c>
      <c r="G47" s="2"/>
      <c r="H47" s="2" t="s">
        <v>122</v>
      </c>
      <c r="I47" s="2" t="s">
        <v>157</v>
      </c>
      <c r="J47" s="2" t="s">
        <v>105</v>
      </c>
      <c r="K47" s="2"/>
      <c r="L47" s="2" t="s">
        <v>167</v>
      </c>
      <c r="M47" s="2" t="s">
        <v>107</v>
      </c>
      <c r="N47" s="2" t="s">
        <v>110</v>
      </c>
      <c r="O47" s="2"/>
      <c r="P47" s="2"/>
      <c r="Q47" s="2"/>
      <c r="R47" s="2"/>
      <c r="S47" s="2" t="s">
        <v>136</v>
      </c>
      <c r="T47" s="2" t="s">
        <v>132</v>
      </c>
      <c r="U47" s="2"/>
      <c r="V47" s="2" t="s">
        <v>132</v>
      </c>
      <c r="W47" s="2"/>
      <c r="X47" s="2"/>
      <c r="Y47" s="2" t="s">
        <v>103</v>
      </c>
      <c r="Z47" s="2" t="s">
        <v>103</v>
      </c>
      <c r="AA47" s="2"/>
      <c r="AB47" s="2" t="s">
        <v>130</v>
      </c>
      <c r="AC47" s="2"/>
      <c r="AD47" s="2" t="s">
        <v>135</v>
      </c>
      <c r="AE47" s="2"/>
      <c r="AF47" s="2" t="s">
        <v>114</v>
      </c>
      <c r="AG47" s="2"/>
      <c r="AH47" s="2"/>
      <c r="AI47" s="2"/>
      <c r="AJ47" s="2" t="s">
        <v>110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 t="s">
        <v>103</v>
      </c>
      <c r="AW47" s="2" t="s">
        <v>112</v>
      </c>
      <c r="AX47" s="2"/>
      <c r="AY47" s="2" t="s">
        <v>139</v>
      </c>
      <c r="AZ47" s="2"/>
      <c r="BA47" s="2"/>
      <c r="BB47" s="2" t="s">
        <v>103</v>
      </c>
      <c r="BC47" s="2" t="s">
        <v>132</v>
      </c>
      <c r="BD47" s="2" t="s">
        <v>103</v>
      </c>
      <c r="BE47" s="2" t="s">
        <v>120</v>
      </c>
      <c r="BF47" s="2" t="s">
        <v>114</v>
      </c>
      <c r="BG47" s="2" t="s">
        <v>107</v>
      </c>
      <c r="BH47" s="2"/>
      <c r="BI47" s="2"/>
      <c r="BJ47" s="2"/>
      <c r="BK47" s="2"/>
      <c r="BL47" s="2"/>
      <c r="BM47" s="2" t="s">
        <v>135</v>
      </c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 t="s">
        <v>103</v>
      </c>
      <c r="CD47" s="2" t="s">
        <v>145</v>
      </c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3"/>
      <c r="CW47" s="3"/>
      <c r="CX47" s="2" t="s">
        <v>132</v>
      </c>
      <c r="CY47" s="2" t="s">
        <v>120</v>
      </c>
    </row>
    <row r="48" ht="15.75" customHeight="1">
      <c r="A48" s="2" t="s">
        <v>146</v>
      </c>
      <c r="B48" s="2" t="s">
        <v>135</v>
      </c>
      <c r="C48" s="2" t="s">
        <v>104</v>
      </c>
      <c r="D48" s="3"/>
      <c r="E48" s="2" t="s">
        <v>103</v>
      </c>
      <c r="F48" s="2"/>
      <c r="G48" s="2"/>
      <c r="H48" s="2" t="s">
        <v>115</v>
      </c>
      <c r="I48" s="2" t="s">
        <v>126</v>
      </c>
      <c r="J48" s="2"/>
      <c r="K48" s="2"/>
      <c r="L48" s="2" t="s">
        <v>125</v>
      </c>
      <c r="M48" s="2" t="s">
        <v>105</v>
      </c>
      <c r="N48" s="2" t="s">
        <v>107</v>
      </c>
      <c r="O48" s="2"/>
      <c r="P48" s="2"/>
      <c r="Q48" s="2"/>
      <c r="R48" s="2"/>
      <c r="S48" s="2" t="s">
        <v>122</v>
      </c>
      <c r="T48" s="2" t="s">
        <v>114</v>
      </c>
      <c r="U48" s="2"/>
      <c r="V48" s="2" t="s">
        <v>130</v>
      </c>
      <c r="W48" s="2"/>
      <c r="X48" s="2"/>
      <c r="Y48" s="2"/>
      <c r="Z48" s="2"/>
      <c r="AA48" s="2"/>
      <c r="AB48" s="2" t="s">
        <v>114</v>
      </c>
      <c r="AC48" s="2" t="s">
        <v>114</v>
      </c>
      <c r="AD48" s="2" t="s">
        <v>114</v>
      </c>
      <c r="AE48" s="2"/>
      <c r="AF48" s="2"/>
      <c r="AG48" s="2"/>
      <c r="AH48" s="2"/>
      <c r="AI48" s="2"/>
      <c r="AJ48" s="2" t="s">
        <v>111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 t="s">
        <v>103</v>
      </c>
      <c r="AW48" s="2" t="s">
        <v>146</v>
      </c>
      <c r="AX48" s="2" t="s">
        <v>130</v>
      </c>
      <c r="AY48" s="2" t="s">
        <v>109</v>
      </c>
      <c r="AZ48" s="2"/>
      <c r="BA48" s="2"/>
      <c r="BB48" s="2"/>
      <c r="BC48" s="2"/>
      <c r="BD48" s="2" t="s">
        <v>103</v>
      </c>
      <c r="BE48" s="2" t="s">
        <v>109</v>
      </c>
      <c r="BF48" s="2" t="s">
        <v>103</v>
      </c>
      <c r="BG48" s="2" t="s">
        <v>109</v>
      </c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3"/>
      <c r="CW48" s="3"/>
      <c r="CX48" s="3"/>
      <c r="CY48" s="3"/>
    </row>
    <row r="49" ht="15.75" customHeight="1">
      <c r="A49" s="2" t="s">
        <v>115</v>
      </c>
      <c r="B49" s="2" t="s">
        <v>135</v>
      </c>
      <c r="C49" s="2" t="s">
        <v>104</v>
      </c>
      <c r="D49" s="3"/>
      <c r="E49" s="2" t="s">
        <v>103</v>
      </c>
      <c r="F49" s="2"/>
      <c r="G49" s="2"/>
      <c r="H49" s="2" t="s">
        <v>132</v>
      </c>
      <c r="I49" s="2" t="s">
        <v>112</v>
      </c>
      <c r="J49" s="2" t="s">
        <v>132</v>
      </c>
      <c r="K49" s="2"/>
      <c r="L49" s="2" t="s">
        <v>125</v>
      </c>
      <c r="M49" s="2" t="s">
        <v>107</v>
      </c>
      <c r="N49" s="2"/>
      <c r="O49" s="2"/>
      <c r="P49" s="2"/>
      <c r="Q49" s="2"/>
      <c r="R49" s="2"/>
      <c r="S49" s="2" t="s">
        <v>136</v>
      </c>
      <c r="T49" s="2" t="s">
        <v>114</v>
      </c>
      <c r="U49" s="2"/>
      <c r="V49" s="2" t="s">
        <v>114</v>
      </c>
      <c r="W49" s="2"/>
      <c r="X49" s="2"/>
      <c r="Y49" s="2" t="s">
        <v>130</v>
      </c>
      <c r="Z49" s="2"/>
      <c r="AA49" s="2"/>
      <c r="AB49" s="2"/>
      <c r="AC49" s="2" t="s">
        <v>114</v>
      </c>
      <c r="AD49" s="2"/>
      <c r="AE49" s="2" t="s">
        <v>103</v>
      </c>
      <c r="AF49" s="2" t="s">
        <v>114</v>
      </c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 t="s">
        <v>114</v>
      </c>
      <c r="BC49" s="2" t="s">
        <v>109</v>
      </c>
      <c r="BD49" s="2"/>
      <c r="BE49" s="2"/>
      <c r="BF49" s="2" t="s">
        <v>114</v>
      </c>
      <c r="BG49" s="2" t="s">
        <v>120</v>
      </c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 t="s">
        <v>103</v>
      </c>
      <c r="CD49" s="2" t="s">
        <v>223</v>
      </c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3"/>
      <c r="CW49" s="3"/>
      <c r="CX49" s="2" t="s">
        <v>113</v>
      </c>
      <c r="CY49" s="2" t="s">
        <v>105</v>
      </c>
    </row>
    <row r="50" ht="15.75" customHeight="1">
      <c r="A50" s="2" t="s">
        <v>116</v>
      </c>
      <c r="B50" s="2" t="s">
        <v>135</v>
      </c>
      <c r="C50" s="2" t="s">
        <v>104</v>
      </c>
      <c r="D50" s="3"/>
      <c r="E50" s="2" t="s">
        <v>103</v>
      </c>
      <c r="F50" s="2"/>
      <c r="G50" s="2"/>
      <c r="H50" s="2" t="s">
        <v>105</v>
      </c>
      <c r="I50" s="2" t="s">
        <v>184</v>
      </c>
      <c r="J50" s="2"/>
      <c r="K50" s="2"/>
      <c r="L50" s="2" t="s">
        <v>204</v>
      </c>
      <c r="M50" s="2" t="s">
        <v>109</v>
      </c>
      <c r="N50" s="2" t="s">
        <v>176</v>
      </c>
      <c r="O50" s="2" t="s">
        <v>105</v>
      </c>
      <c r="P50" s="2" t="s">
        <v>113</v>
      </c>
      <c r="Q50" s="2"/>
      <c r="R50" s="2"/>
      <c r="S50" s="2" t="s">
        <v>160</v>
      </c>
      <c r="T50" s="2" t="s">
        <v>112</v>
      </c>
      <c r="U50" s="2"/>
      <c r="V50" s="2" t="s">
        <v>115</v>
      </c>
      <c r="W50" s="2"/>
      <c r="X50" s="2" t="s">
        <v>103</v>
      </c>
      <c r="Y50" s="2" t="s">
        <v>114</v>
      </c>
      <c r="Z50" s="2"/>
      <c r="AA50" s="2"/>
      <c r="AB50" s="2" t="s">
        <v>130</v>
      </c>
      <c r="AC50" s="2" t="s">
        <v>103</v>
      </c>
      <c r="AD50" s="2" t="s">
        <v>114</v>
      </c>
      <c r="AE50" s="2"/>
      <c r="AF50" s="2" t="s">
        <v>114</v>
      </c>
      <c r="AG50" s="2"/>
      <c r="AH50" s="2"/>
      <c r="AI50" s="2"/>
      <c r="AJ50" s="2" t="s">
        <v>136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 t="s">
        <v>103</v>
      </c>
      <c r="AW50" s="2" t="s">
        <v>146</v>
      </c>
      <c r="AX50" s="2"/>
      <c r="AY50" s="2" t="s">
        <v>107</v>
      </c>
      <c r="AZ50" s="2"/>
      <c r="BA50" s="2"/>
      <c r="BB50" s="4">
        <f>1 + (1/2)</f>
        <v>1.5</v>
      </c>
      <c r="BC50" s="2" t="s">
        <v>109</v>
      </c>
      <c r="BD50" s="2">
        <f>3/4</f>
        <v>0.75</v>
      </c>
      <c r="BE50" s="2" t="s">
        <v>105</v>
      </c>
      <c r="BF50" s="2" t="s">
        <v>114</v>
      </c>
      <c r="BG50" s="2" t="s">
        <v>121</v>
      </c>
      <c r="BH50" s="2"/>
      <c r="BI50" s="2"/>
      <c r="BJ50" s="2"/>
      <c r="BK50" s="2"/>
      <c r="BL50" s="2"/>
      <c r="BM50" s="2" t="s">
        <v>114</v>
      </c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>
        <f>1/2</f>
        <v>0.5</v>
      </c>
      <c r="CD50" s="2" t="s">
        <v>109</v>
      </c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3"/>
      <c r="CW50" s="3"/>
      <c r="CX50" s="3"/>
      <c r="CY50" s="3"/>
    </row>
    <row r="51" ht="15.75" customHeight="1">
      <c r="A51" s="2" t="s">
        <v>112</v>
      </c>
      <c r="B51" s="2" t="s">
        <v>135</v>
      </c>
      <c r="C51" s="2" t="s">
        <v>104</v>
      </c>
      <c r="D51" s="3"/>
      <c r="E51" s="2" t="s">
        <v>103</v>
      </c>
      <c r="F51" s="2"/>
      <c r="G51" s="2"/>
      <c r="H51" s="2" t="s">
        <v>126</v>
      </c>
      <c r="I51" s="2" t="s">
        <v>130</v>
      </c>
      <c r="J51" s="2"/>
      <c r="K51" s="2"/>
      <c r="L51" s="2" t="s">
        <v>108</v>
      </c>
      <c r="M51" s="2" t="s">
        <v>107</v>
      </c>
      <c r="N51" s="2" t="s">
        <v>110</v>
      </c>
      <c r="O51" s="2"/>
      <c r="P51" s="2"/>
      <c r="Q51" s="2"/>
      <c r="R51" s="2"/>
      <c r="S51" s="2" t="s">
        <v>217</v>
      </c>
      <c r="T51" s="2" t="s">
        <v>114</v>
      </c>
      <c r="U51" s="2"/>
      <c r="V51" s="2" t="s">
        <v>114</v>
      </c>
      <c r="W51" s="2"/>
      <c r="X51" s="2"/>
      <c r="Y51" s="2" t="s">
        <v>130</v>
      </c>
      <c r="Z51" s="2"/>
      <c r="AA51" s="2"/>
      <c r="AB51" s="2" t="s">
        <v>130</v>
      </c>
      <c r="AC51" s="2" t="s">
        <v>103</v>
      </c>
      <c r="AD51" s="2" t="s">
        <v>130</v>
      </c>
      <c r="AE51" s="2"/>
      <c r="AF51" s="2"/>
      <c r="AG51" s="2"/>
      <c r="AH51" s="2" t="s">
        <v>114</v>
      </c>
      <c r="AI51" s="2"/>
      <c r="AJ51" s="2" t="s">
        <v>121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 t="s">
        <v>114</v>
      </c>
      <c r="AW51" s="2" t="s">
        <v>112</v>
      </c>
      <c r="AX51" s="2"/>
      <c r="AY51" s="2" t="s">
        <v>139</v>
      </c>
      <c r="AZ51" s="2"/>
      <c r="BA51" s="2"/>
      <c r="BB51" s="2"/>
      <c r="BC51" s="2"/>
      <c r="BD51" s="2" t="s">
        <v>103</v>
      </c>
      <c r="BE51" s="2" t="s">
        <v>107</v>
      </c>
      <c r="BF51" s="2"/>
      <c r="BG51" s="2"/>
      <c r="BH51" s="2"/>
      <c r="BI51" s="2"/>
      <c r="BJ51" s="2"/>
      <c r="BK51" s="2"/>
      <c r="BL51" s="2"/>
      <c r="BM51" s="2" t="s">
        <v>138</v>
      </c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4">
        <f>1 + (1/2)</f>
        <v>1.5</v>
      </c>
      <c r="CD51" s="2" t="s">
        <v>136</v>
      </c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3"/>
      <c r="CW51" s="3"/>
      <c r="CX51" s="3"/>
      <c r="CY51" s="3"/>
    </row>
    <row r="52" ht="15.75" customHeight="1">
      <c r="A52" s="2" t="s">
        <v>103</v>
      </c>
      <c r="B52" s="2" t="s">
        <v>126</v>
      </c>
      <c r="C52" s="2" t="s">
        <v>104</v>
      </c>
      <c r="D52" s="3"/>
      <c r="E52" s="2" t="s">
        <v>103</v>
      </c>
      <c r="F52" s="2"/>
      <c r="G52" s="2"/>
      <c r="H52" s="2" t="s">
        <v>130</v>
      </c>
      <c r="I52" s="2" t="s">
        <v>114</v>
      </c>
      <c r="J52" s="2"/>
      <c r="K52" s="2"/>
      <c r="L52" s="2" t="s">
        <v>125</v>
      </c>
      <c r="M52" s="2" t="s">
        <v>112</v>
      </c>
      <c r="N52" s="2" t="s">
        <v>139</v>
      </c>
      <c r="O52" s="2"/>
      <c r="P52" s="2"/>
      <c r="Q52" s="2"/>
      <c r="R52" s="2"/>
      <c r="S52" s="2" t="s">
        <v>139</v>
      </c>
      <c r="T52" s="2" t="s">
        <v>116</v>
      </c>
      <c r="U52" s="2"/>
      <c r="V52" s="2" t="s">
        <v>130</v>
      </c>
      <c r="W52" s="2"/>
      <c r="X52" s="2"/>
      <c r="Y52" s="2" t="s">
        <v>103</v>
      </c>
      <c r="Z52" s="2"/>
      <c r="AA52" s="2"/>
      <c r="AB52" s="2" t="s">
        <v>103</v>
      </c>
      <c r="AC52" s="2"/>
      <c r="AD52" s="2"/>
      <c r="AE52" s="2"/>
      <c r="AF52" s="2"/>
      <c r="AG52" s="2"/>
      <c r="AH52" s="2"/>
      <c r="AI52" s="2"/>
      <c r="AJ52" s="2" t="s">
        <v>123</v>
      </c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 t="s">
        <v>115</v>
      </c>
      <c r="AX52" s="2"/>
      <c r="AY52" s="2" t="s">
        <v>105</v>
      </c>
      <c r="AZ52" s="2"/>
      <c r="BA52" s="2"/>
      <c r="BB52" s="2"/>
      <c r="BC52" s="2"/>
      <c r="BD52" s="2">
        <f>1/4</f>
        <v>0.25</v>
      </c>
      <c r="BE52" s="5" t="s">
        <v>112</v>
      </c>
      <c r="BF52" s="2"/>
      <c r="BG52" s="2"/>
      <c r="BH52" s="2"/>
      <c r="BI52" s="2"/>
      <c r="BJ52" s="2"/>
      <c r="BK52" s="2"/>
      <c r="BL52" s="2"/>
      <c r="BM52" s="2" t="s">
        <v>103</v>
      </c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>
        <f>1/2</f>
        <v>0.5</v>
      </c>
      <c r="CD52" s="2" t="s">
        <v>109</v>
      </c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3"/>
      <c r="CW52" s="3"/>
      <c r="CX52" s="3"/>
      <c r="CY52" s="3"/>
    </row>
    <row r="53" ht="15.75" customHeight="1">
      <c r="A53" s="2" t="s">
        <v>114</v>
      </c>
      <c r="B53" s="2" t="s">
        <v>126</v>
      </c>
      <c r="C53" s="2" t="s">
        <v>104</v>
      </c>
      <c r="D53" s="3"/>
      <c r="E53" s="2"/>
      <c r="F53" s="2" t="s">
        <v>103</v>
      </c>
      <c r="G53" s="2"/>
      <c r="H53" s="2" t="s">
        <v>122</v>
      </c>
      <c r="I53" s="2" t="s">
        <v>201</v>
      </c>
      <c r="J53" s="2" t="s">
        <v>160</v>
      </c>
      <c r="K53" s="2"/>
      <c r="L53" s="2" t="s">
        <v>124</v>
      </c>
      <c r="M53" s="2" t="s">
        <v>122</v>
      </c>
      <c r="N53" s="2" t="s">
        <v>136</v>
      </c>
      <c r="O53" s="2" t="s">
        <v>105</v>
      </c>
      <c r="P53" s="2"/>
      <c r="Q53" s="2" t="s">
        <v>123</v>
      </c>
      <c r="R53" s="2" t="s">
        <v>105</v>
      </c>
      <c r="S53" s="2" t="s">
        <v>232</v>
      </c>
      <c r="T53" s="2" t="s">
        <v>142</v>
      </c>
      <c r="U53" s="2"/>
      <c r="V53" s="2" t="s">
        <v>107</v>
      </c>
      <c r="W53" s="2"/>
      <c r="X53" s="2"/>
      <c r="Y53" s="2" t="s">
        <v>114</v>
      </c>
      <c r="Z53" s="2"/>
      <c r="AA53" s="2"/>
      <c r="AB53" s="2" t="s">
        <v>126</v>
      </c>
      <c r="AC53" s="2"/>
      <c r="AD53" s="2" t="s">
        <v>135</v>
      </c>
      <c r="AE53" s="2" t="s">
        <v>119</v>
      </c>
      <c r="AF53" s="2" t="s">
        <v>112</v>
      </c>
      <c r="AG53" s="2" t="s">
        <v>130</v>
      </c>
      <c r="AH53" s="2"/>
      <c r="AI53" s="2"/>
      <c r="AJ53" s="2" t="s">
        <v>136</v>
      </c>
      <c r="AK53" s="2"/>
      <c r="AL53" s="2" t="s">
        <v>126</v>
      </c>
      <c r="AM53" s="2" t="s">
        <v>135</v>
      </c>
      <c r="AN53" s="2" t="s">
        <v>103</v>
      </c>
      <c r="AO53" s="5" t="s">
        <v>126</v>
      </c>
      <c r="AP53" s="2"/>
      <c r="AQ53" s="2"/>
      <c r="AR53" s="2"/>
      <c r="AS53" s="2" t="s">
        <v>138</v>
      </c>
      <c r="AT53" s="2" t="s">
        <v>135</v>
      </c>
      <c r="AU53" s="2" t="s">
        <v>109</v>
      </c>
      <c r="AV53" s="2" t="s">
        <v>103</v>
      </c>
      <c r="AW53" s="2" t="s">
        <v>117</v>
      </c>
      <c r="AX53" s="2"/>
      <c r="AY53" s="2" t="s">
        <v>107</v>
      </c>
      <c r="AZ53" s="2"/>
      <c r="BA53" s="2"/>
      <c r="BB53" s="2" t="s">
        <v>114</v>
      </c>
      <c r="BC53" s="2" t="s">
        <v>120</v>
      </c>
      <c r="BD53" s="2" t="s">
        <v>103</v>
      </c>
      <c r="BE53" s="2" t="s">
        <v>109</v>
      </c>
      <c r="BF53" s="2" t="s">
        <v>126</v>
      </c>
      <c r="BG53" s="2" t="s">
        <v>111</v>
      </c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 t="s">
        <v>114</v>
      </c>
      <c r="CD53" s="2" t="s">
        <v>181</v>
      </c>
      <c r="CE53" s="2"/>
      <c r="CF53" s="2"/>
      <c r="CG53" s="2"/>
      <c r="CH53" s="2"/>
      <c r="CI53" s="2" t="s">
        <v>103</v>
      </c>
      <c r="CJ53" s="2" t="s">
        <v>121</v>
      </c>
      <c r="CK53" s="2" t="s">
        <v>107</v>
      </c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3"/>
      <c r="CW53" s="3"/>
      <c r="CX53" s="2" t="s">
        <v>129</v>
      </c>
      <c r="CY53" s="2" t="s">
        <v>110</v>
      </c>
    </row>
    <row r="54" ht="15.75" customHeight="1">
      <c r="A54" s="2" t="s">
        <v>130</v>
      </c>
      <c r="B54" s="2" t="s">
        <v>126</v>
      </c>
      <c r="C54" s="2" t="s">
        <v>104</v>
      </c>
      <c r="D54" s="3"/>
      <c r="E54" s="2" t="s">
        <v>103</v>
      </c>
      <c r="F54" s="2"/>
      <c r="G54" s="2"/>
      <c r="H54" s="2" t="s">
        <v>107</v>
      </c>
      <c r="I54" s="2" t="s">
        <v>147</v>
      </c>
      <c r="J54" s="2" t="s">
        <v>135</v>
      </c>
      <c r="K54" s="2"/>
      <c r="L54" s="2" t="s">
        <v>127</v>
      </c>
      <c r="M54" s="2" t="s">
        <v>105</v>
      </c>
      <c r="N54" s="2" t="s">
        <v>160</v>
      </c>
      <c r="O54" s="2" t="s">
        <v>113</v>
      </c>
      <c r="P54" s="2"/>
      <c r="Q54" s="2"/>
      <c r="R54" s="2"/>
      <c r="S54" s="2" t="s">
        <v>111</v>
      </c>
      <c r="T54" s="2" t="s">
        <v>132</v>
      </c>
      <c r="U54" s="2"/>
      <c r="V54" s="2" t="s">
        <v>113</v>
      </c>
      <c r="W54" s="2"/>
      <c r="X54" s="2"/>
      <c r="Y54" s="2"/>
      <c r="Z54" s="2"/>
      <c r="AA54" s="2" t="s">
        <v>114</v>
      </c>
      <c r="AB54" s="2" t="s">
        <v>135</v>
      </c>
      <c r="AC54" s="2" t="s">
        <v>103</v>
      </c>
      <c r="AD54" s="2" t="s">
        <v>130</v>
      </c>
      <c r="AE54" s="2" t="s">
        <v>114</v>
      </c>
      <c r="AF54" s="2"/>
      <c r="AG54" s="2"/>
      <c r="AH54" s="2"/>
      <c r="AI54" s="2"/>
      <c r="AJ54" s="2" t="s">
        <v>136</v>
      </c>
      <c r="AK54" s="2"/>
      <c r="AL54" s="2" t="s">
        <v>103</v>
      </c>
      <c r="AM54" s="2"/>
      <c r="AN54" s="2"/>
      <c r="AO54" s="2"/>
      <c r="AP54" s="2"/>
      <c r="AQ54" s="2"/>
      <c r="AR54" s="2"/>
      <c r="AS54" s="2"/>
      <c r="AT54" s="2" t="s">
        <v>103</v>
      </c>
      <c r="AU54" s="2" t="s">
        <v>115</v>
      </c>
      <c r="AV54" s="2" t="s">
        <v>103</v>
      </c>
      <c r="AW54" s="2" t="s">
        <v>117</v>
      </c>
      <c r="AX54" s="2"/>
      <c r="AY54" s="2" t="s">
        <v>107</v>
      </c>
      <c r="AZ54" s="2"/>
      <c r="BA54" s="2"/>
      <c r="BB54" s="2">
        <f>3/4</f>
        <v>0.75</v>
      </c>
      <c r="BC54" s="2" t="s">
        <v>132</v>
      </c>
      <c r="BD54" s="2">
        <f>1/3</f>
        <v>0.3333333333</v>
      </c>
      <c r="BE54" s="2" t="s">
        <v>112</v>
      </c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 t="s">
        <v>103</v>
      </c>
      <c r="CD54" s="2" t="s">
        <v>111</v>
      </c>
      <c r="CE54" s="2"/>
      <c r="CF54" s="2"/>
      <c r="CG54" s="2"/>
      <c r="CH54" s="2"/>
      <c r="CI54" s="2">
        <f>1/2</f>
        <v>0.5</v>
      </c>
      <c r="CJ54" s="2" t="s">
        <v>132</v>
      </c>
      <c r="CK54" s="2" t="s">
        <v>107</v>
      </c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3"/>
      <c r="CW54" s="3"/>
      <c r="CX54" s="2" t="s">
        <v>107</v>
      </c>
      <c r="CY54" s="2" t="s">
        <v>185</v>
      </c>
    </row>
    <row r="55" ht="15.75" customHeight="1">
      <c r="A55" s="2" t="s">
        <v>138</v>
      </c>
      <c r="B55" s="2" t="s">
        <v>126</v>
      </c>
      <c r="C55" s="2" t="s">
        <v>104</v>
      </c>
      <c r="D55" s="3"/>
      <c r="E55" s="2"/>
      <c r="F55" s="2" t="s">
        <v>103</v>
      </c>
      <c r="G55" s="2"/>
      <c r="H55" s="2" t="s">
        <v>218</v>
      </c>
      <c r="I55" s="2" t="s">
        <v>225</v>
      </c>
      <c r="J55" s="2" t="s">
        <v>135</v>
      </c>
      <c r="K55" s="2"/>
      <c r="L55" s="2" t="s">
        <v>233</v>
      </c>
      <c r="M55" s="2" t="s">
        <v>139</v>
      </c>
      <c r="N55" s="2" t="s">
        <v>160</v>
      </c>
      <c r="O55" s="2" t="s">
        <v>113</v>
      </c>
      <c r="P55" s="2"/>
      <c r="Q55" s="2"/>
      <c r="R55" s="2"/>
      <c r="S55" s="2" t="s">
        <v>111</v>
      </c>
      <c r="T55" s="2" t="s">
        <v>119</v>
      </c>
      <c r="U55" s="2"/>
      <c r="V55" s="2" t="s">
        <v>106</v>
      </c>
      <c r="W55" s="2"/>
      <c r="X55" s="2"/>
      <c r="Y55" s="2" t="s">
        <v>103</v>
      </c>
      <c r="Z55" s="2"/>
      <c r="AA55" s="2"/>
      <c r="AB55" s="2" t="s">
        <v>114</v>
      </c>
      <c r="AC55" s="2"/>
      <c r="AD55" s="2" t="s">
        <v>114</v>
      </c>
      <c r="AE55" s="2" t="s">
        <v>112</v>
      </c>
      <c r="AF55" s="2" t="s">
        <v>112</v>
      </c>
      <c r="AG55" s="2" t="s">
        <v>103</v>
      </c>
      <c r="AH55" s="2"/>
      <c r="AI55" s="2"/>
      <c r="AJ55" s="2" t="s">
        <v>199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 t="s">
        <v>103</v>
      </c>
      <c r="AW55" s="2" t="s">
        <v>113</v>
      </c>
      <c r="AX55" s="2"/>
      <c r="AY55" s="2" t="s">
        <v>234</v>
      </c>
      <c r="AZ55" s="2"/>
      <c r="BA55" s="2"/>
      <c r="BB55" s="4">
        <f>1 + (1/2)</f>
        <v>1.5</v>
      </c>
      <c r="BC55" s="2" t="s">
        <v>105</v>
      </c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 t="s">
        <v>114</v>
      </c>
      <c r="CD55" s="2" t="s">
        <v>111</v>
      </c>
      <c r="CE55" s="2"/>
      <c r="CF55" s="2"/>
      <c r="CG55" s="2"/>
      <c r="CH55" s="2"/>
      <c r="CI55" s="2"/>
      <c r="CJ55" s="2"/>
      <c r="CK55" s="2" t="s">
        <v>112</v>
      </c>
      <c r="CL55" s="2"/>
      <c r="CM55" s="2"/>
      <c r="CN55" s="2"/>
      <c r="CO55" s="2" t="s">
        <v>114</v>
      </c>
      <c r="CP55" s="2"/>
      <c r="CQ55" s="2"/>
      <c r="CR55" s="2"/>
      <c r="CS55" s="2"/>
      <c r="CT55" s="2"/>
      <c r="CU55" s="2"/>
      <c r="CV55" s="3"/>
      <c r="CW55" s="3"/>
      <c r="CX55" s="2" t="s">
        <v>112</v>
      </c>
      <c r="CY55" s="2" t="s">
        <v>161</v>
      </c>
    </row>
    <row r="56" ht="15.75" customHeight="1">
      <c r="A56" s="2" t="s">
        <v>135</v>
      </c>
      <c r="B56" s="2" t="s">
        <v>126</v>
      </c>
      <c r="C56" s="2" t="s">
        <v>104</v>
      </c>
      <c r="D56" s="3"/>
      <c r="E56" s="2" t="s">
        <v>103</v>
      </c>
      <c r="F56" s="2"/>
      <c r="G56" s="2"/>
      <c r="H56" s="2" t="s">
        <v>107</v>
      </c>
      <c r="I56" s="2" t="s">
        <v>109</v>
      </c>
      <c r="J56" s="2" t="s">
        <v>107</v>
      </c>
      <c r="K56" s="2"/>
      <c r="L56" s="2" t="s">
        <v>134</v>
      </c>
      <c r="M56" s="2" t="s">
        <v>121</v>
      </c>
      <c r="N56" s="2" t="s">
        <v>111</v>
      </c>
      <c r="O56" s="2" t="s">
        <v>112</v>
      </c>
      <c r="P56" s="2"/>
      <c r="Q56" s="2" t="s">
        <v>105</v>
      </c>
      <c r="R56" s="2" t="s">
        <v>138</v>
      </c>
      <c r="S56" s="2" t="s">
        <v>131</v>
      </c>
      <c r="T56" s="2" t="s">
        <v>105</v>
      </c>
      <c r="U56" s="2"/>
      <c r="V56" s="2" t="s">
        <v>132</v>
      </c>
      <c r="W56" s="2"/>
      <c r="X56" s="2"/>
      <c r="Y56" s="2" t="s">
        <v>103</v>
      </c>
      <c r="Z56" s="2"/>
      <c r="AA56" s="2"/>
      <c r="AB56" s="2" t="s">
        <v>138</v>
      </c>
      <c r="AC56" s="2" t="s">
        <v>114</v>
      </c>
      <c r="AD56" s="2" t="s">
        <v>103</v>
      </c>
      <c r="AE56" s="2"/>
      <c r="AF56" s="2"/>
      <c r="AG56" s="2"/>
      <c r="AH56" s="2"/>
      <c r="AI56" s="2"/>
      <c r="AJ56" s="2" t="s">
        <v>121</v>
      </c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 t="s">
        <v>103</v>
      </c>
      <c r="AW56" s="2" t="s">
        <v>135</v>
      </c>
      <c r="AX56" s="2"/>
      <c r="AY56" s="2" t="s">
        <v>105</v>
      </c>
      <c r="AZ56" s="2"/>
      <c r="BA56" s="2"/>
      <c r="BB56" s="2" t="s">
        <v>103</v>
      </c>
      <c r="BC56" s="2" t="s">
        <v>119</v>
      </c>
      <c r="BD56" s="2" t="s">
        <v>103</v>
      </c>
      <c r="BE56" s="2" t="s">
        <v>107</v>
      </c>
      <c r="BF56" s="2">
        <f>1/2</f>
        <v>0.5</v>
      </c>
      <c r="BG56" s="2" t="s">
        <v>107</v>
      </c>
      <c r="BH56" s="2"/>
      <c r="BI56" s="2"/>
      <c r="BJ56" s="2">
        <f>1/2</f>
        <v>0.5</v>
      </c>
      <c r="BK56" s="2" t="s">
        <v>135</v>
      </c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 t="s">
        <v>130</v>
      </c>
      <c r="CD56" s="2" t="s">
        <v>110</v>
      </c>
      <c r="CE56" s="2"/>
      <c r="CF56" s="2"/>
      <c r="CG56" s="2"/>
      <c r="CH56" s="2"/>
      <c r="CI56" s="2"/>
      <c r="CJ56" s="2" t="s">
        <v>113</v>
      </c>
      <c r="CK56" s="2" t="s">
        <v>109</v>
      </c>
      <c r="CL56" s="2"/>
      <c r="CM56" s="2"/>
      <c r="CN56" s="2"/>
      <c r="CO56" s="2" t="s">
        <v>112</v>
      </c>
      <c r="CP56" s="2"/>
      <c r="CQ56" s="2"/>
      <c r="CR56" s="2"/>
      <c r="CS56" s="2"/>
      <c r="CT56" s="2"/>
      <c r="CU56" s="2"/>
      <c r="CV56" s="3"/>
      <c r="CW56" s="3"/>
      <c r="CX56" s="2" t="s">
        <v>107</v>
      </c>
      <c r="CY56" s="2" t="s">
        <v>122</v>
      </c>
    </row>
    <row r="57" ht="15.75" customHeight="1">
      <c r="A57" s="2" t="s">
        <v>126</v>
      </c>
      <c r="B57" s="2" t="s">
        <v>126</v>
      </c>
      <c r="C57" s="2" t="s">
        <v>104</v>
      </c>
      <c r="D57" s="3"/>
      <c r="E57" s="2"/>
      <c r="F57" s="2" t="s">
        <v>103</v>
      </c>
      <c r="G57" s="2"/>
      <c r="H57" s="2" t="s">
        <v>105</v>
      </c>
      <c r="I57" s="2" t="s">
        <v>118</v>
      </c>
      <c r="J57" s="2" t="s">
        <v>112</v>
      </c>
      <c r="K57" s="2"/>
      <c r="L57" s="2" t="s">
        <v>125</v>
      </c>
      <c r="M57" s="2" t="s">
        <v>112</v>
      </c>
      <c r="N57" s="2" t="s">
        <v>105</v>
      </c>
      <c r="O57" s="2" t="s">
        <v>135</v>
      </c>
      <c r="P57" s="2"/>
      <c r="Q57" s="2"/>
      <c r="R57" s="2"/>
      <c r="S57" s="2" t="s">
        <v>121</v>
      </c>
      <c r="T57" s="2" t="s">
        <v>115</v>
      </c>
      <c r="U57" s="2"/>
      <c r="V57" s="2" t="s">
        <v>115</v>
      </c>
      <c r="W57" s="2"/>
      <c r="X57" s="2"/>
      <c r="Y57" s="2"/>
      <c r="Z57" s="2"/>
      <c r="AA57" s="2"/>
      <c r="AB57" s="2" t="s">
        <v>103</v>
      </c>
      <c r="AC57" s="2"/>
      <c r="AD57" s="2"/>
      <c r="AE57" s="2" t="s">
        <v>103</v>
      </c>
      <c r="AF57" s="2"/>
      <c r="AG57" s="2"/>
      <c r="AH57" s="2" t="s">
        <v>103</v>
      </c>
      <c r="AI57" s="2"/>
      <c r="AJ57" s="2" t="s">
        <v>121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 t="s">
        <v>165</v>
      </c>
      <c r="AX57" s="2"/>
      <c r="AY57" s="2" t="s">
        <v>107</v>
      </c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5">
        <f>3/4</f>
        <v>0.75</v>
      </c>
      <c r="CD57" s="2" t="s">
        <v>107</v>
      </c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3"/>
      <c r="CW57" s="3"/>
      <c r="CX57" s="2" t="s">
        <v>105</v>
      </c>
      <c r="CY57" s="2" t="s">
        <v>142</v>
      </c>
    </row>
    <row r="58" ht="15.75" customHeight="1">
      <c r="A58" s="2" t="s">
        <v>146</v>
      </c>
      <c r="B58" s="2" t="s">
        <v>126</v>
      </c>
      <c r="C58" s="2" t="s">
        <v>104</v>
      </c>
      <c r="D58" s="3"/>
      <c r="E58" s="2"/>
      <c r="F58" s="2" t="s">
        <v>103</v>
      </c>
      <c r="G58" s="2"/>
      <c r="H58" s="2" t="s">
        <v>111</v>
      </c>
      <c r="I58" s="2" t="s">
        <v>235</v>
      </c>
      <c r="J58" s="2" t="s">
        <v>111</v>
      </c>
      <c r="K58" s="2"/>
      <c r="L58" s="2" t="s">
        <v>190</v>
      </c>
      <c r="M58" s="2" t="s">
        <v>199</v>
      </c>
      <c r="N58" s="2" t="s">
        <v>236</v>
      </c>
      <c r="O58" s="2" t="s">
        <v>105</v>
      </c>
      <c r="P58" s="2" t="s">
        <v>119</v>
      </c>
      <c r="Q58" s="2" t="s">
        <v>160</v>
      </c>
      <c r="R58" s="2" t="s">
        <v>109</v>
      </c>
      <c r="S58" s="2" t="s">
        <v>237</v>
      </c>
      <c r="T58" s="2" t="s">
        <v>129</v>
      </c>
      <c r="U58" s="2"/>
      <c r="V58" s="2" t="s">
        <v>133</v>
      </c>
      <c r="W58" s="2"/>
      <c r="X58" s="2"/>
      <c r="Y58" s="2" t="s">
        <v>130</v>
      </c>
      <c r="Z58" s="2"/>
      <c r="AA58" s="2" t="s">
        <v>114</v>
      </c>
      <c r="AB58" s="2" t="s">
        <v>166</v>
      </c>
      <c r="AC58" s="2" t="s">
        <v>165</v>
      </c>
      <c r="AD58" s="2" t="s">
        <v>183</v>
      </c>
      <c r="AE58" s="2" t="s">
        <v>112</v>
      </c>
      <c r="AF58" s="2" t="s">
        <v>112</v>
      </c>
      <c r="AG58" s="2"/>
      <c r="AH58" s="2" t="s">
        <v>103</v>
      </c>
      <c r="AI58" s="2"/>
      <c r="AJ58" s="2" t="s">
        <v>153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 t="s">
        <v>138</v>
      </c>
      <c r="AW58" s="2" t="s">
        <v>168</v>
      </c>
      <c r="AX58" s="2"/>
      <c r="AY58" s="2" t="s">
        <v>123</v>
      </c>
      <c r="AZ58" s="2"/>
      <c r="BA58" s="2"/>
      <c r="BB58" s="2" t="s">
        <v>115</v>
      </c>
      <c r="BC58" s="2" t="s">
        <v>194</v>
      </c>
      <c r="BD58" s="2"/>
      <c r="BE58" s="2"/>
      <c r="BF58" s="2" t="s">
        <v>115</v>
      </c>
      <c r="BG58" s="2" t="s">
        <v>123</v>
      </c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>
        <f t="shared" ref="CC58:CC59" si="6">1/2</f>
        <v>0.5</v>
      </c>
      <c r="CD58" s="2" t="s">
        <v>109</v>
      </c>
      <c r="CE58" s="2"/>
      <c r="CF58" s="2"/>
      <c r="CG58" s="2"/>
      <c r="CH58" s="2"/>
      <c r="CI58" s="2" t="s">
        <v>103</v>
      </c>
      <c r="CJ58" s="2" t="s">
        <v>120</v>
      </c>
      <c r="CK58" s="2" t="s">
        <v>121</v>
      </c>
      <c r="CL58" s="2"/>
      <c r="CM58" s="2"/>
      <c r="CN58" s="2"/>
      <c r="CO58" s="2" t="s">
        <v>109</v>
      </c>
      <c r="CP58" s="2"/>
      <c r="CQ58" s="2"/>
      <c r="CR58" s="2"/>
      <c r="CS58" s="2"/>
      <c r="CT58" s="2"/>
      <c r="CU58" s="2"/>
      <c r="CV58" s="3"/>
      <c r="CW58" s="3"/>
      <c r="CX58" s="2" t="s">
        <v>109</v>
      </c>
      <c r="CY58" s="2" t="s">
        <v>136</v>
      </c>
    </row>
    <row r="59" ht="15.75" customHeight="1">
      <c r="A59" s="2" t="s">
        <v>115</v>
      </c>
      <c r="B59" s="2" t="s">
        <v>126</v>
      </c>
      <c r="C59" s="2" t="s">
        <v>104</v>
      </c>
      <c r="D59" s="3"/>
      <c r="E59" s="2" t="s">
        <v>103</v>
      </c>
      <c r="F59" s="2"/>
      <c r="G59" s="2"/>
      <c r="H59" s="2" t="s">
        <v>169</v>
      </c>
      <c r="I59" s="2" t="s">
        <v>132</v>
      </c>
      <c r="J59" s="2" t="s">
        <v>110</v>
      </c>
      <c r="K59" s="2"/>
      <c r="L59" s="2" t="s">
        <v>134</v>
      </c>
      <c r="M59" s="2" t="s">
        <v>121</v>
      </c>
      <c r="N59" s="2" t="s">
        <v>136</v>
      </c>
      <c r="O59" s="2" t="s">
        <v>105</v>
      </c>
      <c r="P59" s="2"/>
      <c r="Q59" s="2"/>
      <c r="R59" s="2"/>
      <c r="S59" s="2" t="s">
        <v>123</v>
      </c>
      <c r="T59" s="2" t="s">
        <v>132</v>
      </c>
      <c r="U59" s="2"/>
      <c r="V59" s="2" t="s">
        <v>112</v>
      </c>
      <c r="W59" s="2"/>
      <c r="X59" s="2"/>
      <c r="Y59" s="2" t="s">
        <v>114</v>
      </c>
      <c r="Z59" s="2"/>
      <c r="AA59" s="2"/>
      <c r="AB59" s="2" t="s">
        <v>138</v>
      </c>
      <c r="AC59" s="2" t="s">
        <v>103</v>
      </c>
      <c r="AD59" s="2" t="s">
        <v>114</v>
      </c>
      <c r="AE59" s="2"/>
      <c r="AF59" s="2" t="s">
        <v>114</v>
      </c>
      <c r="AG59" s="2" t="s">
        <v>103</v>
      </c>
      <c r="AH59" s="2"/>
      <c r="AI59" s="2"/>
      <c r="AJ59" s="2" t="s">
        <v>125</v>
      </c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 t="s">
        <v>114</v>
      </c>
      <c r="AW59" s="2" t="s">
        <v>113</v>
      </c>
      <c r="AX59" s="2"/>
      <c r="AY59" s="2" t="s">
        <v>122</v>
      </c>
      <c r="AZ59" s="2"/>
      <c r="BA59" s="2"/>
      <c r="BB59" s="2"/>
      <c r="BC59" s="2"/>
      <c r="BD59" s="2"/>
      <c r="BE59" s="2"/>
      <c r="BF59" s="2">
        <f>3/4</f>
        <v>0.75</v>
      </c>
      <c r="BG59" s="2" t="s">
        <v>109</v>
      </c>
      <c r="BH59" s="2"/>
      <c r="BI59" s="2"/>
      <c r="BJ59" s="2">
        <f>1/2</f>
        <v>0.5</v>
      </c>
      <c r="BK59" s="2" t="s">
        <v>119</v>
      </c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>
        <f t="shared" si="6"/>
        <v>0.5</v>
      </c>
      <c r="CD59" s="2" t="s">
        <v>139</v>
      </c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3"/>
      <c r="CW59" s="3"/>
      <c r="CX59" s="3"/>
      <c r="CY59" s="3"/>
    </row>
    <row r="60" ht="15.75" customHeight="1">
      <c r="A60" s="2" t="s">
        <v>116</v>
      </c>
      <c r="B60" s="2" t="s">
        <v>126</v>
      </c>
      <c r="C60" s="2" t="s">
        <v>104</v>
      </c>
      <c r="D60" s="3"/>
      <c r="E60" s="2" t="s">
        <v>103</v>
      </c>
      <c r="F60" s="2"/>
      <c r="G60" s="2"/>
      <c r="H60" s="2" t="s">
        <v>107</v>
      </c>
      <c r="I60" s="2" t="s">
        <v>147</v>
      </c>
      <c r="J60" s="2" t="s">
        <v>105</v>
      </c>
      <c r="K60" s="2"/>
      <c r="L60" s="2" t="s">
        <v>148</v>
      </c>
      <c r="M60" s="2" t="s">
        <v>121</v>
      </c>
      <c r="N60" s="2" t="s">
        <v>136</v>
      </c>
      <c r="O60" s="2" t="s">
        <v>105</v>
      </c>
      <c r="P60" s="2"/>
      <c r="Q60" s="2"/>
      <c r="R60" s="2"/>
      <c r="S60" s="2" t="s">
        <v>123</v>
      </c>
      <c r="T60" s="2" t="s">
        <v>132</v>
      </c>
      <c r="U60" s="2"/>
      <c r="V60" s="2" t="s">
        <v>119</v>
      </c>
      <c r="W60" s="2"/>
      <c r="X60" s="2"/>
      <c r="Y60" s="2" t="s">
        <v>114</v>
      </c>
      <c r="Z60" s="2"/>
      <c r="AA60" s="2" t="s">
        <v>114</v>
      </c>
      <c r="AB60" s="2" t="s">
        <v>138</v>
      </c>
      <c r="AC60" s="2" t="s">
        <v>103</v>
      </c>
      <c r="AD60" s="2" t="s">
        <v>138</v>
      </c>
      <c r="AE60" s="2"/>
      <c r="AF60" s="2" t="s">
        <v>166</v>
      </c>
      <c r="AG60" s="2" t="s">
        <v>103</v>
      </c>
      <c r="AH60" s="2"/>
      <c r="AI60" s="2"/>
      <c r="AJ60" s="2" t="s">
        <v>136</v>
      </c>
      <c r="AK60" s="2"/>
      <c r="AL60" s="2" t="s">
        <v>135</v>
      </c>
      <c r="AM60" s="2" t="s">
        <v>114</v>
      </c>
      <c r="AN60" s="2"/>
      <c r="AO60" s="2"/>
      <c r="AP60" s="2"/>
      <c r="AQ60" s="2"/>
      <c r="AR60" s="2"/>
      <c r="AS60" s="2"/>
      <c r="AT60" s="2" t="s">
        <v>135</v>
      </c>
      <c r="AU60" s="2" t="s">
        <v>142</v>
      </c>
      <c r="AV60" s="2" t="s">
        <v>103</v>
      </c>
      <c r="AW60" s="2" t="s">
        <v>119</v>
      </c>
      <c r="AX60" s="2"/>
      <c r="AY60" s="2" t="s">
        <v>107</v>
      </c>
      <c r="AZ60" s="2"/>
      <c r="BA60" s="2"/>
      <c r="BB60" s="2"/>
      <c r="BC60" s="2"/>
      <c r="BD60" s="2" t="s">
        <v>103</v>
      </c>
      <c r="BE60" s="2" t="s">
        <v>105</v>
      </c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 t="s">
        <v>130</v>
      </c>
      <c r="CD60" s="2" t="s">
        <v>110</v>
      </c>
      <c r="CE60" s="2"/>
      <c r="CF60" s="2"/>
      <c r="CG60" s="2"/>
      <c r="CH60" s="2"/>
      <c r="CI60" s="2"/>
      <c r="CJ60" s="2" t="s">
        <v>132</v>
      </c>
      <c r="CK60" s="2" t="s">
        <v>109</v>
      </c>
      <c r="CL60" s="2"/>
      <c r="CM60" s="2"/>
      <c r="CN60" s="2"/>
      <c r="CO60" s="2" t="s">
        <v>112</v>
      </c>
      <c r="CP60" s="2"/>
      <c r="CQ60" s="2"/>
      <c r="CR60" s="2"/>
      <c r="CS60" s="2"/>
      <c r="CT60" s="2"/>
      <c r="CU60" s="2"/>
      <c r="CV60" s="3"/>
      <c r="CW60" s="3"/>
      <c r="CX60" s="2" t="s">
        <v>107</v>
      </c>
      <c r="CY60" s="2" t="s">
        <v>201</v>
      </c>
    </row>
    <row r="61" ht="15.75" customHeight="1">
      <c r="A61" s="2" t="s">
        <v>112</v>
      </c>
      <c r="B61" s="2" t="s">
        <v>126</v>
      </c>
      <c r="C61" s="2" t="s">
        <v>104</v>
      </c>
      <c r="D61" s="3"/>
      <c r="E61" s="2" t="s">
        <v>103</v>
      </c>
      <c r="F61" s="2"/>
      <c r="G61" s="2"/>
      <c r="H61" s="5" t="s">
        <v>120</v>
      </c>
      <c r="I61" s="2" t="s">
        <v>120</v>
      </c>
      <c r="J61" s="2" t="s">
        <v>112</v>
      </c>
      <c r="K61" s="2"/>
      <c r="L61" s="2" t="s">
        <v>127</v>
      </c>
      <c r="M61" s="2" t="s">
        <v>113</v>
      </c>
      <c r="N61" s="2" t="s">
        <v>123</v>
      </c>
      <c r="O61" s="2" t="s">
        <v>135</v>
      </c>
      <c r="P61" s="2"/>
      <c r="Q61" s="2"/>
      <c r="R61" s="2"/>
      <c r="S61" s="2" t="s">
        <v>111</v>
      </c>
      <c r="T61" s="2" t="s">
        <v>132</v>
      </c>
      <c r="U61" s="2"/>
      <c r="V61" s="2" t="s">
        <v>106</v>
      </c>
      <c r="W61" s="2"/>
      <c r="X61" s="2"/>
      <c r="Y61" s="2" t="s">
        <v>114</v>
      </c>
      <c r="Z61" s="2"/>
      <c r="AA61" s="2"/>
      <c r="AB61" s="2" t="s">
        <v>114</v>
      </c>
      <c r="AC61" s="2"/>
      <c r="AD61" s="2" t="s">
        <v>103</v>
      </c>
      <c r="AE61" s="2"/>
      <c r="AF61" s="2"/>
      <c r="AG61" s="2"/>
      <c r="AH61" s="2" t="s">
        <v>103</v>
      </c>
      <c r="AI61" s="2"/>
      <c r="AJ61" s="2" t="s">
        <v>136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 t="s">
        <v>146</v>
      </c>
      <c r="AX61" s="2"/>
      <c r="AY61" s="2" t="s">
        <v>109</v>
      </c>
      <c r="AZ61" s="2"/>
      <c r="BA61" s="2"/>
      <c r="BB61" s="2"/>
      <c r="BC61" s="2"/>
      <c r="BD61" s="2" t="s">
        <v>103</v>
      </c>
      <c r="BE61" s="2" t="s">
        <v>107</v>
      </c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 t="s">
        <v>103</v>
      </c>
      <c r="CD61" s="2" t="s">
        <v>121</v>
      </c>
      <c r="CE61" s="2"/>
      <c r="CF61" s="2"/>
      <c r="CG61" s="2"/>
      <c r="CH61" s="2"/>
      <c r="CI61" s="2"/>
      <c r="CJ61" s="2" t="s">
        <v>156</v>
      </c>
      <c r="CK61" s="2" t="s">
        <v>132</v>
      </c>
      <c r="CL61" s="2"/>
      <c r="CM61" s="2"/>
      <c r="CN61" s="2"/>
      <c r="CO61" s="2" t="s">
        <v>135</v>
      </c>
      <c r="CP61" s="2"/>
      <c r="CQ61" s="2"/>
      <c r="CR61" s="2"/>
      <c r="CS61" s="2"/>
      <c r="CT61" s="2"/>
      <c r="CU61" s="2"/>
      <c r="CV61" s="3"/>
      <c r="CW61" s="3"/>
      <c r="CX61" s="2" t="s">
        <v>119</v>
      </c>
      <c r="CY61" s="2" t="s">
        <v>119</v>
      </c>
    </row>
    <row r="62" ht="15.75" customHeight="1">
      <c r="A62" s="2" t="s">
        <v>103</v>
      </c>
      <c r="B62" s="2" t="s">
        <v>146</v>
      </c>
      <c r="C62" s="2" t="s">
        <v>104</v>
      </c>
      <c r="D62" s="3"/>
      <c r="E62" s="2" t="s">
        <v>103</v>
      </c>
      <c r="F62" s="2"/>
      <c r="G62" s="2"/>
      <c r="H62" s="2" t="s">
        <v>121</v>
      </c>
      <c r="I62" s="2" t="s">
        <v>238</v>
      </c>
      <c r="J62" s="2" t="s">
        <v>123</v>
      </c>
      <c r="K62" s="2"/>
      <c r="L62" s="2" t="s">
        <v>239</v>
      </c>
      <c r="M62" s="2" t="s">
        <v>109</v>
      </c>
      <c r="N62" s="2" t="s">
        <v>136</v>
      </c>
      <c r="O62" s="2" t="s">
        <v>109</v>
      </c>
      <c r="P62" s="2"/>
      <c r="Q62" s="2"/>
      <c r="R62" s="2"/>
      <c r="S62" s="2" t="s">
        <v>131</v>
      </c>
      <c r="T62" s="2" t="s">
        <v>109</v>
      </c>
      <c r="U62" s="2"/>
      <c r="V62" s="2" t="s">
        <v>142</v>
      </c>
      <c r="W62" s="2"/>
      <c r="X62" s="2"/>
      <c r="Y62" s="2" t="s">
        <v>114</v>
      </c>
      <c r="Z62" s="2"/>
      <c r="AA62" s="2"/>
      <c r="AB62" s="2" t="s">
        <v>135</v>
      </c>
      <c r="AC62" s="2" t="s">
        <v>130</v>
      </c>
      <c r="AD62" s="2" t="s">
        <v>135</v>
      </c>
      <c r="AE62" s="2" t="s">
        <v>114</v>
      </c>
      <c r="AF62" s="2" t="s">
        <v>130</v>
      </c>
      <c r="AG62" s="2"/>
      <c r="AH62" s="2"/>
      <c r="AI62" s="2"/>
      <c r="AJ62" s="2" t="s">
        <v>108</v>
      </c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 t="s">
        <v>114</v>
      </c>
      <c r="AW62" s="2" t="s">
        <v>119</v>
      </c>
      <c r="AX62" s="2"/>
      <c r="AY62" s="2" t="s">
        <v>240</v>
      </c>
      <c r="AZ62" s="2"/>
      <c r="BA62" s="2"/>
      <c r="BB62" s="2" t="s">
        <v>103</v>
      </c>
      <c r="BC62" s="2" t="s">
        <v>132</v>
      </c>
      <c r="BD62" s="2"/>
      <c r="BE62" s="2"/>
      <c r="BF62" s="2" t="s">
        <v>138</v>
      </c>
      <c r="BG62" s="2" t="s">
        <v>145</v>
      </c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 t="s">
        <v>103</v>
      </c>
      <c r="CD62" s="2" t="s">
        <v>199</v>
      </c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3"/>
      <c r="CW62" s="3"/>
      <c r="CX62" s="2" t="s">
        <v>113</v>
      </c>
      <c r="CY62" s="2" t="s">
        <v>132</v>
      </c>
    </row>
    <row r="63" ht="15.75" customHeight="1">
      <c r="A63" s="2" t="s">
        <v>114</v>
      </c>
      <c r="B63" s="2" t="s">
        <v>146</v>
      </c>
      <c r="C63" s="2" t="s">
        <v>104</v>
      </c>
      <c r="D63" s="3"/>
      <c r="E63" s="2" t="s">
        <v>103</v>
      </c>
      <c r="F63" s="2"/>
      <c r="G63" s="2"/>
      <c r="H63" s="2" t="s">
        <v>120</v>
      </c>
      <c r="I63" s="2" t="s">
        <v>169</v>
      </c>
      <c r="J63" s="2" t="s">
        <v>132</v>
      </c>
      <c r="K63" s="2"/>
      <c r="L63" s="2" t="s">
        <v>108</v>
      </c>
      <c r="M63" s="2" t="s">
        <v>132</v>
      </c>
      <c r="N63" s="2" t="s">
        <v>160</v>
      </c>
      <c r="O63" s="2"/>
      <c r="P63" s="2"/>
      <c r="Q63" s="2"/>
      <c r="R63" s="2"/>
      <c r="S63" s="2" t="s">
        <v>160</v>
      </c>
      <c r="T63" s="2" t="s">
        <v>113</v>
      </c>
      <c r="U63" s="2"/>
      <c r="V63" s="2" t="s">
        <v>113</v>
      </c>
      <c r="W63" s="2"/>
      <c r="X63" s="2"/>
      <c r="Y63" s="2" t="s">
        <v>114</v>
      </c>
      <c r="Z63" s="2"/>
      <c r="AA63" s="2"/>
      <c r="AB63" s="2" t="s">
        <v>130</v>
      </c>
      <c r="AC63" s="2"/>
      <c r="AD63" s="2" t="s">
        <v>130</v>
      </c>
      <c r="AE63" s="2"/>
      <c r="AF63" s="2"/>
      <c r="AG63" s="2"/>
      <c r="AH63" s="2"/>
      <c r="AI63" s="2"/>
      <c r="AJ63" s="2" t="s">
        <v>111</v>
      </c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 t="s">
        <v>119</v>
      </c>
      <c r="AX63" s="2"/>
      <c r="AY63" s="2" t="s">
        <v>109</v>
      </c>
      <c r="AZ63" s="2"/>
      <c r="BA63" s="2"/>
      <c r="BB63" s="2" t="s">
        <v>114</v>
      </c>
      <c r="BC63" s="2" t="s">
        <v>120</v>
      </c>
      <c r="BD63" s="2"/>
      <c r="BE63" s="2"/>
      <c r="BF63" s="2" t="s">
        <v>146</v>
      </c>
      <c r="BG63" s="2" t="s">
        <v>160</v>
      </c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 t="s">
        <v>103</v>
      </c>
      <c r="CD63" s="2" t="s">
        <v>123</v>
      </c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3"/>
      <c r="CW63" s="3"/>
      <c r="CX63" s="2" t="s">
        <v>113</v>
      </c>
      <c r="CY63" s="2" t="s">
        <v>113</v>
      </c>
    </row>
    <row r="64" ht="15.75" customHeight="1">
      <c r="A64" s="2" t="s">
        <v>130</v>
      </c>
      <c r="B64" s="2" t="s">
        <v>146</v>
      </c>
      <c r="C64" s="2" t="s">
        <v>104</v>
      </c>
      <c r="D64" s="3"/>
      <c r="E64" s="2" t="s">
        <v>103</v>
      </c>
      <c r="F64" s="2"/>
      <c r="G64" s="2"/>
      <c r="H64" s="2" t="s">
        <v>109</v>
      </c>
      <c r="I64" s="2" t="s">
        <v>158</v>
      </c>
      <c r="J64" s="2" t="s">
        <v>132</v>
      </c>
      <c r="K64" s="2" t="s">
        <v>109</v>
      </c>
      <c r="L64" s="2" t="s">
        <v>108</v>
      </c>
      <c r="M64" s="2" t="s">
        <v>105</v>
      </c>
      <c r="N64" s="2" t="s">
        <v>111</v>
      </c>
      <c r="O64" s="2"/>
      <c r="P64" s="2"/>
      <c r="Q64" s="2"/>
      <c r="R64" s="2"/>
      <c r="S64" s="2" t="s">
        <v>123</v>
      </c>
      <c r="T64" s="2" t="s">
        <v>146</v>
      </c>
      <c r="U64" s="2"/>
      <c r="V64" s="2" t="s">
        <v>146</v>
      </c>
      <c r="W64" s="2"/>
      <c r="X64" s="2"/>
      <c r="Y64" s="2" t="s">
        <v>114</v>
      </c>
      <c r="Z64" s="2"/>
      <c r="AA64" s="2"/>
      <c r="AB64" s="2" t="s">
        <v>130</v>
      </c>
      <c r="AC64" s="2" t="s">
        <v>114</v>
      </c>
      <c r="AD64" s="2" t="s">
        <v>130</v>
      </c>
      <c r="AE64" s="2" t="s">
        <v>114</v>
      </c>
      <c r="AF64" s="2" t="s">
        <v>114</v>
      </c>
      <c r="AG64" s="2"/>
      <c r="AH64" s="2"/>
      <c r="AI64" s="2"/>
      <c r="AJ64" s="2" t="s">
        <v>121</v>
      </c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 t="s">
        <v>114</v>
      </c>
      <c r="AW64" s="2" t="s">
        <v>119</v>
      </c>
      <c r="AX64" s="2"/>
      <c r="AY64" s="2" t="s">
        <v>107</v>
      </c>
      <c r="AZ64" s="2"/>
      <c r="BA64" s="2"/>
      <c r="BB64" s="2" t="s">
        <v>130</v>
      </c>
      <c r="BC64" s="2" t="s">
        <v>142</v>
      </c>
      <c r="BD64" s="2"/>
      <c r="BE64" s="2"/>
      <c r="BF64" s="2" t="s">
        <v>135</v>
      </c>
      <c r="BG64" s="2" t="s">
        <v>111</v>
      </c>
      <c r="BH64" s="2"/>
      <c r="BI64" s="2"/>
      <c r="BJ64" s="2">
        <f>1/4</f>
        <v>0.25</v>
      </c>
      <c r="BK64" s="2" t="s">
        <v>120</v>
      </c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 t="s">
        <v>114</v>
      </c>
      <c r="CD64" s="2" t="s">
        <v>136</v>
      </c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3"/>
      <c r="CW64" s="3"/>
      <c r="CX64" s="2" t="s">
        <v>147</v>
      </c>
      <c r="CY64" s="2" t="s">
        <v>122</v>
      </c>
    </row>
    <row r="65" ht="15.75" customHeight="1">
      <c r="A65" s="2" t="s">
        <v>138</v>
      </c>
      <c r="B65" s="2" t="s">
        <v>146</v>
      </c>
      <c r="C65" s="2" t="s">
        <v>104</v>
      </c>
      <c r="D65" s="3"/>
      <c r="E65" s="2" t="s">
        <v>103</v>
      </c>
      <c r="F65" s="2"/>
      <c r="G65" s="2"/>
      <c r="H65" s="2" t="s">
        <v>120</v>
      </c>
      <c r="I65" s="2" t="s">
        <v>241</v>
      </c>
      <c r="J65" s="2" t="s">
        <v>132</v>
      </c>
      <c r="K65" s="2"/>
      <c r="L65" s="2" t="s">
        <v>136</v>
      </c>
      <c r="M65" s="2" t="s">
        <v>132</v>
      </c>
      <c r="N65" s="2" t="s">
        <v>121</v>
      </c>
      <c r="O65" s="2"/>
      <c r="P65" s="2"/>
      <c r="Q65" s="2"/>
      <c r="R65" s="2"/>
      <c r="S65" s="2" t="s">
        <v>122</v>
      </c>
      <c r="T65" s="2" t="s">
        <v>126</v>
      </c>
      <c r="U65" s="2"/>
      <c r="V65" s="2" t="s">
        <v>126</v>
      </c>
      <c r="W65" s="2"/>
      <c r="X65" s="2"/>
      <c r="Y65" s="2"/>
      <c r="Z65" s="2"/>
      <c r="AA65" s="2" t="s">
        <v>114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 t="s">
        <v>103</v>
      </c>
      <c r="CD65" s="5" t="s">
        <v>133</v>
      </c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3"/>
      <c r="CW65" s="3"/>
      <c r="CX65" s="2" t="s">
        <v>112</v>
      </c>
      <c r="CY65" s="2" t="s">
        <v>112</v>
      </c>
    </row>
    <row r="66" ht="15.75" customHeight="1">
      <c r="A66" s="2" t="s">
        <v>135</v>
      </c>
      <c r="B66" s="2" t="s">
        <v>146</v>
      </c>
      <c r="C66" s="2" t="s">
        <v>104</v>
      </c>
      <c r="D66" s="3"/>
      <c r="E66" s="2" t="s">
        <v>103</v>
      </c>
      <c r="F66" s="2"/>
      <c r="G66" s="2"/>
      <c r="H66" s="2" t="s">
        <v>105</v>
      </c>
      <c r="I66" s="2" t="s">
        <v>132</v>
      </c>
      <c r="J66" s="2" t="s">
        <v>121</v>
      </c>
      <c r="K66" s="2"/>
      <c r="L66" s="2" t="s">
        <v>125</v>
      </c>
      <c r="M66" s="2" t="s">
        <v>107</v>
      </c>
      <c r="N66" s="2" t="s">
        <v>110</v>
      </c>
      <c r="O66" s="2"/>
      <c r="P66" s="2"/>
      <c r="Q66" s="2"/>
      <c r="R66" s="2"/>
      <c r="S66" s="2" t="s">
        <v>121</v>
      </c>
      <c r="T66" s="2" t="s">
        <v>138</v>
      </c>
      <c r="U66" s="2"/>
      <c r="V66" s="2" t="s">
        <v>114</v>
      </c>
      <c r="W66" s="2"/>
      <c r="X66" s="2"/>
      <c r="Y66" s="2" t="s">
        <v>130</v>
      </c>
      <c r="Z66" s="2"/>
      <c r="AA66" s="2" t="s">
        <v>114</v>
      </c>
      <c r="AB66" s="2" t="s">
        <v>114</v>
      </c>
      <c r="AC66" s="2" t="s">
        <v>114</v>
      </c>
      <c r="AD66" s="2" t="s">
        <v>114</v>
      </c>
      <c r="AE66" s="2" t="s">
        <v>103</v>
      </c>
      <c r="AF66" s="2" t="s">
        <v>103</v>
      </c>
      <c r="AG66" s="2"/>
      <c r="AH66" s="2" t="s">
        <v>103</v>
      </c>
      <c r="AI66" s="2"/>
      <c r="AJ66" s="2" t="s">
        <v>121</v>
      </c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 t="s">
        <v>114</v>
      </c>
      <c r="AW66" s="2" t="s">
        <v>113</v>
      </c>
      <c r="AX66" s="2" t="s">
        <v>130</v>
      </c>
      <c r="AY66" s="2" t="s">
        <v>122</v>
      </c>
      <c r="AZ66" s="2"/>
      <c r="BA66" s="2"/>
      <c r="BB66" s="2"/>
      <c r="BC66" s="2"/>
      <c r="BD66" s="2"/>
      <c r="BE66" s="2"/>
      <c r="BF66" s="2" t="s">
        <v>103</v>
      </c>
      <c r="BG66" s="2" t="s">
        <v>158</v>
      </c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 t="s">
        <v>103</v>
      </c>
      <c r="CD66" s="2" t="s">
        <v>123</v>
      </c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 t="s">
        <v>107</v>
      </c>
      <c r="CW66" s="3"/>
      <c r="CX66" s="2" t="s">
        <v>120</v>
      </c>
      <c r="CY66" s="2" t="s">
        <v>120</v>
      </c>
    </row>
    <row r="67" ht="15.75" customHeight="1">
      <c r="A67" s="2" t="s">
        <v>126</v>
      </c>
      <c r="B67" s="2" t="s">
        <v>146</v>
      </c>
      <c r="C67" s="2" t="s">
        <v>104</v>
      </c>
      <c r="D67" s="3"/>
      <c r="E67" s="2" t="s">
        <v>103</v>
      </c>
      <c r="F67" s="2"/>
      <c r="G67" s="2"/>
      <c r="H67" s="2" t="s">
        <v>139</v>
      </c>
      <c r="I67" s="2" t="s">
        <v>140</v>
      </c>
      <c r="J67" s="2" t="s">
        <v>109</v>
      </c>
      <c r="K67" s="2"/>
      <c r="L67" s="2" t="s">
        <v>204</v>
      </c>
      <c r="M67" s="2" t="s">
        <v>121</v>
      </c>
      <c r="N67" s="2" t="s">
        <v>110</v>
      </c>
      <c r="O67" s="2"/>
      <c r="P67" s="2"/>
      <c r="Q67" s="2"/>
      <c r="R67" s="2"/>
      <c r="S67" s="2" t="s">
        <v>110</v>
      </c>
      <c r="T67" s="2" t="s">
        <v>109</v>
      </c>
      <c r="U67" s="2"/>
      <c r="V67" s="2" t="s">
        <v>142</v>
      </c>
      <c r="W67" s="2"/>
      <c r="X67" s="2"/>
      <c r="Y67" s="2" t="s">
        <v>114</v>
      </c>
      <c r="Z67" s="2"/>
      <c r="AA67" s="2" t="s">
        <v>114</v>
      </c>
      <c r="AB67" s="2" t="s">
        <v>130</v>
      </c>
      <c r="AC67" s="2"/>
      <c r="AD67" s="2" t="s">
        <v>114</v>
      </c>
      <c r="AE67" s="2" t="s">
        <v>114</v>
      </c>
      <c r="AF67" s="2" t="s">
        <v>103</v>
      </c>
      <c r="AG67" s="2"/>
      <c r="AH67" s="2" t="s">
        <v>103</v>
      </c>
      <c r="AI67" s="2"/>
      <c r="AJ67" s="2" t="s">
        <v>125</v>
      </c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 t="s">
        <v>103</v>
      </c>
      <c r="AW67" s="2" t="s">
        <v>116</v>
      </c>
      <c r="AX67" s="2"/>
      <c r="AY67" s="2" t="s">
        <v>107</v>
      </c>
      <c r="AZ67" s="2"/>
      <c r="BA67" s="2"/>
      <c r="BB67" s="2" t="s">
        <v>130</v>
      </c>
      <c r="BC67" s="2" t="s">
        <v>242</v>
      </c>
      <c r="BD67" s="2">
        <f>1/2</f>
        <v>0.5</v>
      </c>
      <c r="BE67" s="2" t="s">
        <v>107</v>
      </c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>
        <f>3/4</f>
        <v>0.75</v>
      </c>
      <c r="CD67" s="2" t="s">
        <v>121</v>
      </c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3"/>
      <c r="CW67" s="3"/>
      <c r="CX67" s="2" t="s">
        <v>132</v>
      </c>
      <c r="CY67" s="2" t="s">
        <v>105</v>
      </c>
    </row>
    <row r="68" ht="15.75" customHeight="1">
      <c r="A68" s="2" t="s">
        <v>146</v>
      </c>
      <c r="B68" s="2" t="s">
        <v>146</v>
      </c>
      <c r="C68" s="2" t="s">
        <v>104</v>
      </c>
      <c r="D68" s="3"/>
      <c r="E68" s="2" t="s">
        <v>103</v>
      </c>
      <c r="F68" s="2"/>
      <c r="G68" s="2"/>
      <c r="H68" s="2" t="s">
        <v>139</v>
      </c>
      <c r="I68" s="2" t="s">
        <v>146</v>
      </c>
      <c r="J68" s="2" t="s">
        <v>120</v>
      </c>
      <c r="K68" s="2"/>
      <c r="L68" s="2" t="s">
        <v>134</v>
      </c>
      <c r="M68" s="2" t="s">
        <v>121</v>
      </c>
      <c r="N68" s="2" t="s">
        <v>125</v>
      </c>
      <c r="O68" s="2" t="s">
        <v>120</v>
      </c>
      <c r="P68" s="2"/>
      <c r="Q68" s="2"/>
      <c r="R68" s="2"/>
      <c r="S68" s="2" t="s">
        <v>110</v>
      </c>
      <c r="T68" s="2" t="s">
        <v>109</v>
      </c>
      <c r="U68" s="2"/>
      <c r="V68" s="2" t="s">
        <v>120</v>
      </c>
      <c r="W68" s="2"/>
      <c r="X68" s="2"/>
      <c r="Y68" s="2" t="s">
        <v>130</v>
      </c>
      <c r="Z68" s="2"/>
      <c r="AA68" s="2"/>
      <c r="AB68" s="2" t="s">
        <v>135</v>
      </c>
      <c r="AC68" s="2" t="s">
        <v>130</v>
      </c>
      <c r="AD68" s="2" t="s">
        <v>138</v>
      </c>
      <c r="AE68" s="2"/>
      <c r="AF68" s="2" t="s">
        <v>135</v>
      </c>
      <c r="AG68" s="2"/>
      <c r="AH68" s="2"/>
      <c r="AI68" s="2"/>
      <c r="AJ68" s="2" t="s">
        <v>125</v>
      </c>
      <c r="AK68" s="2"/>
      <c r="AL68" s="2" t="s">
        <v>135</v>
      </c>
      <c r="AM68" s="2" t="s">
        <v>103</v>
      </c>
      <c r="AN68" s="2"/>
      <c r="AO68" s="2" t="s">
        <v>103</v>
      </c>
      <c r="AP68" s="2"/>
      <c r="AQ68" s="2"/>
      <c r="AR68" s="2" t="s">
        <v>103</v>
      </c>
      <c r="AS68" s="2"/>
      <c r="AT68" s="2" t="s">
        <v>135</v>
      </c>
      <c r="AU68" s="2" t="s">
        <v>142</v>
      </c>
      <c r="AV68" s="2" t="s">
        <v>114</v>
      </c>
      <c r="AW68" s="2" t="s">
        <v>156</v>
      </c>
      <c r="AX68" s="2" t="s">
        <v>114</v>
      </c>
      <c r="AY68" s="2" t="s">
        <v>139</v>
      </c>
      <c r="AZ68" s="2"/>
      <c r="BA68" s="2"/>
      <c r="BB68" s="2" t="s">
        <v>103</v>
      </c>
      <c r="BC68" s="2" t="s">
        <v>105</v>
      </c>
      <c r="BD68" s="2">
        <f>3/4</f>
        <v>0.75</v>
      </c>
      <c r="BE68" s="2" t="s">
        <v>105</v>
      </c>
      <c r="BF68" s="2" t="s">
        <v>138</v>
      </c>
      <c r="BG68" s="2" t="s">
        <v>121</v>
      </c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 t="s">
        <v>103</v>
      </c>
      <c r="CD68" s="2" t="s">
        <v>121</v>
      </c>
      <c r="CE68" s="2"/>
      <c r="CF68" s="2"/>
      <c r="CG68" s="2"/>
      <c r="CH68" s="2"/>
      <c r="CI68" s="2"/>
      <c r="CJ68" s="2" t="s">
        <v>120</v>
      </c>
      <c r="CK68" s="2" t="s">
        <v>132</v>
      </c>
      <c r="CL68" s="2"/>
      <c r="CM68" s="2"/>
      <c r="CN68" s="2"/>
      <c r="CO68" s="2" t="s">
        <v>135</v>
      </c>
      <c r="CP68" s="2"/>
      <c r="CQ68" s="2"/>
      <c r="CR68" s="2"/>
      <c r="CS68" s="2"/>
      <c r="CT68" s="2"/>
      <c r="CU68" s="2"/>
      <c r="CV68" s="3"/>
      <c r="CW68" s="3"/>
      <c r="CX68" s="2" t="s">
        <v>105</v>
      </c>
      <c r="CY68" s="2" t="s">
        <v>109</v>
      </c>
    </row>
    <row r="69" ht="15.75" customHeight="1">
      <c r="A69" s="2" t="s">
        <v>115</v>
      </c>
      <c r="B69" s="2" t="s">
        <v>146</v>
      </c>
      <c r="C69" s="2" t="s">
        <v>104</v>
      </c>
      <c r="D69" s="3"/>
      <c r="E69" s="2" t="s">
        <v>103</v>
      </c>
      <c r="F69" s="2"/>
      <c r="G69" s="2"/>
      <c r="H69" s="2" t="s">
        <v>120</v>
      </c>
      <c r="I69" s="2" t="s">
        <v>105</v>
      </c>
      <c r="J69" s="2" t="s">
        <v>155</v>
      </c>
      <c r="K69" s="2"/>
      <c r="L69" s="2" t="s">
        <v>182</v>
      </c>
      <c r="M69" s="2" t="s">
        <v>109</v>
      </c>
      <c r="N69" s="2" t="s">
        <v>123</v>
      </c>
      <c r="O69" s="2"/>
      <c r="P69" s="2"/>
      <c r="Q69" s="2"/>
      <c r="R69" s="2"/>
      <c r="S69" s="2" t="s">
        <v>111</v>
      </c>
      <c r="T69" s="2" t="s">
        <v>113</v>
      </c>
      <c r="U69" s="2"/>
      <c r="V69" s="2" t="s">
        <v>113</v>
      </c>
      <c r="W69" s="2"/>
      <c r="X69" s="2"/>
      <c r="Y69" s="2" t="s">
        <v>114</v>
      </c>
      <c r="Z69" s="2"/>
      <c r="AA69" s="2"/>
      <c r="AB69" s="2" t="s">
        <v>114</v>
      </c>
      <c r="AC69" s="2"/>
      <c r="AD69" s="2" t="s">
        <v>114</v>
      </c>
      <c r="AE69" s="2"/>
      <c r="AF69" s="2"/>
      <c r="AG69" s="2"/>
      <c r="AH69" s="2"/>
      <c r="AI69" s="2"/>
      <c r="AJ69" s="2" t="s">
        <v>111</v>
      </c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 t="s">
        <v>115</v>
      </c>
      <c r="AX69" s="2" t="s">
        <v>135</v>
      </c>
      <c r="AY69" s="2" t="s">
        <v>109</v>
      </c>
      <c r="AZ69" s="2"/>
      <c r="BA69" s="2"/>
      <c r="BB69" s="2"/>
      <c r="BC69" s="2"/>
      <c r="BD69" s="2" t="s">
        <v>103</v>
      </c>
      <c r="BE69" s="2" t="s">
        <v>132</v>
      </c>
      <c r="BF69" s="2" t="s">
        <v>114</v>
      </c>
      <c r="BG69" s="2" t="s">
        <v>107</v>
      </c>
      <c r="BH69" s="2"/>
      <c r="BI69" s="2"/>
      <c r="BJ69" s="2"/>
      <c r="BK69" s="2"/>
      <c r="BL69" s="2"/>
      <c r="BM69" s="2" t="s">
        <v>103</v>
      </c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 t="s">
        <v>103</v>
      </c>
      <c r="CD69" s="2" t="s">
        <v>150</v>
      </c>
      <c r="CE69" s="2"/>
      <c r="CF69" s="2"/>
      <c r="CG69" s="2"/>
      <c r="CH69" s="2"/>
      <c r="CI69" s="2" t="s">
        <v>114</v>
      </c>
      <c r="CJ69" s="2" t="s">
        <v>112</v>
      </c>
      <c r="CK69" s="2" t="s">
        <v>120</v>
      </c>
      <c r="CL69" s="2"/>
      <c r="CM69" s="2"/>
      <c r="CN69" s="2"/>
      <c r="CO69" s="2" t="s">
        <v>115</v>
      </c>
      <c r="CP69" s="2"/>
      <c r="CQ69" s="2"/>
      <c r="CR69" s="2"/>
      <c r="CS69" s="2"/>
      <c r="CT69" s="2"/>
      <c r="CU69" s="2"/>
      <c r="CV69" s="3"/>
      <c r="CW69" s="3"/>
      <c r="CX69" s="2" t="s">
        <v>105</v>
      </c>
      <c r="CY69" s="2" t="s">
        <v>109</v>
      </c>
    </row>
    <row r="70" ht="15.75" customHeight="1">
      <c r="A70" s="2" t="s">
        <v>116</v>
      </c>
      <c r="B70" s="2" t="s">
        <v>146</v>
      </c>
      <c r="C70" s="2" t="s">
        <v>104</v>
      </c>
      <c r="D70" s="3"/>
      <c r="E70" s="2" t="s">
        <v>103</v>
      </c>
      <c r="F70" s="2"/>
      <c r="G70" s="2"/>
      <c r="H70" s="2" t="s">
        <v>122</v>
      </c>
      <c r="I70" s="2" t="s">
        <v>172</v>
      </c>
      <c r="J70" s="2" t="s">
        <v>122</v>
      </c>
      <c r="K70" s="2"/>
      <c r="L70" s="2" t="s">
        <v>127</v>
      </c>
      <c r="M70" s="2" t="s">
        <v>122</v>
      </c>
      <c r="N70" s="2" t="s">
        <v>243</v>
      </c>
      <c r="O70" s="2" t="s">
        <v>105</v>
      </c>
      <c r="P70" s="2"/>
      <c r="Q70" s="2"/>
      <c r="R70" s="2"/>
      <c r="S70" s="2" t="s">
        <v>131</v>
      </c>
      <c r="T70" s="2" t="s">
        <v>132</v>
      </c>
      <c r="U70" s="2"/>
      <c r="V70" s="2" t="s">
        <v>120</v>
      </c>
      <c r="W70" s="2"/>
      <c r="X70" s="2"/>
      <c r="Y70" s="2" t="s">
        <v>114</v>
      </c>
      <c r="Z70" s="2"/>
      <c r="AA70" s="2"/>
      <c r="AB70" s="2" t="s">
        <v>146</v>
      </c>
      <c r="AC70" s="2"/>
      <c r="AD70" s="2" t="s">
        <v>126</v>
      </c>
      <c r="AE70" s="2"/>
      <c r="AF70" s="2" t="s">
        <v>114</v>
      </c>
      <c r="AG70" s="2" t="s">
        <v>103</v>
      </c>
      <c r="AH70" s="2"/>
      <c r="AI70" s="2"/>
      <c r="AJ70" s="2" t="s">
        <v>148</v>
      </c>
      <c r="AK70" s="2"/>
      <c r="AL70" s="2"/>
      <c r="AM70" s="2"/>
      <c r="AN70" s="2"/>
      <c r="AO70" s="2"/>
      <c r="AP70" s="2"/>
      <c r="AQ70" s="2"/>
      <c r="AR70" s="2" t="s">
        <v>103</v>
      </c>
      <c r="AS70" s="2"/>
      <c r="AT70" s="2"/>
      <c r="AU70" s="2"/>
      <c r="AV70" s="2" t="s">
        <v>130</v>
      </c>
      <c r="AW70" s="2" t="s">
        <v>116</v>
      </c>
      <c r="AX70" s="2" t="s">
        <v>146</v>
      </c>
      <c r="AY70" s="2" t="s">
        <v>122</v>
      </c>
      <c r="AZ70" s="2"/>
      <c r="BA70" s="2"/>
      <c r="BB70" s="2" t="s">
        <v>103</v>
      </c>
      <c r="BC70" s="2" t="s">
        <v>120</v>
      </c>
      <c r="BD70" s="2" t="s">
        <v>103</v>
      </c>
      <c r="BE70" s="2" t="s">
        <v>132</v>
      </c>
      <c r="BF70" s="2" t="s">
        <v>130</v>
      </c>
      <c r="BG70" s="2" t="s">
        <v>121</v>
      </c>
      <c r="BH70" s="2"/>
      <c r="BI70" s="2"/>
      <c r="BJ70" s="2"/>
      <c r="BK70" s="2"/>
      <c r="BL70" s="2"/>
      <c r="BM70" s="2" t="s">
        <v>114</v>
      </c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>
        <f>3/4</f>
        <v>0.75</v>
      </c>
      <c r="CD70" s="2" t="s">
        <v>121</v>
      </c>
      <c r="CE70" s="2"/>
      <c r="CF70" s="2"/>
      <c r="CG70" s="2"/>
      <c r="CH70" s="2"/>
      <c r="CI70" s="2"/>
      <c r="CJ70" s="2" t="s">
        <v>132</v>
      </c>
      <c r="CK70" s="2" t="s">
        <v>119</v>
      </c>
      <c r="CL70" s="2"/>
      <c r="CM70" s="2"/>
      <c r="CN70" s="2"/>
      <c r="CO70" s="2" t="s">
        <v>130</v>
      </c>
      <c r="CP70" s="2"/>
      <c r="CQ70" s="2"/>
      <c r="CR70" s="2"/>
      <c r="CS70" s="2"/>
      <c r="CT70" s="2"/>
      <c r="CU70" s="2"/>
      <c r="CV70" s="3"/>
      <c r="CW70" s="3"/>
      <c r="CX70" s="2" t="s">
        <v>107</v>
      </c>
      <c r="CY70" s="5" t="s">
        <v>122</v>
      </c>
    </row>
    <row r="71" ht="15.75" customHeight="1">
      <c r="A71" s="2" t="s">
        <v>112</v>
      </c>
      <c r="B71" s="2" t="s">
        <v>146</v>
      </c>
      <c r="C71" s="2" t="s">
        <v>104</v>
      </c>
      <c r="D71" s="3"/>
      <c r="E71" s="2" t="s">
        <v>103</v>
      </c>
      <c r="F71" s="2"/>
      <c r="G71" s="2"/>
      <c r="H71" s="5" t="s">
        <v>120</v>
      </c>
      <c r="I71" s="2" t="s">
        <v>212</v>
      </c>
      <c r="J71" s="2" t="s">
        <v>107</v>
      </c>
      <c r="K71" s="2"/>
      <c r="L71" s="2" t="s">
        <v>204</v>
      </c>
      <c r="M71" s="2" t="s">
        <v>109</v>
      </c>
      <c r="N71" s="2" t="s">
        <v>111</v>
      </c>
      <c r="O71" s="2"/>
      <c r="P71" s="2"/>
      <c r="Q71" s="2"/>
      <c r="R71" s="2"/>
      <c r="S71" s="2" t="s">
        <v>160</v>
      </c>
      <c r="T71" s="2" t="s">
        <v>132</v>
      </c>
      <c r="U71" s="2"/>
      <c r="V71" s="2" t="s">
        <v>132</v>
      </c>
      <c r="W71" s="2"/>
      <c r="X71" s="2"/>
      <c r="Y71" s="2" t="s">
        <v>103</v>
      </c>
      <c r="Z71" s="2"/>
      <c r="AA71" s="2"/>
      <c r="AB71" s="2" t="s">
        <v>130</v>
      </c>
      <c r="AC71" s="2" t="s">
        <v>138</v>
      </c>
      <c r="AD71" s="2" t="s">
        <v>130</v>
      </c>
      <c r="AE71" s="2"/>
      <c r="AF71" s="2"/>
      <c r="AG71" s="2"/>
      <c r="AH71" s="2"/>
      <c r="AI71" s="2"/>
      <c r="AJ71" s="2" t="s">
        <v>110</v>
      </c>
      <c r="AK71" s="2"/>
      <c r="AL71" s="2" t="s">
        <v>103</v>
      </c>
      <c r="AM71" s="2"/>
      <c r="AN71" s="2"/>
      <c r="AO71" s="2"/>
      <c r="AP71" s="2"/>
      <c r="AQ71" s="2"/>
      <c r="AR71" s="2"/>
      <c r="AS71" s="2"/>
      <c r="AT71" s="2" t="s">
        <v>103</v>
      </c>
      <c r="AU71" s="2" t="s">
        <v>146</v>
      </c>
      <c r="AV71" s="2" t="s">
        <v>103</v>
      </c>
      <c r="AW71" s="2" t="s">
        <v>116</v>
      </c>
      <c r="AX71" s="2"/>
      <c r="AY71" s="2" t="s">
        <v>105</v>
      </c>
      <c r="AZ71" s="2"/>
      <c r="BA71" s="2"/>
      <c r="BB71" s="2"/>
      <c r="BC71" s="2"/>
      <c r="BD71" s="2"/>
      <c r="BE71" s="2"/>
      <c r="BF71" s="2" t="s">
        <v>103</v>
      </c>
      <c r="BG71" s="2" t="s">
        <v>105</v>
      </c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 t="s">
        <v>103</v>
      </c>
      <c r="CD71" s="2" t="s">
        <v>121</v>
      </c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3"/>
      <c r="CW71" s="3"/>
      <c r="CX71" s="2" t="s">
        <v>112</v>
      </c>
      <c r="CY71" s="2" t="s">
        <v>112</v>
      </c>
    </row>
    <row r="72" ht="15.75" customHeight="1">
      <c r="A72" s="2" t="s">
        <v>103</v>
      </c>
      <c r="B72" s="2" t="s">
        <v>115</v>
      </c>
      <c r="C72" s="2" t="s">
        <v>104</v>
      </c>
      <c r="D72" s="3"/>
      <c r="E72" s="2" t="s">
        <v>103</v>
      </c>
      <c r="F72" s="2"/>
      <c r="G72" s="2"/>
      <c r="H72" s="2" t="s">
        <v>201</v>
      </c>
      <c r="I72" s="2" t="s">
        <v>147</v>
      </c>
      <c r="J72" s="2" t="s">
        <v>145</v>
      </c>
      <c r="K72" s="2"/>
      <c r="L72" s="2" t="s">
        <v>124</v>
      </c>
      <c r="M72" s="2" t="s">
        <v>111</v>
      </c>
      <c r="N72" s="2" t="s">
        <v>173</v>
      </c>
      <c r="O72" s="2"/>
      <c r="P72" s="2" t="s">
        <v>105</v>
      </c>
      <c r="Q72" s="2" t="s">
        <v>121</v>
      </c>
      <c r="R72" s="2" t="s">
        <v>166</v>
      </c>
      <c r="S72" s="2" t="s">
        <v>233</v>
      </c>
      <c r="T72" s="2" t="s">
        <v>120</v>
      </c>
      <c r="U72" s="2"/>
      <c r="V72" s="2" t="s">
        <v>107</v>
      </c>
      <c r="W72" s="2"/>
      <c r="X72" s="2"/>
      <c r="Y72" s="2" t="s">
        <v>138</v>
      </c>
      <c r="Z72" s="2"/>
      <c r="AA72" s="2" t="s">
        <v>114</v>
      </c>
      <c r="AB72" s="2" t="s">
        <v>126</v>
      </c>
      <c r="AC72" s="2" t="s">
        <v>146</v>
      </c>
      <c r="AD72" s="2" t="s">
        <v>126</v>
      </c>
      <c r="AE72" s="2" t="s">
        <v>138</v>
      </c>
      <c r="AF72" s="2"/>
      <c r="AG72" s="2"/>
      <c r="AH72" s="2"/>
      <c r="AI72" s="2"/>
      <c r="AJ72" s="2" t="s">
        <v>108</v>
      </c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 t="s">
        <v>130</v>
      </c>
      <c r="AW72" s="2" t="s">
        <v>168</v>
      </c>
      <c r="AX72" s="2"/>
      <c r="AY72" s="2" t="s">
        <v>111</v>
      </c>
      <c r="AZ72" s="2">
        <f>1/2</f>
        <v>0.5</v>
      </c>
      <c r="BA72" s="2" t="s">
        <v>112</v>
      </c>
      <c r="BB72" s="2" t="s">
        <v>103</v>
      </c>
      <c r="BC72" s="2" t="s">
        <v>109</v>
      </c>
      <c r="BD72" s="2" t="s">
        <v>103</v>
      </c>
      <c r="BE72" s="2" t="s">
        <v>107</v>
      </c>
      <c r="BF72" s="2" t="s">
        <v>146</v>
      </c>
      <c r="BG72" s="2" t="s">
        <v>131</v>
      </c>
      <c r="BH72" s="2"/>
      <c r="BI72" s="2"/>
      <c r="BJ72" s="4">
        <f>1 + (1/2)</f>
        <v>1.5</v>
      </c>
      <c r="BK72" s="2" t="s">
        <v>168</v>
      </c>
      <c r="BL72" s="2"/>
      <c r="BM72" s="2" t="s">
        <v>138</v>
      </c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 t="s">
        <v>138</v>
      </c>
      <c r="CD72" s="2" t="s">
        <v>131</v>
      </c>
      <c r="CE72" s="2"/>
      <c r="CF72" s="2"/>
      <c r="CG72" s="2"/>
      <c r="CH72" s="2"/>
      <c r="CI72" s="2" t="s">
        <v>103</v>
      </c>
      <c r="CJ72" s="2" t="s">
        <v>209</v>
      </c>
      <c r="CK72" s="2" t="s">
        <v>132</v>
      </c>
      <c r="CL72" s="2"/>
      <c r="CM72" s="2"/>
      <c r="CN72" s="2"/>
      <c r="CO72" s="2" t="s">
        <v>135</v>
      </c>
      <c r="CP72" s="2"/>
      <c r="CQ72" s="2"/>
      <c r="CR72" s="2"/>
      <c r="CS72" s="2"/>
      <c r="CT72" s="2"/>
      <c r="CU72" s="2"/>
      <c r="CV72" s="3"/>
      <c r="CW72" s="3"/>
      <c r="CX72" s="2" t="s">
        <v>222</v>
      </c>
      <c r="CY72" s="2" t="s">
        <v>217</v>
      </c>
    </row>
    <row r="73" ht="15.75" customHeight="1">
      <c r="A73" s="2" t="s">
        <v>114</v>
      </c>
      <c r="B73" s="2" t="s">
        <v>115</v>
      </c>
      <c r="C73" s="2" t="s">
        <v>104</v>
      </c>
      <c r="D73" s="3"/>
      <c r="E73" s="2"/>
      <c r="F73" s="2"/>
      <c r="G73" s="2" t="s">
        <v>103</v>
      </c>
      <c r="H73" s="2" t="s">
        <v>121</v>
      </c>
      <c r="I73" s="2" t="s">
        <v>244</v>
      </c>
      <c r="J73" s="2" t="s">
        <v>121</v>
      </c>
      <c r="K73" s="2"/>
      <c r="L73" s="2" t="s">
        <v>127</v>
      </c>
      <c r="M73" s="2" t="s">
        <v>107</v>
      </c>
      <c r="N73" s="2" t="s">
        <v>176</v>
      </c>
      <c r="O73" s="2" t="s">
        <v>132</v>
      </c>
      <c r="P73" s="2"/>
      <c r="Q73" s="2"/>
      <c r="R73" s="2"/>
      <c r="S73" s="2" t="s">
        <v>245</v>
      </c>
      <c r="T73" s="2" t="s">
        <v>109</v>
      </c>
      <c r="U73" s="2"/>
      <c r="V73" s="2" t="s">
        <v>132</v>
      </c>
      <c r="W73" s="2"/>
      <c r="X73" s="2"/>
      <c r="Y73" s="2"/>
      <c r="Z73" s="2"/>
      <c r="AA73" s="2" t="s">
        <v>114</v>
      </c>
      <c r="AB73" s="2" t="s">
        <v>138</v>
      </c>
      <c r="AC73" s="2" t="s">
        <v>103</v>
      </c>
      <c r="AD73" s="2" t="s">
        <v>138</v>
      </c>
      <c r="AE73" s="2"/>
      <c r="AF73" s="2"/>
      <c r="AG73" s="2"/>
      <c r="AH73" s="2"/>
      <c r="AI73" s="2"/>
      <c r="AJ73" s="2" t="s">
        <v>111</v>
      </c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 t="s">
        <v>103</v>
      </c>
      <c r="AW73" s="2" t="s">
        <v>156</v>
      </c>
      <c r="AX73" s="2"/>
      <c r="AY73" s="2" t="s">
        <v>121</v>
      </c>
      <c r="AZ73" s="2"/>
      <c r="BA73" s="2"/>
      <c r="BB73" s="2"/>
      <c r="BC73" s="2"/>
      <c r="BD73" s="2" t="s">
        <v>103</v>
      </c>
      <c r="BE73" s="2" t="s">
        <v>109</v>
      </c>
      <c r="BF73" s="2" t="s">
        <v>114</v>
      </c>
      <c r="BG73" s="2" t="s">
        <v>107</v>
      </c>
      <c r="BH73" s="2"/>
      <c r="BI73" s="2"/>
      <c r="BJ73" s="2"/>
      <c r="BK73" s="2"/>
      <c r="BL73" s="2"/>
      <c r="BM73" s="2" t="s">
        <v>138</v>
      </c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4">
        <f>1 + (1/2)</f>
        <v>1.5</v>
      </c>
      <c r="CD73" s="2" t="s">
        <v>123</v>
      </c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3"/>
      <c r="CW73" s="3"/>
      <c r="CX73" s="2" t="s">
        <v>120</v>
      </c>
      <c r="CY73" s="2" t="s">
        <v>133</v>
      </c>
    </row>
    <row r="74" ht="15.75" customHeight="1">
      <c r="A74" s="2" t="s">
        <v>130</v>
      </c>
      <c r="B74" s="2" t="s">
        <v>115</v>
      </c>
      <c r="C74" s="2" t="s">
        <v>104</v>
      </c>
      <c r="D74" s="3"/>
      <c r="E74" s="2" t="s">
        <v>103</v>
      </c>
      <c r="F74" s="2"/>
      <c r="G74" s="2"/>
      <c r="H74" s="2" t="s">
        <v>175</v>
      </c>
      <c r="I74" s="2" t="s">
        <v>210</v>
      </c>
      <c r="J74" s="2" t="s">
        <v>111</v>
      </c>
      <c r="K74" s="2"/>
      <c r="L74" s="2" t="s">
        <v>108</v>
      </c>
      <c r="M74" s="2" t="s">
        <v>136</v>
      </c>
      <c r="N74" s="2" t="s">
        <v>177</v>
      </c>
      <c r="O74" s="2"/>
      <c r="P74" s="2"/>
      <c r="Q74" s="2" t="s">
        <v>160</v>
      </c>
      <c r="R74" s="2" t="s">
        <v>109</v>
      </c>
      <c r="S74" s="2" t="s">
        <v>246</v>
      </c>
      <c r="T74" s="2" t="s">
        <v>139</v>
      </c>
      <c r="U74" s="2"/>
      <c r="V74" s="2" t="s">
        <v>122</v>
      </c>
      <c r="W74" s="2"/>
      <c r="X74" s="2"/>
      <c r="Y74" s="2" t="s">
        <v>126</v>
      </c>
      <c r="Z74" s="2"/>
      <c r="AA74" s="2" t="s">
        <v>114</v>
      </c>
      <c r="AB74" s="2" t="s">
        <v>184</v>
      </c>
      <c r="AC74" s="2" t="s">
        <v>120</v>
      </c>
      <c r="AD74" s="2" t="s">
        <v>184</v>
      </c>
      <c r="AE74" s="2" t="s">
        <v>112</v>
      </c>
      <c r="AF74" s="2" t="s">
        <v>132</v>
      </c>
      <c r="AG74" s="2" t="s">
        <v>130</v>
      </c>
      <c r="AH74" s="2"/>
      <c r="AI74" s="2"/>
      <c r="AJ74" s="2" t="s">
        <v>141</v>
      </c>
      <c r="AK74" s="2"/>
      <c r="AL74" s="2" t="s">
        <v>142</v>
      </c>
      <c r="AM74" s="2" t="s">
        <v>166</v>
      </c>
      <c r="AN74" s="2"/>
      <c r="AO74" s="2"/>
      <c r="AP74" s="2"/>
      <c r="AQ74" s="2"/>
      <c r="AR74" s="2" t="s">
        <v>103</v>
      </c>
      <c r="AS74" s="2"/>
      <c r="AT74" s="2" t="s">
        <v>142</v>
      </c>
      <c r="AU74" s="2" t="s">
        <v>247</v>
      </c>
      <c r="AV74" s="2" t="s">
        <v>130</v>
      </c>
      <c r="AW74" s="2" t="s">
        <v>120</v>
      </c>
      <c r="AX74" s="2" t="s">
        <v>135</v>
      </c>
      <c r="AY74" s="2" t="s">
        <v>111</v>
      </c>
      <c r="AZ74" s="2"/>
      <c r="BA74" s="2"/>
      <c r="BB74" s="2" t="s">
        <v>130</v>
      </c>
      <c r="BC74" s="2" t="s">
        <v>223</v>
      </c>
      <c r="BD74" s="2" t="s">
        <v>138</v>
      </c>
      <c r="BE74" s="2" t="s">
        <v>123</v>
      </c>
      <c r="BF74" s="2" t="s">
        <v>119</v>
      </c>
      <c r="BG74" s="2" t="s">
        <v>125</v>
      </c>
      <c r="BH74" s="2"/>
      <c r="BI74" s="2"/>
      <c r="BJ74" s="2"/>
      <c r="BK74" s="2"/>
      <c r="BL74" s="2"/>
      <c r="BM74" s="2" t="s">
        <v>126</v>
      </c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 t="s">
        <v>135</v>
      </c>
      <c r="CD74" s="2" t="s">
        <v>182</v>
      </c>
      <c r="CE74" s="2"/>
      <c r="CF74" s="2"/>
      <c r="CG74" s="2"/>
      <c r="CH74" s="2"/>
      <c r="CI74" s="2" t="s">
        <v>130</v>
      </c>
      <c r="CJ74" s="2" t="s">
        <v>121</v>
      </c>
      <c r="CK74" s="2" t="s">
        <v>139</v>
      </c>
      <c r="CL74" s="2"/>
      <c r="CM74" s="2"/>
      <c r="CN74" s="2"/>
      <c r="CO74" s="2" t="s">
        <v>113</v>
      </c>
      <c r="CP74" s="2"/>
      <c r="CQ74" s="2"/>
      <c r="CR74" s="2"/>
      <c r="CS74" s="2"/>
      <c r="CT74" s="2"/>
      <c r="CU74" s="2"/>
      <c r="CV74" s="3"/>
      <c r="CW74" s="3"/>
      <c r="CX74" s="2" t="s">
        <v>111</v>
      </c>
      <c r="CY74" s="2" t="s">
        <v>125</v>
      </c>
    </row>
    <row r="75" ht="15.75" customHeight="1">
      <c r="A75" s="2" t="s">
        <v>138</v>
      </c>
      <c r="B75" s="2" t="s">
        <v>115</v>
      </c>
      <c r="C75" s="2" t="s">
        <v>104</v>
      </c>
      <c r="D75" s="3"/>
      <c r="E75" s="2" t="s">
        <v>103</v>
      </c>
      <c r="F75" s="2"/>
      <c r="G75" s="2"/>
      <c r="H75" s="2" t="s">
        <v>223</v>
      </c>
      <c r="I75" s="2" t="s">
        <v>248</v>
      </c>
      <c r="J75" s="2" t="s">
        <v>122</v>
      </c>
      <c r="K75" s="2"/>
      <c r="L75" s="2" t="s">
        <v>124</v>
      </c>
      <c r="M75" s="2" t="s">
        <v>123</v>
      </c>
      <c r="N75" s="2" t="s">
        <v>182</v>
      </c>
      <c r="O75" s="2" t="s">
        <v>132</v>
      </c>
      <c r="P75" s="2" t="s">
        <v>135</v>
      </c>
      <c r="Q75" s="2"/>
      <c r="R75" s="2"/>
      <c r="S75" s="2" t="s">
        <v>173</v>
      </c>
      <c r="T75" s="2" t="s">
        <v>107</v>
      </c>
      <c r="U75" s="2"/>
      <c r="V75" s="2" t="s">
        <v>139</v>
      </c>
      <c r="W75" s="2"/>
      <c r="X75" s="2"/>
      <c r="Y75" s="2" t="s">
        <v>126</v>
      </c>
      <c r="Z75" s="2"/>
      <c r="AA75" s="2" t="s">
        <v>114</v>
      </c>
      <c r="AB75" s="2" t="s">
        <v>115</v>
      </c>
      <c r="AC75" s="2"/>
      <c r="AD75" s="2" t="s">
        <v>115</v>
      </c>
      <c r="AE75" s="2"/>
      <c r="AF75" s="2" t="s">
        <v>128</v>
      </c>
      <c r="AG75" s="2" t="s">
        <v>103</v>
      </c>
      <c r="AH75" s="2"/>
      <c r="AI75" s="2"/>
      <c r="AJ75" s="2" t="s">
        <v>108</v>
      </c>
      <c r="AK75" s="2"/>
      <c r="AL75" s="2" t="s">
        <v>117</v>
      </c>
      <c r="AM75" s="2" t="s">
        <v>115</v>
      </c>
      <c r="AN75" s="2"/>
      <c r="AO75" s="2" t="s">
        <v>103</v>
      </c>
      <c r="AP75" s="2" t="s">
        <v>103</v>
      </c>
      <c r="AQ75" s="2"/>
      <c r="AR75" s="2"/>
      <c r="AS75" s="2"/>
      <c r="AT75" s="2" t="s">
        <v>117</v>
      </c>
      <c r="AU75" s="2" t="s">
        <v>249</v>
      </c>
      <c r="AV75" s="2" t="s">
        <v>130</v>
      </c>
      <c r="AW75" s="2" t="s">
        <v>105</v>
      </c>
      <c r="AX75" s="2" t="s">
        <v>103</v>
      </c>
      <c r="AY75" s="2" t="s">
        <v>217</v>
      </c>
      <c r="AZ75" s="2"/>
      <c r="BA75" s="2"/>
      <c r="BB75" s="2">
        <f>1/2</f>
        <v>0.5</v>
      </c>
      <c r="BC75" s="2" t="s">
        <v>139</v>
      </c>
      <c r="BD75" s="2"/>
      <c r="BE75" s="2"/>
      <c r="BF75" s="2" t="s">
        <v>135</v>
      </c>
      <c r="BG75" s="2" t="s">
        <v>145</v>
      </c>
      <c r="BH75" s="2"/>
      <c r="BI75" s="2"/>
      <c r="BJ75" s="2" t="s">
        <v>114</v>
      </c>
      <c r="BK75" s="2" t="s">
        <v>250</v>
      </c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 t="s">
        <v>138</v>
      </c>
      <c r="CD75" s="2" t="s">
        <v>108</v>
      </c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3"/>
      <c r="CW75" s="3"/>
      <c r="CX75" s="2" t="s">
        <v>107</v>
      </c>
      <c r="CY75" s="2" t="s">
        <v>121</v>
      </c>
    </row>
    <row r="76" ht="15.75" customHeight="1">
      <c r="A76" s="2" t="s">
        <v>135</v>
      </c>
      <c r="B76" s="2" t="s">
        <v>115</v>
      </c>
      <c r="C76" s="2" t="s">
        <v>104</v>
      </c>
      <c r="D76" s="3"/>
      <c r="E76" s="2" t="s">
        <v>103</v>
      </c>
      <c r="F76" s="2"/>
      <c r="G76" s="2"/>
      <c r="H76" s="2" t="s">
        <v>217</v>
      </c>
      <c r="I76" s="2" t="s">
        <v>251</v>
      </c>
      <c r="J76" s="2" t="s">
        <v>120</v>
      </c>
      <c r="K76" s="2"/>
      <c r="L76" s="2" t="s">
        <v>252</v>
      </c>
      <c r="M76" s="2" t="s">
        <v>111</v>
      </c>
      <c r="N76" s="2" t="s">
        <v>182</v>
      </c>
      <c r="O76" s="2" t="s">
        <v>105</v>
      </c>
      <c r="P76" s="2"/>
      <c r="Q76" s="2" t="s">
        <v>121</v>
      </c>
      <c r="R76" s="2" t="s">
        <v>183</v>
      </c>
      <c r="S76" s="2" t="s">
        <v>148</v>
      </c>
      <c r="T76" s="2" t="s">
        <v>122</v>
      </c>
      <c r="U76" s="2"/>
      <c r="V76" s="2" t="s">
        <v>157</v>
      </c>
      <c r="W76" s="2"/>
      <c r="X76" s="2"/>
      <c r="Y76" s="2" t="s">
        <v>130</v>
      </c>
      <c r="Z76" s="2"/>
      <c r="AA76" s="2" t="s">
        <v>114</v>
      </c>
      <c r="AB76" s="2" t="s">
        <v>117</v>
      </c>
      <c r="AC76" s="2" t="s">
        <v>130</v>
      </c>
      <c r="AD76" s="2" t="s">
        <v>119</v>
      </c>
      <c r="AE76" s="2" t="s">
        <v>114</v>
      </c>
      <c r="AF76" s="2" t="s">
        <v>146</v>
      </c>
      <c r="AG76" s="2"/>
      <c r="AH76" s="2"/>
      <c r="AI76" s="2"/>
      <c r="AJ76" s="2" t="s">
        <v>253</v>
      </c>
      <c r="AK76" s="2"/>
      <c r="AL76" s="2" t="s">
        <v>112</v>
      </c>
      <c r="AM76" s="2" t="s">
        <v>126</v>
      </c>
      <c r="AN76" s="2" t="s">
        <v>112</v>
      </c>
      <c r="AO76" s="2"/>
      <c r="AP76" s="2"/>
      <c r="AQ76" s="2"/>
      <c r="AR76" s="2"/>
      <c r="AS76" s="2"/>
      <c r="AT76" s="2" t="s">
        <v>112</v>
      </c>
      <c r="AU76" s="2" t="s">
        <v>244</v>
      </c>
      <c r="AV76" s="2" t="s">
        <v>103</v>
      </c>
      <c r="AW76" s="2" t="s">
        <v>119</v>
      </c>
      <c r="AX76" s="2"/>
      <c r="AY76" s="2" t="s">
        <v>122</v>
      </c>
      <c r="AZ76" s="2"/>
      <c r="BA76" s="2"/>
      <c r="BB76" s="2"/>
      <c r="BC76" s="2"/>
      <c r="BD76" s="2">
        <f>3/4</f>
        <v>0.75</v>
      </c>
      <c r="BE76" s="2" t="s">
        <v>132</v>
      </c>
      <c r="BF76" s="2" t="s">
        <v>138</v>
      </c>
      <c r="BG76" s="2" t="s">
        <v>123</v>
      </c>
      <c r="BH76" s="2"/>
      <c r="BI76" s="2"/>
      <c r="BJ76" s="4">
        <f>1 + (1/2)</f>
        <v>1.5</v>
      </c>
      <c r="BK76" s="2" t="s">
        <v>169</v>
      </c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 t="s">
        <v>121</v>
      </c>
      <c r="BX76" s="2"/>
      <c r="BY76" s="2"/>
      <c r="BZ76" s="2"/>
      <c r="CA76" s="2"/>
      <c r="CB76" s="2"/>
      <c r="CC76" s="4">
        <f>2+ (1/4)</f>
        <v>2.25</v>
      </c>
      <c r="CD76" s="2" t="s">
        <v>136</v>
      </c>
      <c r="CE76" s="2"/>
      <c r="CF76" s="2"/>
      <c r="CG76" s="2"/>
      <c r="CH76" s="2"/>
      <c r="CI76" s="4">
        <f>1 + (1/2)</f>
        <v>1.5</v>
      </c>
      <c r="CJ76" s="2" t="s">
        <v>120</v>
      </c>
      <c r="CK76" s="2" t="s">
        <v>121</v>
      </c>
      <c r="CL76" s="2"/>
      <c r="CM76" s="2"/>
      <c r="CN76" s="2"/>
      <c r="CO76" s="2" t="s">
        <v>105</v>
      </c>
      <c r="CP76" s="2"/>
      <c r="CQ76" s="2"/>
      <c r="CR76" s="2"/>
      <c r="CS76" s="2"/>
      <c r="CT76" s="2"/>
      <c r="CU76" s="2"/>
      <c r="CV76" s="3"/>
      <c r="CW76" s="3"/>
      <c r="CX76" s="2" t="s">
        <v>109</v>
      </c>
      <c r="CY76" s="2" t="s">
        <v>122</v>
      </c>
    </row>
    <row r="77" ht="15.75" customHeight="1">
      <c r="A77" s="2" t="s">
        <v>126</v>
      </c>
      <c r="B77" s="2" t="s">
        <v>115</v>
      </c>
      <c r="C77" s="2" t="s">
        <v>104</v>
      </c>
      <c r="D77" s="3"/>
      <c r="E77" s="2" t="s">
        <v>103</v>
      </c>
      <c r="F77" s="2"/>
      <c r="G77" s="2"/>
      <c r="H77" s="2" t="s">
        <v>111</v>
      </c>
      <c r="I77" s="2" t="s">
        <v>254</v>
      </c>
      <c r="J77" s="2" t="s">
        <v>111</v>
      </c>
      <c r="K77" s="2"/>
      <c r="L77" s="2" t="s">
        <v>255</v>
      </c>
      <c r="M77" s="2" t="s">
        <v>121</v>
      </c>
      <c r="N77" s="2" t="s">
        <v>256</v>
      </c>
      <c r="O77" s="2" t="s">
        <v>121</v>
      </c>
      <c r="P77" s="2"/>
      <c r="Q77" s="2" t="s">
        <v>123</v>
      </c>
      <c r="R77" s="2" t="s">
        <v>105</v>
      </c>
      <c r="S77" s="2" t="s">
        <v>257</v>
      </c>
      <c r="T77" s="2" t="s">
        <v>157</v>
      </c>
      <c r="U77" s="2"/>
      <c r="V77" s="2" t="s">
        <v>129</v>
      </c>
      <c r="W77" s="2"/>
      <c r="X77" s="2"/>
      <c r="Y77" s="2" t="s">
        <v>126</v>
      </c>
      <c r="Z77" s="2"/>
      <c r="AA77" s="2" t="s">
        <v>114</v>
      </c>
      <c r="AB77" s="2" t="s">
        <v>146</v>
      </c>
      <c r="AC77" s="2" t="s">
        <v>156</v>
      </c>
      <c r="AD77" s="2" t="s">
        <v>146</v>
      </c>
      <c r="AE77" s="2"/>
      <c r="AF77" s="2" t="s">
        <v>135</v>
      </c>
      <c r="AG77" s="2"/>
      <c r="AH77" s="2"/>
      <c r="AI77" s="2"/>
      <c r="AJ77" s="2" t="s">
        <v>153</v>
      </c>
      <c r="AK77" s="2"/>
      <c r="AL77" s="2" t="s">
        <v>107</v>
      </c>
      <c r="AM77" s="2" t="s">
        <v>105</v>
      </c>
      <c r="AN77" s="2"/>
      <c r="AO77" s="2" t="s">
        <v>105</v>
      </c>
      <c r="AP77" s="2" t="s">
        <v>103</v>
      </c>
      <c r="AQ77" s="2"/>
      <c r="AR77" s="2" t="s">
        <v>103</v>
      </c>
      <c r="AS77" s="2"/>
      <c r="AT77" s="2" t="s">
        <v>107</v>
      </c>
      <c r="AU77" s="2" t="s">
        <v>136</v>
      </c>
      <c r="AV77" s="2" t="s">
        <v>130</v>
      </c>
      <c r="AW77" s="2" t="s">
        <v>117</v>
      </c>
      <c r="AX77" s="2" t="s">
        <v>114</v>
      </c>
      <c r="AY77" s="2" t="s">
        <v>121</v>
      </c>
      <c r="AZ77" s="2"/>
      <c r="BA77" s="2"/>
      <c r="BB77" s="2" t="s">
        <v>114</v>
      </c>
      <c r="BC77" s="2" t="s">
        <v>109</v>
      </c>
      <c r="BD77" s="2">
        <f t="shared" ref="BD77:BD78" si="7">1/2</f>
        <v>0.5</v>
      </c>
      <c r="BE77" s="2" t="s">
        <v>157</v>
      </c>
      <c r="BF77" s="2" t="s">
        <v>138</v>
      </c>
      <c r="BG77" s="2" t="s">
        <v>121</v>
      </c>
      <c r="BH77" s="2"/>
      <c r="BI77" s="2"/>
      <c r="BJ77" s="2" t="s">
        <v>103</v>
      </c>
      <c r="BK77" s="2" t="s">
        <v>132</v>
      </c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 t="s">
        <v>135</v>
      </c>
      <c r="CD77" s="2" t="s">
        <v>173</v>
      </c>
      <c r="CE77" s="2"/>
      <c r="CF77" s="2"/>
      <c r="CG77" s="2"/>
      <c r="CH77" s="2"/>
      <c r="CI77" s="2" t="s">
        <v>114</v>
      </c>
      <c r="CJ77" s="2" t="s">
        <v>120</v>
      </c>
      <c r="CK77" s="2" t="s">
        <v>109</v>
      </c>
      <c r="CL77" s="2"/>
      <c r="CM77" s="2"/>
      <c r="CN77" s="2"/>
      <c r="CO77" s="2" t="s">
        <v>112</v>
      </c>
      <c r="CP77" s="2"/>
      <c r="CQ77" s="2"/>
      <c r="CR77" s="2"/>
      <c r="CS77" s="2"/>
      <c r="CT77" s="2"/>
      <c r="CU77" s="2"/>
      <c r="CV77" s="3"/>
      <c r="CW77" s="3"/>
      <c r="CX77" s="2" t="s">
        <v>121</v>
      </c>
      <c r="CY77" s="2" t="s">
        <v>136</v>
      </c>
    </row>
    <row r="78" ht="15.75" customHeight="1">
      <c r="A78" s="2" t="s">
        <v>146</v>
      </c>
      <c r="B78" s="2" t="s">
        <v>115</v>
      </c>
      <c r="C78" s="2" t="s">
        <v>104</v>
      </c>
      <c r="D78" s="3"/>
      <c r="E78" s="2" t="s">
        <v>103</v>
      </c>
      <c r="F78" s="2"/>
      <c r="G78" s="2"/>
      <c r="H78" s="2" t="s">
        <v>121</v>
      </c>
      <c r="I78" s="2" t="s">
        <v>258</v>
      </c>
      <c r="J78" s="2" t="s">
        <v>105</v>
      </c>
      <c r="K78" s="2"/>
      <c r="L78" s="2" t="s">
        <v>153</v>
      </c>
      <c r="M78" s="2" t="s">
        <v>107</v>
      </c>
      <c r="N78" s="2" t="s">
        <v>182</v>
      </c>
      <c r="O78" s="2" t="s">
        <v>132</v>
      </c>
      <c r="P78" s="2"/>
      <c r="Q78" s="2" t="s">
        <v>121</v>
      </c>
      <c r="R78" s="2" t="s">
        <v>183</v>
      </c>
      <c r="S78" s="2" t="s">
        <v>206</v>
      </c>
      <c r="T78" s="2" t="s">
        <v>120</v>
      </c>
      <c r="U78" s="2"/>
      <c r="V78" s="2" t="s">
        <v>105</v>
      </c>
      <c r="W78" s="2"/>
      <c r="X78" s="2"/>
      <c r="Y78" s="2" t="s">
        <v>135</v>
      </c>
      <c r="Z78" s="2"/>
      <c r="AA78" s="2"/>
      <c r="AB78" s="2" t="s">
        <v>115</v>
      </c>
      <c r="AC78" s="2" t="s">
        <v>138</v>
      </c>
      <c r="AD78" s="2" t="s">
        <v>146</v>
      </c>
      <c r="AE78" s="2"/>
      <c r="AF78" s="2" t="s">
        <v>138</v>
      </c>
      <c r="AG78" s="2"/>
      <c r="AH78" s="2" t="s">
        <v>103</v>
      </c>
      <c r="AI78" s="2"/>
      <c r="AJ78" s="2" t="s">
        <v>127</v>
      </c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 t="s">
        <v>114</v>
      </c>
      <c r="AW78" s="2" t="s">
        <v>115</v>
      </c>
      <c r="AX78" s="2"/>
      <c r="AY78" s="2" t="s">
        <v>107</v>
      </c>
      <c r="AZ78" s="2"/>
      <c r="BA78" s="2"/>
      <c r="BB78" s="2"/>
      <c r="BC78" s="2"/>
      <c r="BD78" s="2">
        <f t="shared" si="7"/>
        <v>0.5</v>
      </c>
      <c r="BE78" s="2" t="s">
        <v>105</v>
      </c>
      <c r="BF78" s="2" t="s">
        <v>114</v>
      </c>
      <c r="BG78" s="2" t="s">
        <v>157</v>
      </c>
      <c r="BH78" s="2"/>
      <c r="BI78" s="2"/>
      <c r="BJ78" s="2" t="s">
        <v>103</v>
      </c>
      <c r="BK78" s="2" t="s">
        <v>183</v>
      </c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 t="s">
        <v>130</v>
      </c>
      <c r="CD78" s="2" t="s">
        <v>125</v>
      </c>
      <c r="CE78" s="2"/>
      <c r="CF78" s="2"/>
      <c r="CG78" s="2"/>
      <c r="CH78" s="2"/>
      <c r="CI78" s="2"/>
      <c r="CJ78" s="2" t="s">
        <v>120</v>
      </c>
      <c r="CK78" s="2" t="s">
        <v>120</v>
      </c>
      <c r="CL78" s="2"/>
      <c r="CM78" s="2"/>
      <c r="CN78" s="2"/>
      <c r="CO78" s="2" t="s">
        <v>115</v>
      </c>
      <c r="CP78" s="2"/>
      <c r="CQ78" s="2"/>
      <c r="CR78" s="2"/>
      <c r="CS78" s="2"/>
      <c r="CT78" s="2"/>
      <c r="CU78" s="2"/>
      <c r="CV78" s="3"/>
      <c r="CW78" s="3"/>
      <c r="CX78" s="2" t="s">
        <v>128</v>
      </c>
      <c r="CY78" s="2" t="s">
        <v>107</v>
      </c>
    </row>
    <row r="79" ht="15.75" customHeight="1">
      <c r="A79" s="2" t="s">
        <v>115</v>
      </c>
      <c r="B79" s="2" t="s">
        <v>115</v>
      </c>
      <c r="C79" s="2" t="s">
        <v>104</v>
      </c>
      <c r="D79" s="3"/>
      <c r="E79" s="2" t="s">
        <v>103</v>
      </c>
      <c r="F79" s="2"/>
      <c r="G79" s="2"/>
      <c r="H79" s="2" t="s">
        <v>106</v>
      </c>
      <c r="I79" s="2" t="s">
        <v>166</v>
      </c>
      <c r="J79" s="2" t="s">
        <v>169</v>
      </c>
      <c r="K79" s="2"/>
      <c r="L79" s="2" t="s">
        <v>125</v>
      </c>
      <c r="M79" s="2" t="s">
        <v>112</v>
      </c>
      <c r="N79" s="2" t="s">
        <v>121</v>
      </c>
      <c r="O79" s="2"/>
      <c r="P79" s="2"/>
      <c r="Q79" s="2"/>
      <c r="R79" s="2"/>
      <c r="S79" s="2" t="s">
        <v>122</v>
      </c>
      <c r="T79" s="2" t="s">
        <v>115</v>
      </c>
      <c r="U79" s="2"/>
      <c r="V79" s="2" t="s">
        <v>115</v>
      </c>
      <c r="W79" s="2"/>
      <c r="X79" s="2"/>
      <c r="Y79" s="2" t="s">
        <v>103</v>
      </c>
      <c r="Z79" s="2"/>
      <c r="AA79" s="2"/>
      <c r="AB79" s="2" t="s">
        <v>103</v>
      </c>
      <c r="AC79" s="2" t="s">
        <v>103</v>
      </c>
      <c r="AD79" s="2" t="s">
        <v>103</v>
      </c>
      <c r="AE79" s="2"/>
      <c r="AF79" s="2" t="s">
        <v>103</v>
      </c>
      <c r="AG79" s="2"/>
      <c r="AH79" s="2"/>
      <c r="AI79" s="2"/>
      <c r="AJ79" s="2" t="s">
        <v>121</v>
      </c>
      <c r="AK79" s="2"/>
      <c r="AL79" s="2" t="s">
        <v>130</v>
      </c>
      <c r="AM79" s="2" t="s">
        <v>103</v>
      </c>
      <c r="AN79" s="2" t="s">
        <v>114</v>
      </c>
      <c r="AO79" s="2"/>
      <c r="AP79" s="2"/>
      <c r="AQ79" s="2"/>
      <c r="AR79" s="2"/>
      <c r="AS79" s="2"/>
      <c r="AT79" s="2" t="s">
        <v>114</v>
      </c>
      <c r="AU79" s="2" t="s">
        <v>166</v>
      </c>
      <c r="AV79" s="2"/>
      <c r="AW79" s="2" t="s">
        <v>183</v>
      </c>
      <c r="AX79" s="2"/>
      <c r="AY79" s="2" t="s">
        <v>121</v>
      </c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>
        <f>1/2</f>
        <v>0.5</v>
      </c>
      <c r="CD79" s="2" t="s">
        <v>107</v>
      </c>
      <c r="CE79" s="2"/>
      <c r="CF79" s="2"/>
      <c r="CG79" s="2"/>
      <c r="CH79" s="2"/>
      <c r="CI79" s="2" t="s">
        <v>103</v>
      </c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3"/>
      <c r="CW79" s="3"/>
      <c r="CX79" s="2" t="s">
        <v>142</v>
      </c>
      <c r="CY79" s="2" t="s">
        <v>142</v>
      </c>
    </row>
    <row r="80" ht="15.75" customHeight="1">
      <c r="A80" s="2" t="s">
        <v>116</v>
      </c>
      <c r="B80" s="2" t="s">
        <v>115</v>
      </c>
      <c r="C80" s="2" t="s">
        <v>104</v>
      </c>
      <c r="D80" s="3"/>
      <c r="E80" s="2" t="s">
        <v>103</v>
      </c>
      <c r="F80" s="2"/>
      <c r="G80" s="2"/>
      <c r="H80" s="2" t="s">
        <v>107</v>
      </c>
      <c r="I80" s="2" t="s">
        <v>120</v>
      </c>
      <c r="J80" s="2" t="s">
        <v>199</v>
      </c>
      <c r="K80" s="2"/>
      <c r="L80" s="2" t="s">
        <v>167</v>
      </c>
      <c r="M80" s="2" t="s">
        <v>199</v>
      </c>
      <c r="N80" s="2" t="s">
        <v>160</v>
      </c>
      <c r="O80" s="2" t="s">
        <v>105</v>
      </c>
      <c r="P80" s="2"/>
      <c r="Q80" s="2"/>
      <c r="R80" s="2"/>
      <c r="S80" s="2" t="s">
        <v>125</v>
      </c>
      <c r="T80" s="2" t="s">
        <v>117</v>
      </c>
      <c r="U80" s="2"/>
      <c r="V80" s="2" t="s">
        <v>132</v>
      </c>
      <c r="W80" s="2"/>
      <c r="X80" s="2"/>
      <c r="Y80" s="2" t="s">
        <v>114</v>
      </c>
      <c r="Z80" s="2"/>
      <c r="AA80" s="2"/>
      <c r="AB80" s="2" t="s">
        <v>138</v>
      </c>
      <c r="AC80" s="2" t="s">
        <v>103</v>
      </c>
      <c r="AD80" s="2" t="s">
        <v>130</v>
      </c>
      <c r="AE80" s="2" t="s">
        <v>114</v>
      </c>
      <c r="AF80" s="2" t="s">
        <v>114</v>
      </c>
      <c r="AG80" s="2" t="s">
        <v>103</v>
      </c>
      <c r="AH80" s="2"/>
      <c r="AI80" s="2"/>
      <c r="AJ80" s="2" t="s">
        <v>111</v>
      </c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 t="s">
        <v>114</v>
      </c>
      <c r="AW80" s="2" t="s">
        <v>119</v>
      </c>
      <c r="AX80" s="2" t="s">
        <v>130</v>
      </c>
      <c r="AY80" s="2" t="s">
        <v>122</v>
      </c>
      <c r="AZ80" s="2"/>
      <c r="BA80" s="2"/>
      <c r="BB80" s="2">
        <f>1/2</f>
        <v>0.5</v>
      </c>
      <c r="BC80" s="2" t="s">
        <v>122</v>
      </c>
      <c r="BD80" s="2"/>
      <c r="BE80" s="2"/>
      <c r="BF80" s="2" t="s">
        <v>130</v>
      </c>
      <c r="BG80" s="2" t="s">
        <v>199</v>
      </c>
      <c r="BH80" s="2"/>
      <c r="BI80" s="2"/>
      <c r="BJ80" s="2" t="s">
        <v>103</v>
      </c>
      <c r="BK80" s="2" t="s">
        <v>132</v>
      </c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4">
        <f>2 + (1/2)</f>
        <v>2.5</v>
      </c>
      <c r="CD80" s="2" t="s">
        <v>259</v>
      </c>
      <c r="CE80" s="2"/>
      <c r="CF80" s="2"/>
      <c r="CG80" s="2"/>
      <c r="CH80" s="2"/>
      <c r="CI80" s="2"/>
      <c r="CJ80" s="2" t="s">
        <v>119</v>
      </c>
      <c r="CK80" s="2" t="s">
        <v>119</v>
      </c>
      <c r="CL80" s="2"/>
      <c r="CM80" s="2"/>
      <c r="CN80" s="2"/>
      <c r="CO80" s="2" t="s">
        <v>130</v>
      </c>
      <c r="CP80" s="2"/>
      <c r="CQ80" s="2"/>
      <c r="CR80" s="2"/>
      <c r="CS80" s="2"/>
      <c r="CT80" s="2"/>
      <c r="CU80" s="2"/>
      <c r="CV80" s="3"/>
      <c r="CW80" s="3"/>
      <c r="CX80" s="2" t="s">
        <v>260</v>
      </c>
      <c r="CY80" s="2" t="s">
        <v>111</v>
      </c>
    </row>
    <row r="81" ht="15.75" customHeight="1">
      <c r="A81" s="2" t="s">
        <v>112</v>
      </c>
      <c r="B81" s="2" t="s">
        <v>115</v>
      </c>
      <c r="C81" s="2" t="s">
        <v>104</v>
      </c>
      <c r="D81" s="3"/>
      <c r="E81" s="2" t="s">
        <v>103</v>
      </c>
      <c r="F81" s="2"/>
      <c r="G81" s="2"/>
      <c r="H81" s="2" t="s">
        <v>122</v>
      </c>
      <c r="I81" s="2" t="s">
        <v>172</v>
      </c>
      <c r="J81" s="2" t="s">
        <v>105</v>
      </c>
      <c r="K81" s="2"/>
      <c r="L81" s="2" t="s">
        <v>125</v>
      </c>
      <c r="M81" s="2" t="s">
        <v>107</v>
      </c>
      <c r="N81" s="2" t="s">
        <v>111</v>
      </c>
      <c r="O81" s="2"/>
      <c r="P81" s="2"/>
      <c r="Q81" s="2"/>
      <c r="R81" s="2"/>
      <c r="S81" s="2" t="s">
        <v>121</v>
      </c>
      <c r="T81" s="2" t="s">
        <v>132</v>
      </c>
      <c r="U81" s="2"/>
      <c r="V81" s="2" t="s">
        <v>119</v>
      </c>
      <c r="W81" s="2"/>
      <c r="X81" s="2"/>
      <c r="Y81" s="2"/>
      <c r="Z81" s="2"/>
      <c r="AA81" s="2" t="s">
        <v>114</v>
      </c>
      <c r="AB81" s="2" t="s">
        <v>130</v>
      </c>
      <c r="AC81" s="2"/>
      <c r="AD81" s="2" t="s">
        <v>114</v>
      </c>
      <c r="AE81" s="2"/>
      <c r="AF81" s="2" t="s">
        <v>103</v>
      </c>
      <c r="AG81" s="2"/>
      <c r="AH81" s="2" t="s">
        <v>103</v>
      </c>
      <c r="AI81" s="2"/>
      <c r="AJ81" s="2" t="s">
        <v>110</v>
      </c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 t="s">
        <v>103</v>
      </c>
      <c r="AW81" s="2" t="s">
        <v>119</v>
      </c>
      <c r="AX81" s="2"/>
      <c r="AY81" s="2" t="s">
        <v>133</v>
      </c>
      <c r="AZ81" s="2"/>
      <c r="BA81" s="2"/>
      <c r="BB81" s="2"/>
      <c r="BC81" s="2"/>
      <c r="BD81" s="2"/>
      <c r="BE81" s="2"/>
      <c r="BF81" s="2" t="s">
        <v>130</v>
      </c>
      <c r="BG81" s="2" t="s">
        <v>121</v>
      </c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 t="s">
        <v>103</v>
      </c>
      <c r="CD81" s="5" t="s">
        <v>145</v>
      </c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3"/>
      <c r="CW81" s="3"/>
      <c r="CX81" s="2" t="s">
        <v>122</v>
      </c>
      <c r="CY81" s="2" t="s">
        <v>259</v>
      </c>
    </row>
    <row r="82" ht="15.75" customHeight="1">
      <c r="A82" s="2" t="s">
        <v>103</v>
      </c>
      <c r="B82" s="2" t="s">
        <v>116</v>
      </c>
      <c r="C82" s="2" t="s">
        <v>104</v>
      </c>
      <c r="D82" s="3"/>
      <c r="E82" s="2" t="s">
        <v>103</v>
      </c>
      <c r="F82" s="2"/>
      <c r="G82" s="2"/>
      <c r="H82" s="2" t="s">
        <v>142</v>
      </c>
      <c r="I82" s="2" t="s">
        <v>137</v>
      </c>
      <c r="J82" s="2" t="s">
        <v>113</v>
      </c>
      <c r="K82" s="2"/>
      <c r="L82" s="2" t="s">
        <v>148</v>
      </c>
      <c r="M82" s="2" t="s">
        <v>120</v>
      </c>
      <c r="N82" s="2" t="s">
        <v>215</v>
      </c>
      <c r="O82" s="2"/>
      <c r="P82" s="2"/>
      <c r="Q82" s="2"/>
      <c r="R82" s="2"/>
      <c r="S82" s="2" t="s">
        <v>111</v>
      </c>
      <c r="T82" s="2" t="s">
        <v>112</v>
      </c>
      <c r="U82" s="2"/>
      <c r="V82" s="2" t="s">
        <v>116</v>
      </c>
      <c r="W82" s="2"/>
      <c r="X82" s="2"/>
      <c r="Y82" s="2"/>
      <c r="Z82" s="2"/>
      <c r="AA82" s="2" t="s">
        <v>114</v>
      </c>
      <c r="AB82" s="2" t="s">
        <v>103</v>
      </c>
      <c r="AC82" s="2" t="s">
        <v>114</v>
      </c>
      <c r="AD82" s="2" t="s">
        <v>103</v>
      </c>
      <c r="AE82" s="2" t="s">
        <v>114</v>
      </c>
      <c r="AF82" s="2" t="s">
        <v>130</v>
      </c>
      <c r="AG82" s="2" t="s">
        <v>103</v>
      </c>
      <c r="AH82" s="2" t="s">
        <v>103</v>
      </c>
      <c r="AI82" s="2"/>
      <c r="AJ82" s="2" t="s">
        <v>136</v>
      </c>
      <c r="AK82" s="2"/>
      <c r="AL82" s="2" t="s">
        <v>114</v>
      </c>
      <c r="AM82" s="2"/>
      <c r="AN82" s="2"/>
      <c r="AO82" s="2" t="s">
        <v>103</v>
      </c>
      <c r="AP82" s="2"/>
      <c r="AQ82" s="2"/>
      <c r="AR82" s="2"/>
      <c r="AS82" s="2"/>
      <c r="AT82" s="2" t="s">
        <v>114</v>
      </c>
      <c r="AU82" s="2" t="s">
        <v>117</v>
      </c>
      <c r="AV82" s="2" t="s">
        <v>103</v>
      </c>
      <c r="AW82" s="2" t="s">
        <v>115</v>
      </c>
      <c r="AX82" s="2"/>
      <c r="AY82" s="2" t="s">
        <v>107</v>
      </c>
      <c r="AZ82" s="2"/>
      <c r="BA82" s="2"/>
      <c r="BB82" s="2" t="s">
        <v>103</v>
      </c>
      <c r="BC82" s="2" t="s">
        <v>113</v>
      </c>
      <c r="BD82" s="2"/>
      <c r="BE82" s="2"/>
      <c r="BF82" s="2" t="s">
        <v>103</v>
      </c>
      <c r="BG82" s="2" t="s">
        <v>132</v>
      </c>
      <c r="BH82" s="2"/>
      <c r="BI82" s="2"/>
      <c r="BJ82" s="2">
        <f>1/2</f>
        <v>0.5</v>
      </c>
      <c r="BK82" s="2" t="s">
        <v>115</v>
      </c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 t="s">
        <v>114</v>
      </c>
      <c r="CD82" s="2" t="s">
        <v>111</v>
      </c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3"/>
      <c r="CW82" s="3"/>
      <c r="CX82" s="2" t="s">
        <v>120</v>
      </c>
      <c r="CY82" s="2" t="s">
        <v>107</v>
      </c>
    </row>
    <row r="83" ht="15.75" customHeight="1">
      <c r="A83" s="2" t="s">
        <v>114</v>
      </c>
      <c r="B83" s="2" t="s">
        <v>116</v>
      </c>
      <c r="C83" s="2" t="s">
        <v>104</v>
      </c>
      <c r="D83" s="3"/>
      <c r="E83" s="2" t="s">
        <v>103</v>
      </c>
      <c r="F83" s="2"/>
      <c r="G83" s="2"/>
      <c r="H83" s="2" t="s">
        <v>113</v>
      </c>
      <c r="I83" s="2" t="s">
        <v>119</v>
      </c>
      <c r="J83" s="2" t="s">
        <v>142</v>
      </c>
      <c r="K83" s="2"/>
      <c r="L83" s="2" t="s">
        <v>125</v>
      </c>
      <c r="M83" s="2" t="s">
        <v>105</v>
      </c>
      <c r="N83" s="2" t="s">
        <v>123</v>
      </c>
      <c r="O83" s="2" t="s">
        <v>113</v>
      </c>
      <c r="P83" s="2"/>
      <c r="Q83" s="2"/>
      <c r="R83" s="2"/>
      <c r="S83" s="2" t="s">
        <v>122</v>
      </c>
      <c r="T83" s="2" t="s">
        <v>135</v>
      </c>
      <c r="U83" s="2"/>
      <c r="V83" s="2" t="s">
        <v>135</v>
      </c>
      <c r="W83" s="2"/>
      <c r="X83" s="2"/>
      <c r="Y83" s="2" t="s">
        <v>114</v>
      </c>
      <c r="Z83" s="2"/>
      <c r="AA83" s="2"/>
      <c r="AB83" s="2" t="s">
        <v>103</v>
      </c>
      <c r="AC83" s="2" t="s">
        <v>103</v>
      </c>
      <c r="AD83" s="2"/>
      <c r="AE83" s="2"/>
      <c r="AF83" s="2"/>
      <c r="AG83" s="2"/>
      <c r="AH83" s="2"/>
      <c r="AI83" s="2"/>
      <c r="AJ83" s="2" t="s">
        <v>121</v>
      </c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 t="s">
        <v>103</v>
      </c>
      <c r="AW83" s="2" t="s">
        <v>112</v>
      </c>
      <c r="AX83" s="2" t="s">
        <v>146</v>
      </c>
      <c r="AY83" s="2" t="s">
        <v>121</v>
      </c>
      <c r="AZ83" s="2"/>
      <c r="BA83" s="2"/>
      <c r="BB83" s="2" t="s">
        <v>138</v>
      </c>
      <c r="BC83" s="2" t="s">
        <v>261</v>
      </c>
      <c r="BD83" s="2" t="s">
        <v>103</v>
      </c>
      <c r="BE83" s="2" t="s">
        <v>132</v>
      </c>
      <c r="BF83" s="2" t="s">
        <v>103</v>
      </c>
      <c r="BG83" s="2" t="s">
        <v>113</v>
      </c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 t="s">
        <v>103</v>
      </c>
      <c r="CD83" s="2" t="s">
        <v>109</v>
      </c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3"/>
      <c r="CW83" s="3"/>
      <c r="CX83" s="2" t="s">
        <v>120</v>
      </c>
      <c r="CY83" s="2" t="s">
        <v>107</v>
      </c>
    </row>
    <row r="84" ht="15.75" customHeight="1">
      <c r="A84" s="2" t="s">
        <v>130</v>
      </c>
      <c r="B84" s="2" t="s">
        <v>116</v>
      </c>
      <c r="C84" s="2" t="s">
        <v>104</v>
      </c>
      <c r="D84" s="3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3"/>
      <c r="CW84" s="3"/>
      <c r="CX84" s="3"/>
      <c r="CY84" s="3"/>
    </row>
    <row r="85" ht="15.75" customHeight="1">
      <c r="A85" s="2" t="s">
        <v>138</v>
      </c>
      <c r="B85" s="2" t="s">
        <v>116</v>
      </c>
      <c r="C85" s="2" t="s">
        <v>104</v>
      </c>
      <c r="D85" s="3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3"/>
      <c r="CW85" s="3"/>
      <c r="CX85" s="3"/>
      <c r="CY85" s="3"/>
    </row>
    <row r="86" ht="15.75" customHeight="1">
      <c r="A86" s="2" t="s">
        <v>135</v>
      </c>
      <c r="B86" s="2" t="s">
        <v>116</v>
      </c>
      <c r="C86" s="2" t="s">
        <v>104</v>
      </c>
      <c r="D86" s="3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3"/>
      <c r="CW86" s="3"/>
      <c r="CX86" s="3"/>
      <c r="CY86" s="3"/>
    </row>
    <row r="87" ht="15.75" customHeight="1">
      <c r="A87" s="2" t="s">
        <v>126</v>
      </c>
      <c r="B87" s="2" t="s">
        <v>116</v>
      </c>
      <c r="C87" s="2" t="s">
        <v>104</v>
      </c>
      <c r="D87" s="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3"/>
      <c r="CW87" s="3"/>
      <c r="CX87" s="3"/>
      <c r="CY87" s="3"/>
    </row>
    <row r="88" ht="15.75" customHeight="1">
      <c r="A88" s="2" t="s">
        <v>146</v>
      </c>
      <c r="B88" s="2" t="s">
        <v>116</v>
      </c>
      <c r="C88" s="2" t="s">
        <v>104</v>
      </c>
      <c r="D88" s="3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3"/>
      <c r="CW88" s="3"/>
      <c r="CX88" s="3"/>
      <c r="CY88" s="3"/>
    </row>
    <row r="89" ht="15.75" customHeight="1">
      <c r="A89" s="2" t="s">
        <v>115</v>
      </c>
      <c r="B89" s="2" t="s">
        <v>116</v>
      </c>
      <c r="C89" s="2" t="s">
        <v>104</v>
      </c>
      <c r="D89" s="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3"/>
      <c r="CW89" s="3"/>
      <c r="CX89" s="3"/>
      <c r="CY89" s="3"/>
    </row>
    <row r="90" ht="15.75" customHeight="1">
      <c r="A90" s="2" t="s">
        <v>116</v>
      </c>
      <c r="B90" s="2" t="s">
        <v>116</v>
      </c>
      <c r="C90" s="2" t="s">
        <v>104</v>
      </c>
      <c r="D90" s="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3"/>
      <c r="CW90" s="3"/>
      <c r="CX90" s="3"/>
      <c r="CY90" s="3"/>
    </row>
    <row r="91" ht="15.75" customHeight="1">
      <c r="A91" s="2" t="s">
        <v>112</v>
      </c>
      <c r="B91" s="2" t="s">
        <v>116</v>
      </c>
      <c r="C91" s="2" t="s">
        <v>104</v>
      </c>
      <c r="D91" s="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3"/>
      <c r="CW91" s="3"/>
      <c r="CX91" s="3"/>
      <c r="CY91" s="3"/>
    </row>
    <row r="92" ht="15.75" customHeight="1">
      <c r="A92" s="3"/>
      <c r="B92" s="3"/>
      <c r="C92" s="3"/>
      <c r="D92" s="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3"/>
      <c r="CW92" s="3"/>
      <c r="CX92" s="3"/>
      <c r="CY92" s="3"/>
    </row>
    <row r="93" ht="15.75" customHeight="1">
      <c r="A93" s="3"/>
      <c r="B93" s="3"/>
      <c r="C93" s="3"/>
      <c r="D93" s="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3"/>
      <c r="CW93" s="3"/>
      <c r="CX93" s="3"/>
      <c r="CY93" s="3"/>
    </row>
    <row r="94" ht="15.75" customHeight="1">
      <c r="A94" s="3"/>
      <c r="B94" s="3"/>
      <c r="C94" s="3"/>
      <c r="D94" s="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3"/>
      <c r="CW94" s="3"/>
      <c r="CX94" s="3"/>
      <c r="CY94" s="3"/>
    </row>
    <row r="95" ht="15.75" customHeight="1">
      <c r="A95" s="3"/>
      <c r="B95" s="3"/>
      <c r="C95" s="3"/>
      <c r="D95" s="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3"/>
      <c r="CW95" s="3"/>
      <c r="CX95" s="3"/>
      <c r="CY95" s="3"/>
    </row>
    <row r="96" ht="15.75" customHeight="1">
      <c r="A96" s="3"/>
      <c r="B96" s="3"/>
      <c r="C96" s="3"/>
      <c r="D96" s="3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3"/>
      <c r="CW96" s="3"/>
      <c r="CX96" s="3"/>
      <c r="CY96" s="3"/>
    </row>
    <row r="97" ht="15.75" customHeight="1">
      <c r="A97" s="3"/>
      <c r="B97" s="3"/>
      <c r="C97" s="3"/>
      <c r="D97" s="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3"/>
      <c r="CW97" s="3"/>
      <c r="CX97" s="3"/>
      <c r="CY97" s="3"/>
    </row>
    <row r="98" ht="15.75" customHeight="1">
      <c r="A98" s="3"/>
      <c r="B98" s="3"/>
      <c r="C98" s="3"/>
      <c r="D98" s="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3"/>
      <c r="CW98" s="3"/>
      <c r="CX98" s="3"/>
      <c r="CY98" s="3"/>
    </row>
    <row r="99" ht="15.75" customHeight="1">
      <c r="A99" s="3"/>
      <c r="B99" s="3"/>
      <c r="C99" s="3"/>
      <c r="D99" s="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3"/>
      <c r="CW99" s="3"/>
      <c r="CX99" s="3"/>
      <c r="CY99" s="3"/>
    </row>
    <row r="100" ht="15.75" customHeight="1">
      <c r="A100" s="3"/>
      <c r="B100" s="3"/>
      <c r="C100" s="3"/>
      <c r="D100" s="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3"/>
      <c r="CW100" s="3"/>
      <c r="CX100" s="3"/>
      <c r="CY100" s="3"/>
    </row>
    <row r="101" ht="15.75" customHeight="1">
      <c r="A101" s="3"/>
      <c r="B101" s="3"/>
      <c r="C101" s="3"/>
      <c r="D101" s="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3"/>
      <c r="CW101" s="3"/>
      <c r="CX101" s="3"/>
      <c r="CY101" s="3"/>
    </row>
    <row r="102" ht="15.75" customHeight="1">
      <c r="A102" s="3"/>
      <c r="B102" s="3"/>
      <c r="C102" s="3"/>
      <c r="D102" s="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3"/>
      <c r="CW102" s="3"/>
      <c r="CX102" s="3"/>
      <c r="CY102" s="3"/>
    </row>
    <row r="103" ht="15.75" customHeight="1">
      <c r="A103" s="3"/>
      <c r="B103" s="3"/>
      <c r="C103" s="3"/>
      <c r="D103" s="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3"/>
      <c r="CW103" s="3"/>
      <c r="CX103" s="3"/>
      <c r="CY103" s="3"/>
    </row>
    <row r="104" ht="15.75" customHeight="1">
      <c r="A104" s="3"/>
      <c r="B104" s="3"/>
      <c r="C104" s="3"/>
      <c r="D104" s="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3"/>
      <c r="CW104" s="3"/>
      <c r="CX104" s="3"/>
      <c r="CY104" s="3"/>
    </row>
    <row r="105" ht="15.75" customHeight="1">
      <c r="A105" s="3"/>
      <c r="B105" s="3"/>
      <c r="C105" s="3"/>
      <c r="D105" s="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3"/>
      <c r="CW105" s="3"/>
      <c r="CX105" s="3"/>
      <c r="CY105" s="3"/>
    </row>
    <row r="106" ht="15.75" customHeight="1">
      <c r="A106" s="3"/>
      <c r="B106" s="3"/>
      <c r="C106" s="3"/>
      <c r="D106" s="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3"/>
      <c r="CW106" s="3"/>
      <c r="CX106" s="3"/>
      <c r="CY106" s="3"/>
    </row>
    <row r="107" ht="15.75" customHeight="1">
      <c r="A107" s="3"/>
      <c r="B107" s="3"/>
      <c r="C107" s="3"/>
      <c r="D107" s="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3"/>
      <c r="CW107" s="3"/>
      <c r="CX107" s="3"/>
      <c r="CY107" s="3"/>
    </row>
    <row r="108" ht="15.75" customHeight="1">
      <c r="A108" s="3"/>
      <c r="B108" s="3"/>
      <c r="C108" s="3"/>
      <c r="D108" s="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3"/>
      <c r="CW108" s="3"/>
      <c r="CX108" s="3"/>
      <c r="CY108" s="3"/>
    </row>
    <row r="109" ht="15.75" customHeight="1">
      <c r="A109" s="3"/>
      <c r="B109" s="3"/>
      <c r="C109" s="3"/>
      <c r="D109" s="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3"/>
      <c r="CW109" s="3"/>
      <c r="CX109" s="3"/>
      <c r="CY109" s="3"/>
    </row>
    <row r="110" ht="15.75" customHeight="1">
      <c r="A110" s="3"/>
      <c r="B110" s="3"/>
      <c r="C110" s="3"/>
      <c r="D110" s="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3"/>
      <c r="CW110" s="3"/>
      <c r="CX110" s="3"/>
      <c r="CY110" s="3"/>
    </row>
    <row r="111" ht="15.75" customHeight="1">
      <c r="A111" s="3"/>
      <c r="B111" s="3"/>
      <c r="C111" s="3"/>
      <c r="D111" s="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3"/>
      <c r="CW111" s="3"/>
      <c r="CX111" s="3"/>
      <c r="CY111" s="3"/>
    </row>
    <row r="112" ht="15.75" customHeight="1">
      <c r="A112" s="3"/>
      <c r="B112" s="3"/>
      <c r="C112" s="3"/>
      <c r="D112" s="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3"/>
      <c r="CW112" s="3"/>
      <c r="CX112" s="3"/>
      <c r="CY112" s="3"/>
    </row>
    <row r="113" ht="15.75" customHeight="1">
      <c r="A113" s="3"/>
      <c r="B113" s="3"/>
      <c r="C113" s="3"/>
      <c r="D113" s="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3"/>
      <c r="CW113" s="3"/>
      <c r="CX113" s="3"/>
      <c r="CY113" s="3"/>
    </row>
    <row r="114" ht="15.75" customHeight="1">
      <c r="A114" s="3"/>
      <c r="B114" s="3"/>
      <c r="C114" s="3"/>
      <c r="D114" s="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3"/>
      <c r="CW114" s="3"/>
      <c r="CX114" s="3"/>
      <c r="CY114" s="3"/>
    </row>
    <row r="115" ht="15.75" customHeight="1">
      <c r="A115" s="3"/>
      <c r="B115" s="3"/>
      <c r="C115" s="3"/>
      <c r="D115" s="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3"/>
      <c r="CW115" s="3"/>
      <c r="CX115" s="3"/>
      <c r="CY115" s="3"/>
    </row>
    <row r="116" ht="15.75" customHeight="1">
      <c r="A116" s="3"/>
      <c r="B116" s="3"/>
      <c r="C116" s="3"/>
      <c r="D116" s="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3"/>
      <c r="CW116" s="3"/>
      <c r="CX116" s="3"/>
      <c r="CY116" s="3"/>
    </row>
    <row r="117" ht="15.75" customHeight="1">
      <c r="A117" s="3"/>
      <c r="B117" s="3"/>
      <c r="C117" s="3"/>
      <c r="D117" s="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3"/>
      <c r="CW117" s="3"/>
      <c r="CX117" s="3"/>
      <c r="CY117" s="3"/>
    </row>
    <row r="118" ht="15.75" customHeight="1">
      <c r="A118" s="3"/>
      <c r="B118" s="3"/>
      <c r="C118" s="3"/>
      <c r="D118" s="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3"/>
      <c r="CW118" s="3"/>
      <c r="CX118" s="3"/>
      <c r="CY118" s="3"/>
    </row>
    <row r="119" ht="15.75" customHeight="1">
      <c r="A119" s="3"/>
      <c r="B119" s="3"/>
      <c r="C119" s="3"/>
      <c r="D119" s="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3"/>
      <c r="CW119" s="3"/>
      <c r="CX119" s="3"/>
      <c r="CY119" s="3"/>
    </row>
    <row r="120" ht="15.75" customHeight="1">
      <c r="A120" s="3"/>
      <c r="B120" s="3"/>
      <c r="C120" s="3"/>
      <c r="D120" s="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3"/>
      <c r="CW120" s="3"/>
      <c r="CX120" s="3"/>
      <c r="CY120" s="3"/>
    </row>
    <row r="121" ht="15.75" customHeight="1">
      <c r="A121" s="3"/>
      <c r="B121" s="3"/>
      <c r="C121" s="3"/>
      <c r="D121" s="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3"/>
      <c r="CW121" s="3"/>
      <c r="CX121" s="3"/>
      <c r="CY121" s="3"/>
    </row>
    <row r="122" ht="15.75" customHeight="1">
      <c r="A122" s="3"/>
      <c r="B122" s="3"/>
      <c r="C122" s="3"/>
      <c r="D122" s="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3"/>
      <c r="CW122" s="3"/>
      <c r="CX122" s="3"/>
      <c r="CY122" s="3"/>
    </row>
    <row r="123" ht="15.75" customHeight="1">
      <c r="A123" s="3"/>
      <c r="B123" s="3"/>
      <c r="C123" s="3"/>
      <c r="D123" s="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3"/>
      <c r="CW123" s="3"/>
      <c r="CX123" s="3"/>
      <c r="CY123" s="3"/>
    </row>
    <row r="124" ht="15.75" customHeight="1">
      <c r="A124" s="3"/>
      <c r="B124" s="3"/>
      <c r="C124" s="3"/>
      <c r="D124" s="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3"/>
      <c r="CW124" s="3"/>
      <c r="CX124" s="3"/>
      <c r="CY124" s="3"/>
    </row>
    <row r="125" ht="15.75" customHeight="1">
      <c r="A125" s="3"/>
      <c r="B125" s="3"/>
      <c r="C125" s="3"/>
      <c r="D125" s="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3"/>
      <c r="CW125" s="3"/>
      <c r="CX125" s="3"/>
      <c r="CY125" s="3"/>
    </row>
    <row r="126" ht="15.75" customHeight="1">
      <c r="A126" s="3"/>
      <c r="B126" s="3"/>
      <c r="C126" s="3"/>
      <c r="D126" s="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3"/>
      <c r="CW126" s="3"/>
      <c r="CX126" s="3"/>
      <c r="CY126" s="3"/>
    </row>
    <row r="127" ht="15.75" customHeight="1">
      <c r="A127" s="3"/>
      <c r="B127" s="3"/>
      <c r="C127" s="3"/>
      <c r="D127" s="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3"/>
      <c r="CW127" s="3"/>
      <c r="CX127" s="3"/>
      <c r="CY127" s="3"/>
    </row>
    <row r="128" ht="15.75" customHeight="1">
      <c r="A128" s="3"/>
      <c r="B128" s="3"/>
      <c r="C128" s="3"/>
      <c r="D128" s="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3"/>
      <c r="CW128" s="3"/>
      <c r="CX128" s="3"/>
      <c r="CY128" s="3"/>
    </row>
    <row r="129" ht="15.75" customHeight="1">
      <c r="A129" s="3"/>
      <c r="B129" s="3"/>
      <c r="C129" s="3"/>
      <c r="D129" s="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3"/>
      <c r="CW129" s="3"/>
      <c r="CX129" s="3"/>
      <c r="CY129" s="3"/>
    </row>
    <row r="130" ht="15.75" customHeight="1">
      <c r="A130" s="3"/>
      <c r="B130" s="3"/>
      <c r="C130" s="3"/>
      <c r="D130" s="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3"/>
      <c r="CW130" s="3"/>
      <c r="CX130" s="3"/>
      <c r="CY130" s="3"/>
    </row>
    <row r="131" ht="15.75" customHeight="1">
      <c r="A131" s="3"/>
      <c r="B131" s="3"/>
      <c r="C131" s="3"/>
      <c r="D131" s="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3"/>
      <c r="CW131" s="3"/>
      <c r="CX131" s="3"/>
      <c r="C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</row>
  </sheetData>
  <printOptions/>
  <pageMargins bottom="0.75" footer="0.0" header="0.0" left="0.7" right="0.7" top="0.75"/>
  <pageSetup orientation="landscape"/>
  <drawing r:id="rId1"/>
</worksheet>
</file>