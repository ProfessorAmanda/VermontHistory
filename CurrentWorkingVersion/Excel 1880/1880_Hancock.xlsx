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agregg@middlebury.edu/Dropbox/Research/New Papers and Ideas/Vermont Economic History/Drafts/Pilot Paper/Data/Ag Census Working Files Summer 2025/Excel 1880/"/>
    </mc:Choice>
  </mc:AlternateContent>
  <xr:revisionPtr revIDLastSave="0" documentId="13_ncr:1_{AEE648FA-09A2-CC43-93DE-DEFC1B772ECE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1880_Hancock_No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105" i="1" l="1"/>
  <c r="CC103" i="1"/>
  <c r="CC102" i="1"/>
  <c r="BD102" i="1"/>
  <c r="CI101" i="1"/>
  <c r="CC101" i="1"/>
  <c r="BD101" i="1"/>
  <c r="CC98" i="1"/>
  <c r="BF98" i="1"/>
  <c r="BD98" i="1"/>
  <c r="CC97" i="1"/>
  <c r="BJ97" i="1"/>
  <c r="BB97" i="1"/>
  <c r="CC95" i="1"/>
  <c r="CI94" i="1"/>
  <c r="BM92" i="1"/>
  <c r="BK92" i="1"/>
  <c r="BJ92" i="1"/>
  <c r="BD92" i="1"/>
  <c r="BD88" i="1"/>
  <c r="CC87" i="1"/>
  <c r="BF87" i="1"/>
  <c r="BD87" i="1"/>
  <c r="CC86" i="1"/>
  <c r="BL86" i="1"/>
  <c r="V85" i="1"/>
  <c r="CC84" i="1"/>
  <c r="BD84" i="1"/>
  <c r="CC83" i="1"/>
  <c r="BF83" i="1"/>
  <c r="CC82" i="1"/>
  <c r="BD82" i="1"/>
  <c r="CC77" i="1"/>
  <c r="CC76" i="1"/>
  <c r="BJ75" i="1"/>
  <c r="BF75" i="1"/>
  <c r="BD75" i="1"/>
  <c r="CI74" i="1"/>
  <c r="CC74" i="1"/>
  <c r="AU74" i="1"/>
  <c r="CC73" i="1"/>
  <c r="BD73" i="1"/>
  <c r="CC72" i="1"/>
  <c r="BF72" i="1"/>
  <c r="CD66" i="1"/>
  <c r="BD66" i="1"/>
  <c r="BF65" i="1"/>
  <c r="BC65" i="1"/>
  <c r="BB65" i="1"/>
  <c r="CD64" i="1"/>
  <c r="BF64" i="1"/>
  <c r="BD64" i="1"/>
  <c r="CD63" i="1"/>
  <c r="BF63" i="1"/>
  <c r="CC59" i="1"/>
  <c r="CC58" i="1"/>
  <c r="BJ56" i="1"/>
  <c r="BF55" i="1"/>
  <c r="BD55" i="1"/>
  <c r="CC54" i="1"/>
  <c r="CC53" i="1"/>
  <c r="BH53" i="1"/>
  <c r="BF53" i="1"/>
  <c r="BD53" i="1"/>
  <c r="BJ52" i="1"/>
  <c r="BF52" i="1"/>
  <c r="BD52" i="1"/>
  <c r="CC49" i="1"/>
  <c r="BD49" i="1"/>
  <c r="CC48" i="1"/>
  <c r="BD48" i="1"/>
  <c r="BB48" i="1"/>
  <c r="CC46" i="1"/>
  <c r="CC45" i="1"/>
  <c r="BD45" i="1"/>
  <c r="CI44" i="1"/>
  <c r="CC43" i="1"/>
  <c r="BF43" i="1"/>
  <c r="CC42" i="1"/>
  <c r="CI39" i="1"/>
  <c r="CC39" i="1"/>
  <c r="BJ39" i="1"/>
  <c r="BF39" i="1"/>
  <c r="BD39" i="1"/>
  <c r="CI38" i="1"/>
  <c r="BJ38" i="1"/>
  <c r="CC37" i="1"/>
  <c r="BF37" i="1"/>
  <c r="BD37" i="1"/>
  <c r="CC36" i="1"/>
  <c r="BF36" i="1"/>
  <c r="BD36" i="1"/>
  <c r="BF33" i="1"/>
  <c r="BD33" i="1"/>
  <c r="CC23" i="1"/>
  <c r="BD23" i="1"/>
  <c r="CI22" i="1"/>
  <c r="CC22" i="1"/>
  <c r="CC21" i="1"/>
  <c r="CC18" i="1"/>
  <c r="BJ18" i="1"/>
  <c r="BF18" i="1"/>
  <c r="CC17" i="1"/>
  <c r="CI16" i="1"/>
  <c r="CC16" i="1"/>
  <c r="BL16" i="1"/>
  <c r="BF16" i="1"/>
  <c r="BD16" i="1"/>
  <c r="CI15" i="1"/>
  <c r="CC15" i="1"/>
  <c r="BJ15" i="1"/>
  <c r="BH15" i="1"/>
  <c r="BD15" i="1"/>
  <c r="CI14" i="1"/>
  <c r="CC13" i="1"/>
  <c r="CC12" i="1"/>
  <c r="BH12" i="1"/>
  <c r="CC6" i="1"/>
  <c r="BJ6" i="1"/>
  <c r="BF6" i="1"/>
  <c r="CG5" i="1"/>
  <c r="CC5" i="1"/>
  <c r="CC4" i="1"/>
  <c r="CC3" i="1"/>
  <c r="BJ3" i="1"/>
</calcChain>
</file>

<file path=xl/sharedStrings.xml><?xml version="1.0" encoding="utf-8"?>
<sst xmlns="http://schemas.openxmlformats.org/spreadsheetml/2006/main" count="2789" uniqueCount="264">
  <si>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</si>
  <si>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</si>
  <si>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</si>
  <si>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</si>
  <si>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</si>
  <si>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</si>
  <si>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</si>
  <si>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</si>
  <si>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</si>
  <si>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</si>
  <si>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</si>
  <si>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</si>
  <si>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</si>
  <si>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</si>
  <si>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</si>
  <si>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</si>
  <si>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</si>
  <si>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</si>
  <si>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</si>
  <si>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</si>
  <si>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</si>
  <si>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</si>
  <si>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</si>
  <si>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</si>
  <si>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</si>
  <si>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</si>
  <si>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</si>
  <si>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</si>
  <si>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</si>
  <si>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</si>
  <si>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</si>
  <si>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</si>
  <si>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</si>
  <si>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</si>
  <si>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</si>
  <si>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</si>
  <si>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</si>
  <si>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</si>
  <si>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</si>
  <si>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</si>
  <si>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</si>
  <si>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</si>
  <si>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</si>
  <si>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</si>
  <si>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</si>
  <si>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</si>
  <si>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</si>
  <si>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</si>
  <si>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</si>
  <si>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</si>
  <si>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</si>
  <si>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</si>
  <si>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</si>
  <si>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</si>
  <si>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</si>
  <si>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</si>
  <si>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</si>
  <si>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</si>
  <si>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</si>
  <si>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</si>
  <si>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</si>
  <si>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</si>
  <si>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</si>
  <si>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</si>
  <si>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</si>
  <si>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</si>
  <si>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</si>
  <si>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</si>
  <si>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</si>
  <si>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</si>
  <si>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</si>
  <si>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</si>
  <si>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</si>
  <si>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</si>
  <si>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</si>
  <si>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</si>
  <si>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</si>
  <si>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</si>
  <si>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</si>
  <si>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</si>
  <si>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</si>
  <si>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</si>
  <si>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</si>
  <si>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</si>
  <si>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</si>
  <si>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</si>
  <si>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</si>
  <si>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</si>
  <si>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</si>
  <si>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</si>
  <si>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</si>
  <si>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</si>
  <si>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</si>
  <si>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</si>
  <si>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</si>
  <si>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</si>
  <si>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</si>
  <si>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</si>
  <si>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</si>
  <si>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</si>
  <si>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</si>
  <si>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</si>
  <si>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</si>
  <si>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</si>
  <si>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3</t>
  </si>
  <si>
    <t>100</t>
  </si>
  <si>
    <t>120000</t>
  </si>
  <si>
    <t>250</t>
  </si>
  <si>
    <t>15</t>
  </si>
  <si>
    <t>2</t>
  </si>
  <si>
    <t>200</t>
  </si>
  <si>
    <t>9</t>
  </si>
  <si>
    <t>5</t>
  </si>
  <si>
    <t>4</t>
  </si>
  <si>
    <t>30</t>
  </si>
  <si>
    <t>10</t>
  </si>
  <si>
    <t>50</t>
  </si>
  <si>
    <t>37</t>
  </si>
  <si>
    <t>900</t>
  </si>
  <si>
    <t>20</t>
  </si>
  <si>
    <t>40</t>
  </si>
  <si>
    <t>70000</t>
  </si>
  <si>
    <t>130</t>
  </si>
  <si>
    <t>17</t>
  </si>
  <si>
    <t>22</t>
  </si>
  <si>
    <t>7</t>
  </si>
  <si>
    <t>60</t>
  </si>
  <si>
    <t>175</t>
  </si>
  <si>
    <t>25</t>
  </si>
  <si>
    <t>75</t>
  </si>
  <si>
    <t>12</t>
  </si>
  <si>
    <t>70</t>
  </si>
  <si>
    <t>60000</t>
  </si>
  <si>
    <t>400</t>
  </si>
  <si>
    <t>64</t>
  </si>
  <si>
    <t>100000</t>
  </si>
  <si>
    <t>500</t>
  </si>
  <si>
    <t>675</t>
  </si>
  <si>
    <t>150</t>
  </si>
  <si>
    <t>49</t>
  </si>
  <si>
    <t>44</t>
  </si>
  <si>
    <t>14</t>
  </si>
  <si>
    <t>6</t>
  </si>
  <si>
    <t>220</t>
  </si>
  <si>
    <t>300</t>
  </si>
  <si>
    <t>150000</t>
  </si>
  <si>
    <t>450</t>
  </si>
  <si>
    <t>8</t>
  </si>
  <si>
    <t>2600</t>
  </si>
  <si>
    <t>45</t>
  </si>
  <si>
    <t>35</t>
  </si>
  <si>
    <t>600</t>
  </si>
  <si>
    <t>155</t>
  </si>
  <si>
    <t>170</t>
  </si>
  <si>
    <t>23</t>
  </si>
  <si>
    <t>240</t>
  </si>
  <si>
    <t>11</t>
  </si>
  <si>
    <t>1250</t>
  </si>
  <si>
    <t>700</t>
  </si>
  <si>
    <t>16</t>
  </si>
  <si>
    <t>13</t>
  </si>
  <si>
    <t>125</t>
  </si>
  <si>
    <t>3000</t>
  </si>
  <si>
    <t>1200</t>
  </si>
  <si>
    <t>275</t>
  </si>
  <si>
    <t>104</t>
  </si>
  <si>
    <t>68</t>
  </si>
  <si>
    <t>18</t>
  </si>
  <si>
    <t>31</t>
  </si>
  <si>
    <t>80</t>
  </si>
  <si>
    <t>2000</t>
  </si>
  <si>
    <t>21</t>
  </si>
  <si>
    <t>52</t>
  </si>
  <si>
    <t>115</t>
  </si>
  <si>
    <t>27</t>
  </si>
  <si>
    <t>140</t>
  </si>
  <si>
    <t>800</t>
  </si>
  <si>
    <t>2500</t>
  </si>
  <si>
    <t>160</t>
  </si>
  <si>
    <t>1400</t>
  </si>
  <si>
    <t>85</t>
  </si>
  <si>
    <t>65</t>
  </si>
  <si>
    <t>63</t>
  </si>
  <si>
    <t>750</t>
  </si>
  <si>
    <t>440</t>
  </si>
  <si>
    <t>1000</t>
  </si>
  <si>
    <t>225</t>
  </si>
  <si>
    <t>90</t>
  </si>
  <si>
    <t>19</t>
  </si>
  <si>
    <t>105</t>
  </si>
  <si>
    <t>550</t>
  </si>
  <si>
    <t>260</t>
  </si>
  <si>
    <t>5000</t>
  </si>
  <si>
    <t>1800</t>
  </si>
  <si>
    <t>28</t>
  </si>
  <si>
    <t>1500</t>
  </si>
  <si>
    <t>36</t>
  </si>
  <si>
    <t>1550</t>
  </si>
  <si>
    <t>110</t>
  </si>
  <si>
    <t>350</t>
  </si>
  <si>
    <t>42</t>
  </si>
  <si>
    <t>360</t>
  </si>
  <si>
    <t>69</t>
  </si>
  <si>
    <t>380</t>
  </si>
  <si>
    <t>1600</t>
  </si>
  <si>
    <t>33</t>
  </si>
  <si>
    <t>54</t>
  </si>
  <si>
    <t>463</t>
  </si>
  <si>
    <t>62</t>
  </si>
  <si>
    <t>1300</t>
  </si>
  <si>
    <t>120</t>
  </si>
  <si>
    <t>72</t>
  </si>
  <si>
    <t>195</t>
  </si>
  <si>
    <t>5100</t>
  </si>
  <si>
    <t>1050</t>
  </si>
  <si>
    <t>180</t>
  </si>
  <si>
    <t>200000</t>
  </si>
  <si>
    <t>2250</t>
  </si>
  <si>
    <t>300000</t>
  </si>
  <si>
    <t>29</t>
  </si>
  <si>
    <t>180000</t>
  </si>
  <si>
    <t>56</t>
  </si>
  <si>
    <t>130000</t>
  </si>
  <si>
    <t>725</t>
  </si>
  <si>
    <t>55</t>
  </si>
  <si>
    <t>605</t>
  </si>
  <si>
    <t>43</t>
  </si>
  <si>
    <t>112</t>
  </si>
  <si>
    <t>95</t>
  </si>
  <si>
    <t>148</t>
  </si>
  <si>
    <t>219</t>
  </si>
  <si>
    <t>80000</t>
  </si>
  <si>
    <t>10600</t>
  </si>
  <si>
    <t>6000</t>
  </si>
  <si>
    <t>30000</t>
  </si>
  <si>
    <t>25000</t>
  </si>
  <si>
    <t>20000</t>
  </si>
  <si>
    <t>50000</t>
  </si>
  <si>
    <t>10000</t>
  </si>
  <si>
    <t>15000</t>
  </si>
  <si>
    <t>22500</t>
  </si>
  <si>
    <t>36000</t>
  </si>
  <si>
    <t>35000</t>
  </si>
  <si>
    <t>3500</t>
  </si>
  <si>
    <t>12500</t>
  </si>
  <si>
    <t>40000</t>
  </si>
  <si>
    <t>93</t>
  </si>
  <si>
    <t>375</t>
  </si>
  <si>
    <t>7500</t>
  </si>
  <si>
    <t>600000</t>
  </si>
  <si>
    <t>163000</t>
  </si>
  <si>
    <t>53</t>
  </si>
  <si>
    <t>2400</t>
  </si>
  <si>
    <t>34</t>
  </si>
  <si>
    <t>17500</t>
  </si>
  <si>
    <t>315</t>
  </si>
  <si>
    <t>92</t>
  </si>
  <si>
    <t>140000</t>
  </si>
  <si>
    <t>47300</t>
  </si>
  <si>
    <t>126</t>
  </si>
  <si>
    <t>272500</t>
  </si>
  <si>
    <t>37500</t>
  </si>
  <si>
    <t>350000</t>
  </si>
  <si>
    <t>Hancock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</si>
</sst>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11"/>
  <sheetViews>
    <sheetView tabSelected="1" workbookViewId="0">
      <pane xSplit="1" ySplit="1" topLeftCell="B73" activePane="bottomRight" state="frozen"/>
      <selection pane="topRight" activeCell="B1" sqref="B1"/>
      <selection pane="bottomLeft" activeCell="A2" sqref="A2"/>
      <selection pane="bottomRight" activeCell="D94" sqref="D94"/>
    </sheetView>
  </sheetViews>
  <sheetFormatPr baseColWidth="10" defaultColWidth="11.1640625" defaultRowHeight="15" customHeight="1" x14ac:dyDescent="0.2"/>
  <cols>
    <col min="1" max="103" width="10.83203125" customWidth="1"/>
  </cols>
  <sheetData>
    <row r="1" spans="1:10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ht="15.75" customHeight="1" x14ac:dyDescent="0.2">
      <c r="A2" s="2" t="s">
        <v>103</v>
      </c>
      <c r="B2" s="2" t="s">
        <v>103</v>
      </c>
      <c r="C2" s="6" t="s">
        <v>263</v>
      </c>
      <c r="D2" s="3"/>
      <c r="E2" s="2" t="s">
        <v>103</v>
      </c>
      <c r="F2" s="2"/>
      <c r="G2" s="2"/>
      <c r="H2" s="2" t="s">
        <v>104</v>
      </c>
      <c r="I2" s="2" t="s">
        <v>105</v>
      </c>
      <c r="J2" s="2" t="s">
        <v>105</v>
      </c>
      <c r="K2" s="2"/>
      <c r="L2" s="2" t="s">
        <v>106</v>
      </c>
      <c r="M2" s="2" t="s">
        <v>105</v>
      </c>
      <c r="N2" s="2" t="s">
        <v>107</v>
      </c>
      <c r="O2" s="2"/>
      <c r="P2" s="2"/>
      <c r="Q2" s="2"/>
      <c r="R2" s="2"/>
      <c r="S2" s="2"/>
      <c r="T2" s="2" t="s">
        <v>108</v>
      </c>
      <c r="U2" s="2"/>
      <c r="V2" s="2" t="s">
        <v>108</v>
      </c>
      <c r="W2" s="2"/>
      <c r="X2" s="2"/>
      <c r="Y2" s="2" t="s">
        <v>109</v>
      </c>
      <c r="Z2" s="2"/>
      <c r="AA2" s="2"/>
      <c r="AB2" s="2" t="s">
        <v>109</v>
      </c>
      <c r="AC2" s="2" t="s">
        <v>109</v>
      </c>
      <c r="AD2" s="2" t="s">
        <v>103</v>
      </c>
      <c r="AE2" s="2"/>
      <c r="AF2" s="2"/>
      <c r="AG2" s="2"/>
      <c r="AH2" s="2"/>
      <c r="AI2" s="2"/>
      <c r="AJ2" s="2" t="s">
        <v>110</v>
      </c>
      <c r="AK2" s="2"/>
      <c r="AL2" s="2" t="s">
        <v>111</v>
      </c>
      <c r="AM2" s="2" t="s">
        <v>112</v>
      </c>
      <c r="AN2" s="2"/>
      <c r="AO2" s="2"/>
      <c r="AP2" s="2"/>
      <c r="AQ2" s="2"/>
      <c r="AR2" s="2"/>
      <c r="AS2" s="2"/>
      <c r="AT2" s="2" t="s">
        <v>113</v>
      </c>
      <c r="AU2" s="2" t="s">
        <v>114</v>
      </c>
      <c r="AV2" s="2"/>
      <c r="AW2" s="2" t="s">
        <v>115</v>
      </c>
      <c r="AX2" s="2"/>
      <c r="AY2" s="2" t="s">
        <v>116</v>
      </c>
      <c r="AZ2" s="2"/>
      <c r="BA2" s="2"/>
      <c r="BB2" s="2"/>
      <c r="BC2" s="2"/>
      <c r="BD2" s="2" t="s">
        <v>103</v>
      </c>
      <c r="BE2" s="2" t="s">
        <v>117</v>
      </c>
      <c r="BF2" s="2"/>
      <c r="BG2" s="2"/>
      <c r="BH2" s="2"/>
      <c r="BI2" s="2"/>
      <c r="BJ2" s="2"/>
      <c r="BK2" s="2"/>
      <c r="BL2" s="2"/>
      <c r="BM2" s="2" t="s">
        <v>109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 t="s">
        <v>103</v>
      </c>
      <c r="CD2" s="2" t="s">
        <v>105</v>
      </c>
      <c r="CE2" s="2"/>
      <c r="CF2" s="2"/>
      <c r="CG2" s="2"/>
      <c r="CH2" s="2"/>
      <c r="CI2" s="2" t="s">
        <v>112</v>
      </c>
      <c r="CJ2" s="2" t="s">
        <v>105</v>
      </c>
      <c r="CK2" s="2" t="s">
        <v>114</v>
      </c>
      <c r="CL2" s="2"/>
      <c r="CM2" s="2"/>
      <c r="CN2" s="2"/>
      <c r="CO2" s="4" t="s">
        <v>118</v>
      </c>
      <c r="CP2" s="2"/>
      <c r="CQ2" s="2"/>
      <c r="CR2" s="2"/>
      <c r="CS2" s="2"/>
      <c r="CT2" s="2"/>
      <c r="CU2" s="2"/>
      <c r="CV2" s="2"/>
      <c r="CW2" s="2"/>
      <c r="CX2" s="2" t="s">
        <v>115</v>
      </c>
      <c r="CY2" s="2" t="s">
        <v>116</v>
      </c>
    </row>
    <row r="3" spans="1:103" ht="15.75" customHeight="1" x14ac:dyDescent="0.2">
      <c r="A3" s="2" t="s">
        <v>109</v>
      </c>
      <c r="B3" s="2" t="s">
        <v>103</v>
      </c>
      <c r="C3" s="6" t="s">
        <v>263</v>
      </c>
      <c r="D3" s="3"/>
      <c r="E3" s="2" t="s">
        <v>103</v>
      </c>
      <c r="F3" s="2"/>
      <c r="G3" s="2"/>
      <c r="H3" s="2" t="s">
        <v>119</v>
      </c>
      <c r="I3" s="2" t="s">
        <v>120</v>
      </c>
      <c r="J3" s="2" t="s">
        <v>105</v>
      </c>
      <c r="K3" s="2"/>
      <c r="L3" s="2" t="s">
        <v>121</v>
      </c>
      <c r="M3" s="2" t="s">
        <v>116</v>
      </c>
      <c r="N3" s="2" t="s">
        <v>122</v>
      </c>
      <c r="O3" s="2"/>
      <c r="P3" s="2"/>
      <c r="Q3" s="2"/>
      <c r="R3" s="2"/>
      <c r="S3" s="2" t="s">
        <v>105</v>
      </c>
      <c r="T3" s="2" t="s">
        <v>123</v>
      </c>
      <c r="U3" s="2" t="s">
        <v>124</v>
      </c>
      <c r="V3" s="2" t="s">
        <v>115</v>
      </c>
      <c r="W3" s="2"/>
      <c r="X3" s="2"/>
      <c r="Y3" s="2" t="s">
        <v>103</v>
      </c>
      <c r="Z3" s="2"/>
      <c r="AA3" s="2"/>
      <c r="AB3" s="2" t="s">
        <v>109</v>
      </c>
      <c r="AC3" s="2" t="s">
        <v>103</v>
      </c>
      <c r="AD3" s="2" t="s">
        <v>103</v>
      </c>
      <c r="AE3" s="2"/>
      <c r="AF3" s="2"/>
      <c r="AG3" s="2"/>
      <c r="AH3" s="2"/>
      <c r="AI3" s="2"/>
      <c r="AJ3" s="2" t="s">
        <v>105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 t="s">
        <v>125</v>
      </c>
      <c r="AX3" s="2"/>
      <c r="AY3" s="2" t="s">
        <v>126</v>
      </c>
      <c r="AZ3" s="2"/>
      <c r="BA3" s="2"/>
      <c r="BB3" s="2"/>
      <c r="BC3" s="2"/>
      <c r="BD3" s="2"/>
      <c r="BE3" s="2" t="s">
        <v>115</v>
      </c>
      <c r="BF3" s="2"/>
      <c r="BG3" s="2"/>
      <c r="BH3" s="2"/>
      <c r="BI3" s="2"/>
      <c r="BJ3" s="2">
        <f>1/4</f>
        <v>0.25</v>
      </c>
      <c r="BK3" s="2" t="s">
        <v>112</v>
      </c>
      <c r="BL3" s="2" t="s">
        <v>109</v>
      </c>
      <c r="BM3" s="2" t="s">
        <v>103</v>
      </c>
      <c r="BN3" s="2"/>
      <c r="BO3" s="2"/>
      <c r="BP3" s="2"/>
      <c r="BQ3" s="2"/>
      <c r="BR3" s="2"/>
      <c r="BS3" s="2"/>
      <c r="BT3" s="2"/>
      <c r="BU3" s="2"/>
      <c r="BV3" s="2"/>
      <c r="BW3" s="2" t="s">
        <v>127</v>
      </c>
      <c r="BX3" s="2"/>
      <c r="BY3" s="2"/>
      <c r="BZ3" s="2"/>
      <c r="CA3" s="2"/>
      <c r="CB3" s="2"/>
      <c r="CC3" s="2">
        <f t="shared" ref="CC3:CC4" si="0">1/2</f>
        <v>0.5</v>
      </c>
      <c r="CD3" s="2" t="s">
        <v>116</v>
      </c>
      <c r="CE3" s="2"/>
      <c r="CF3" s="2"/>
      <c r="CG3" s="2"/>
      <c r="CH3" s="2" t="s">
        <v>125</v>
      </c>
      <c r="CI3" s="2"/>
      <c r="CJ3" s="2" t="s">
        <v>128</v>
      </c>
      <c r="CK3" s="2" t="s">
        <v>129</v>
      </c>
      <c r="CL3" s="2"/>
      <c r="CM3" s="2"/>
      <c r="CN3" s="2"/>
      <c r="CO3" s="2" t="s">
        <v>108</v>
      </c>
      <c r="CP3" s="2"/>
      <c r="CQ3" s="2"/>
      <c r="CR3" s="2"/>
      <c r="CS3" s="2"/>
      <c r="CT3" s="2"/>
      <c r="CU3" s="2"/>
      <c r="CV3" s="2"/>
      <c r="CW3" s="2"/>
      <c r="CX3" s="2" t="s">
        <v>130</v>
      </c>
      <c r="CY3" s="2" t="s">
        <v>116</v>
      </c>
    </row>
    <row r="4" spans="1:103" ht="15.75" customHeight="1" x14ac:dyDescent="0.2">
      <c r="A4" s="2" t="s">
        <v>104</v>
      </c>
      <c r="B4" s="2" t="s">
        <v>103</v>
      </c>
      <c r="C4" s="6" t="s">
        <v>263</v>
      </c>
      <c r="D4" s="3"/>
      <c r="E4" s="2" t="s">
        <v>103</v>
      </c>
      <c r="F4" s="2"/>
      <c r="G4" s="2"/>
      <c r="H4" s="2" t="s">
        <v>115</v>
      </c>
      <c r="I4" s="2" t="s">
        <v>119</v>
      </c>
      <c r="J4" s="2" t="s">
        <v>131</v>
      </c>
      <c r="K4" s="2"/>
      <c r="L4" s="2" t="s">
        <v>132</v>
      </c>
      <c r="M4" s="2" t="s">
        <v>114</v>
      </c>
      <c r="N4" s="2" t="s">
        <v>105</v>
      </c>
      <c r="O4" s="2"/>
      <c r="P4" s="2"/>
      <c r="Q4" s="2"/>
      <c r="R4" s="2"/>
      <c r="S4" s="2" t="s">
        <v>105</v>
      </c>
      <c r="T4" s="2" t="s">
        <v>115</v>
      </c>
      <c r="U4" s="2" t="s">
        <v>115</v>
      </c>
      <c r="V4" s="2" t="s">
        <v>115</v>
      </c>
      <c r="W4" s="2"/>
      <c r="X4" s="2"/>
      <c r="Y4" s="2" t="s">
        <v>103</v>
      </c>
      <c r="Z4" s="2"/>
      <c r="AA4" s="2"/>
      <c r="AB4" s="2" t="s">
        <v>103</v>
      </c>
      <c r="AC4" s="2" t="s">
        <v>103</v>
      </c>
      <c r="AD4" s="2"/>
      <c r="AE4" s="2"/>
      <c r="AF4" s="2"/>
      <c r="AG4" s="2"/>
      <c r="AH4" s="2"/>
      <c r="AI4" s="2"/>
      <c r="AJ4" s="2" t="s">
        <v>110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111</v>
      </c>
      <c r="AX4" s="2"/>
      <c r="AY4" s="2" t="s">
        <v>126</v>
      </c>
      <c r="AZ4" s="2"/>
      <c r="BA4" s="2"/>
      <c r="BB4" s="2"/>
      <c r="BC4" s="2"/>
      <c r="BD4" s="2" t="s">
        <v>103</v>
      </c>
      <c r="BE4" s="2" t="s">
        <v>130</v>
      </c>
      <c r="BF4" s="2"/>
      <c r="BG4" s="2"/>
      <c r="BH4" s="2"/>
      <c r="BI4" s="2"/>
      <c r="BJ4" s="2"/>
      <c r="BK4" s="2"/>
      <c r="BL4" s="2"/>
      <c r="BM4" s="2" t="s">
        <v>109</v>
      </c>
      <c r="BN4" s="2"/>
      <c r="BO4" s="2"/>
      <c r="BP4" s="2"/>
      <c r="BQ4" s="2"/>
      <c r="BR4" s="2"/>
      <c r="BS4" s="2"/>
      <c r="BT4" s="2"/>
      <c r="BU4" s="2"/>
      <c r="BV4" s="2"/>
      <c r="BW4" s="2" t="s">
        <v>133</v>
      </c>
      <c r="BX4" s="2" t="s">
        <v>115</v>
      </c>
      <c r="BY4" s="2"/>
      <c r="BZ4" s="2"/>
      <c r="CA4" s="2"/>
      <c r="CB4" s="2"/>
      <c r="CC4" s="2">
        <f t="shared" si="0"/>
        <v>0.5</v>
      </c>
      <c r="CD4" s="2" t="s">
        <v>126</v>
      </c>
      <c r="CE4" s="2"/>
      <c r="CF4" s="2"/>
      <c r="CG4" s="2"/>
      <c r="CH4" s="2"/>
      <c r="CI4" s="2" t="s">
        <v>109</v>
      </c>
      <c r="CJ4" s="2" t="s">
        <v>116</v>
      </c>
      <c r="CK4" s="2" t="s">
        <v>105</v>
      </c>
      <c r="CL4" s="2"/>
      <c r="CM4" s="2"/>
      <c r="CN4" s="2"/>
      <c r="CO4" s="2" t="s">
        <v>108</v>
      </c>
      <c r="CP4" s="2"/>
      <c r="CQ4" s="2"/>
      <c r="CR4" s="2"/>
      <c r="CS4" s="2"/>
      <c r="CT4" s="2"/>
      <c r="CU4" s="2"/>
      <c r="CV4" s="2"/>
      <c r="CW4" s="2"/>
      <c r="CX4" s="2" t="s">
        <v>128</v>
      </c>
      <c r="CY4" s="2" t="s">
        <v>128</v>
      </c>
    </row>
    <row r="5" spans="1:103" ht="15.75" customHeight="1" x14ac:dyDescent="0.2">
      <c r="A5" s="2" t="s">
        <v>113</v>
      </c>
      <c r="B5" s="2" t="s">
        <v>103</v>
      </c>
      <c r="C5" s="6" t="s">
        <v>263</v>
      </c>
      <c r="D5" s="3"/>
      <c r="E5" s="2" t="s">
        <v>103</v>
      </c>
      <c r="F5" s="2"/>
      <c r="G5" s="2"/>
      <c r="H5" s="2" t="s">
        <v>134</v>
      </c>
      <c r="I5" s="2" t="s">
        <v>134</v>
      </c>
      <c r="J5" s="2" t="s">
        <v>105</v>
      </c>
      <c r="K5" s="2"/>
      <c r="L5" s="2" t="s">
        <v>135</v>
      </c>
      <c r="M5" s="2" t="s">
        <v>136</v>
      </c>
      <c r="N5" s="2" t="s">
        <v>137</v>
      </c>
      <c r="O5" s="2"/>
      <c r="P5" s="2" t="s">
        <v>111</v>
      </c>
      <c r="Q5" s="2" t="s">
        <v>110</v>
      </c>
      <c r="R5" s="2"/>
      <c r="S5" s="2" t="s">
        <v>138</v>
      </c>
      <c r="T5" s="2" t="s">
        <v>108</v>
      </c>
      <c r="U5" s="2" t="s">
        <v>139</v>
      </c>
      <c r="V5" s="2" t="s">
        <v>115</v>
      </c>
      <c r="W5" s="2"/>
      <c r="X5" s="2"/>
      <c r="Y5" s="2" t="s">
        <v>112</v>
      </c>
      <c r="Z5" s="2"/>
      <c r="AA5" s="2" t="s">
        <v>109</v>
      </c>
      <c r="AB5" s="2" t="s">
        <v>113</v>
      </c>
      <c r="AC5" s="2" t="s">
        <v>103</v>
      </c>
      <c r="AD5" s="2" t="s">
        <v>103</v>
      </c>
      <c r="AE5" s="2"/>
      <c r="AF5" s="2" t="s">
        <v>109</v>
      </c>
      <c r="AG5" s="2"/>
      <c r="AH5" s="2"/>
      <c r="AI5" s="2"/>
      <c r="AJ5" s="2" t="s">
        <v>107</v>
      </c>
      <c r="AK5" s="2"/>
      <c r="AL5" s="2" t="s">
        <v>140</v>
      </c>
      <c r="AM5" s="2" t="s">
        <v>141</v>
      </c>
      <c r="AN5" s="2"/>
      <c r="AO5" s="2" t="s">
        <v>114</v>
      </c>
      <c r="AP5" s="2" t="s">
        <v>103</v>
      </c>
      <c r="AQ5" s="2"/>
      <c r="AR5" s="2" t="s">
        <v>142</v>
      </c>
      <c r="AS5" s="2"/>
      <c r="AT5" s="2" t="s">
        <v>140</v>
      </c>
      <c r="AU5" s="2" t="s">
        <v>143</v>
      </c>
      <c r="AV5" s="2" t="s">
        <v>103</v>
      </c>
      <c r="AW5" s="2" t="s">
        <v>141</v>
      </c>
      <c r="AX5" s="2"/>
      <c r="AY5" s="2" t="s">
        <v>116</v>
      </c>
      <c r="AZ5" s="2"/>
      <c r="BA5" s="2"/>
      <c r="BB5" s="2"/>
      <c r="BC5" s="2"/>
      <c r="BD5" s="2" t="s">
        <v>103</v>
      </c>
      <c r="BE5" s="2" t="s">
        <v>117</v>
      </c>
      <c r="BF5" s="2" t="s">
        <v>103</v>
      </c>
      <c r="BG5" s="2" t="s">
        <v>116</v>
      </c>
      <c r="BH5" s="2"/>
      <c r="BI5" s="2"/>
      <c r="BJ5" s="2"/>
      <c r="BK5" s="2"/>
      <c r="BL5" s="2" t="s">
        <v>109</v>
      </c>
      <c r="BM5" s="2" t="s">
        <v>103</v>
      </c>
      <c r="BN5" s="2"/>
      <c r="BO5" s="2"/>
      <c r="BP5" s="2"/>
      <c r="BQ5" s="2"/>
      <c r="BR5" s="2"/>
      <c r="BS5" s="2"/>
      <c r="BT5" s="2"/>
      <c r="BU5" s="2"/>
      <c r="BV5" s="2"/>
      <c r="BW5" s="2" t="s">
        <v>133</v>
      </c>
      <c r="BX5" s="2" t="s">
        <v>112</v>
      </c>
      <c r="BY5" s="2"/>
      <c r="BZ5" s="2"/>
      <c r="CA5" s="2"/>
      <c r="CB5" s="2"/>
      <c r="CC5" s="2">
        <f>3/4</f>
        <v>0.75</v>
      </c>
      <c r="CD5" s="2" t="s">
        <v>129</v>
      </c>
      <c r="CE5" s="2"/>
      <c r="CF5" s="2"/>
      <c r="CG5" s="2">
        <f>1/8</f>
        <v>0.125</v>
      </c>
      <c r="CH5" s="2"/>
      <c r="CI5" s="2" t="s">
        <v>103</v>
      </c>
      <c r="CJ5" s="2" t="s">
        <v>128</v>
      </c>
      <c r="CK5" s="2" t="s">
        <v>116</v>
      </c>
      <c r="CL5" s="2"/>
      <c r="CM5" s="2"/>
      <c r="CN5" s="2"/>
      <c r="CO5" s="4" t="s">
        <v>136</v>
      </c>
      <c r="CP5" s="2"/>
      <c r="CQ5" s="2"/>
      <c r="CR5" s="2"/>
      <c r="CS5" s="2"/>
      <c r="CT5" s="2"/>
      <c r="CU5" s="2"/>
      <c r="CV5" s="2"/>
      <c r="CW5" s="2"/>
      <c r="CX5" s="3"/>
      <c r="CY5" s="3"/>
    </row>
    <row r="6" spans="1:103" ht="15.75" customHeight="1" x14ac:dyDescent="0.2">
      <c r="A6" s="2" t="s">
        <v>112</v>
      </c>
      <c r="B6" s="2" t="s">
        <v>103</v>
      </c>
      <c r="C6" s="6" t="s">
        <v>263</v>
      </c>
      <c r="D6" s="3"/>
      <c r="E6" s="2" t="s">
        <v>103</v>
      </c>
      <c r="F6" s="2"/>
      <c r="G6" s="2"/>
      <c r="H6" s="2" t="s">
        <v>116</v>
      </c>
      <c r="I6" s="2" t="s">
        <v>116</v>
      </c>
      <c r="J6" s="2" t="s">
        <v>144</v>
      </c>
      <c r="K6" s="2"/>
      <c r="L6" s="2" t="s">
        <v>145</v>
      </c>
      <c r="M6" s="2" t="s">
        <v>110</v>
      </c>
      <c r="N6" s="2" t="s">
        <v>133</v>
      </c>
      <c r="O6" s="2"/>
      <c r="P6" s="2"/>
      <c r="Q6" s="2" t="s">
        <v>138</v>
      </c>
      <c r="R6" s="2"/>
      <c r="S6" s="2" t="s">
        <v>138</v>
      </c>
      <c r="T6" s="2" t="s">
        <v>114</v>
      </c>
      <c r="U6" s="2" t="s">
        <v>119</v>
      </c>
      <c r="V6" s="2" t="s">
        <v>119</v>
      </c>
      <c r="W6" s="2"/>
      <c r="X6" s="2"/>
      <c r="Y6" s="2" t="s">
        <v>104</v>
      </c>
      <c r="Z6" s="2"/>
      <c r="AA6" s="2"/>
      <c r="AB6" s="2" t="s">
        <v>113</v>
      </c>
      <c r="AC6" s="2" t="s">
        <v>125</v>
      </c>
      <c r="AD6" s="2" t="s">
        <v>109</v>
      </c>
      <c r="AE6" s="2"/>
      <c r="AF6" s="2"/>
      <c r="AG6" s="2"/>
      <c r="AH6" s="2" t="s">
        <v>103</v>
      </c>
      <c r="AI6" s="2"/>
      <c r="AJ6" s="2" t="s">
        <v>146</v>
      </c>
      <c r="AK6" s="2"/>
      <c r="AL6" s="2" t="s">
        <v>147</v>
      </c>
      <c r="AM6" s="2" t="s">
        <v>112</v>
      </c>
      <c r="AN6" s="2"/>
      <c r="AO6" s="2"/>
      <c r="AP6" s="2"/>
      <c r="AQ6" s="2"/>
      <c r="AR6" s="2"/>
      <c r="AS6" s="2" t="s">
        <v>103</v>
      </c>
      <c r="AT6" s="2" t="s">
        <v>147</v>
      </c>
      <c r="AU6" s="2" t="s">
        <v>120</v>
      </c>
      <c r="AV6" s="2" t="s">
        <v>103</v>
      </c>
      <c r="AW6" s="2" t="s">
        <v>111</v>
      </c>
      <c r="AX6" s="2"/>
      <c r="AY6" s="2" t="s">
        <v>131</v>
      </c>
      <c r="AZ6" s="2"/>
      <c r="BA6" s="2"/>
      <c r="BB6" s="2"/>
      <c r="BC6" s="2"/>
      <c r="BD6" s="2" t="s">
        <v>109</v>
      </c>
      <c r="BE6" s="2" t="s">
        <v>126</v>
      </c>
      <c r="BF6" s="4">
        <f>1 + (1/2)</f>
        <v>1.5</v>
      </c>
      <c r="BG6" s="2" t="s">
        <v>114</v>
      </c>
      <c r="BH6" s="2"/>
      <c r="BI6" s="2"/>
      <c r="BJ6" s="4">
        <f>1 + (3/4)</f>
        <v>1.75</v>
      </c>
      <c r="BK6" s="2" t="s">
        <v>123</v>
      </c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 t="s">
        <v>133</v>
      </c>
      <c r="BX6" s="2"/>
      <c r="BY6" s="2"/>
      <c r="BZ6" s="2"/>
      <c r="CA6" s="2"/>
      <c r="CB6" s="2"/>
      <c r="CC6" s="2">
        <f>1/2</f>
        <v>0.5</v>
      </c>
      <c r="CD6" s="2" t="s">
        <v>128</v>
      </c>
      <c r="CE6" s="2"/>
      <c r="CF6" s="2"/>
      <c r="CG6" s="2"/>
      <c r="CH6" s="2" t="s">
        <v>115</v>
      </c>
      <c r="CI6" s="2" t="s">
        <v>112</v>
      </c>
      <c r="CJ6" s="2" t="s">
        <v>116</v>
      </c>
      <c r="CK6" s="2" t="s">
        <v>122</v>
      </c>
      <c r="CL6" s="2"/>
      <c r="CM6" s="2"/>
      <c r="CN6" s="2"/>
      <c r="CO6" s="2" t="s">
        <v>148</v>
      </c>
      <c r="CP6" s="2"/>
      <c r="CQ6" s="2"/>
      <c r="CR6" s="2"/>
      <c r="CS6" s="2"/>
      <c r="CT6" s="2"/>
      <c r="CU6" s="2"/>
      <c r="CV6" s="2"/>
      <c r="CW6" s="2"/>
      <c r="CX6" s="2" t="s">
        <v>119</v>
      </c>
      <c r="CY6" s="2" t="s">
        <v>116</v>
      </c>
    </row>
    <row r="7" spans="1:103" ht="15.75" customHeight="1" x14ac:dyDescent="0.2">
      <c r="A7" s="2" t="s">
        <v>142</v>
      </c>
      <c r="B7" s="2" t="s">
        <v>103</v>
      </c>
      <c r="C7" s="6" t="s">
        <v>263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3"/>
      <c r="CY7" s="3"/>
    </row>
    <row r="8" spans="1:103" ht="15.75" customHeight="1" x14ac:dyDescent="0.2">
      <c r="A8" s="2" t="s">
        <v>125</v>
      </c>
      <c r="B8" s="2" t="s">
        <v>103</v>
      </c>
      <c r="C8" s="6" t="s">
        <v>263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3"/>
      <c r="CY8" s="3"/>
    </row>
    <row r="9" spans="1:103" ht="15.75" customHeight="1" x14ac:dyDescent="0.2">
      <c r="A9" s="2" t="s">
        <v>147</v>
      </c>
      <c r="B9" s="2" t="s">
        <v>103</v>
      </c>
      <c r="C9" s="6" t="s">
        <v>263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3"/>
      <c r="CY9" s="3"/>
    </row>
    <row r="10" spans="1:103" ht="15.75" customHeight="1" x14ac:dyDescent="0.2">
      <c r="A10" s="2" t="s">
        <v>111</v>
      </c>
      <c r="B10" s="2" t="s">
        <v>103</v>
      </c>
      <c r="C10" s="6" t="s">
        <v>263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3"/>
      <c r="CY10" s="3"/>
    </row>
    <row r="11" spans="1:103" ht="15.75" customHeight="1" x14ac:dyDescent="0.2">
      <c r="A11" s="2" t="s">
        <v>115</v>
      </c>
      <c r="B11" s="2" t="s">
        <v>103</v>
      </c>
      <c r="C11" s="6" t="s">
        <v>263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3"/>
      <c r="CY11" s="3"/>
    </row>
    <row r="12" spans="1:103" ht="15.75" customHeight="1" x14ac:dyDescent="0.2">
      <c r="A12" s="2" t="s">
        <v>103</v>
      </c>
      <c r="B12" s="2" t="s">
        <v>109</v>
      </c>
      <c r="C12" s="6" t="s">
        <v>263</v>
      </c>
      <c r="D12" s="3"/>
      <c r="E12" s="2" t="s">
        <v>103</v>
      </c>
      <c r="F12" s="2"/>
      <c r="G12" s="2"/>
      <c r="H12" s="2" t="s">
        <v>149</v>
      </c>
      <c r="I12" s="2" t="s">
        <v>149</v>
      </c>
      <c r="J12" s="2" t="s">
        <v>150</v>
      </c>
      <c r="K12" s="2"/>
      <c r="L12" s="2" t="s">
        <v>151</v>
      </c>
      <c r="M12" s="2" t="s">
        <v>128</v>
      </c>
      <c r="N12" s="2" t="s">
        <v>152</v>
      </c>
      <c r="O12" s="2" t="s">
        <v>112</v>
      </c>
      <c r="P12" s="2"/>
      <c r="Q12" s="2" t="s">
        <v>142</v>
      </c>
      <c r="R12" s="2"/>
      <c r="S12" s="2" t="s">
        <v>153</v>
      </c>
      <c r="T12" s="2" t="s">
        <v>124</v>
      </c>
      <c r="U12" s="2" t="s">
        <v>154</v>
      </c>
      <c r="V12" s="2" t="s">
        <v>115</v>
      </c>
      <c r="W12" s="2"/>
      <c r="X12" s="2"/>
      <c r="Y12" s="2"/>
      <c r="Z12" s="2"/>
      <c r="AA12" s="2" t="s">
        <v>109</v>
      </c>
      <c r="AB12" s="2" t="s">
        <v>104</v>
      </c>
      <c r="AC12" s="2" t="s">
        <v>104</v>
      </c>
      <c r="AD12" s="2" t="s">
        <v>103</v>
      </c>
      <c r="AE12" s="2"/>
      <c r="AF12" s="2" t="s">
        <v>103</v>
      </c>
      <c r="AG12" s="2"/>
      <c r="AH12" s="2"/>
      <c r="AI12" s="2"/>
      <c r="AJ12" s="2" t="s">
        <v>155</v>
      </c>
      <c r="AK12" s="2" t="s">
        <v>116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 t="s">
        <v>103</v>
      </c>
      <c r="AW12" s="2" t="s">
        <v>147</v>
      </c>
      <c r="AX12" s="2"/>
      <c r="AY12" s="2" t="s">
        <v>129</v>
      </c>
      <c r="AZ12" s="2"/>
      <c r="BA12" s="2"/>
      <c r="BB12" s="2"/>
      <c r="BC12" s="2"/>
      <c r="BD12" s="2" t="s">
        <v>103</v>
      </c>
      <c r="BE12" s="2" t="s">
        <v>119</v>
      </c>
      <c r="BF12" s="2"/>
      <c r="BG12" s="2"/>
      <c r="BH12" s="2">
        <f>1/8</f>
        <v>0.125</v>
      </c>
      <c r="BI12" s="4" t="s">
        <v>156</v>
      </c>
      <c r="BJ12" s="2"/>
      <c r="BK12" s="2"/>
      <c r="BL12" s="2" t="s">
        <v>109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 t="s">
        <v>116</v>
      </c>
      <c r="BX12" s="2"/>
      <c r="BY12" s="2"/>
      <c r="BZ12" s="2"/>
      <c r="CA12" s="2"/>
      <c r="CB12" s="2"/>
      <c r="CC12" s="2">
        <f>3/4</f>
        <v>0.75</v>
      </c>
      <c r="CD12" s="2" t="s">
        <v>114</v>
      </c>
      <c r="CE12" s="2"/>
      <c r="CF12" s="2"/>
      <c r="CG12" s="2"/>
      <c r="CH12" s="2"/>
      <c r="CI12" s="2" t="s">
        <v>103</v>
      </c>
      <c r="CJ12" s="2" t="s">
        <v>116</v>
      </c>
      <c r="CK12" s="2" t="s">
        <v>105</v>
      </c>
      <c r="CL12" s="2"/>
      <c r="CM12" s="2"/>
      <c r="CN12" s="2"/>
      <c r="CO12" s="4" t="s">
        <v>157</v>
      </c>
      <c r="CP12" s="2"/>
      <c r="CQ12" s="2"/>
      <c r="CR12" s="2"/>
      <c r="CS12" s="2"/>
      <c r="CT12" s="2"/>
      <c r="CU12" s="2"/>
      <c r="CV12" s="2"/>
      <c r="CW12" s="2"/>
      <c r="CX12" s="2" t="s">
        <v>108</v>
      </c>
      <c r="CY12" s="2" t="s">
        <v>108</v>
      </c>
    </row>
    <row r="13" spans="1:103" ht="15.75" customHeight="1" x14ac:dyDescent="0.2">
      <c r="A13" s="2" t="s">
        <v>109</v>
      </c>
      <c r="B13" s="2" t="s">
        <v>109</v>
      </c>
      <c r="C13" s="6" t="s">
        <v>263</v>
      </c>
      <c r="D13" s="3"/>
      <c r="E13" s="2" t="s">
        <v>103</v>
      </c>
      <c r="F13" s="2"/>
      <c r="G13" s="2"/>
      <c r="H13" s="2" t="s">
        <v>119</v>
      </c>
      <c r="I13" s="2" t="s">
        <v>119</v>
      </c>
      <c r="J13" s="2" t="s">
        <v>114</v>
      </c>
      <c r="K13" s="2"/>
      <c r="L13" s="2" t="s">
        <v>133</v>
      </c>
      <c r="M13" s="2" t="s">
        <v>108</v>
      </c>
      <c r="N13" s="2" t="s">
        <v>129</v>
      </c>
      <c r="O13" s="2" t="s">
        <v>108</v>
      </c>
      <c r="P13" s="2"/>
      <c r="Q13" s="2"/>
      <c r="R13" s="2"/>
      <c r="S13" s="2" t="s">
        <v>150</v>
      </c>
      <c r="T13" s="2" t="s">
        <v>115</v>
      </c>
      <c r="U13" s="2" t="s">
        <v>115</v>
      </c>
      <c r="V13" s="2" t="s">
        <v>142</v>
      </c>
      <c r="W13" s="2"/>
      <c r="X13" s="2"/>
      <c r="Y13" s="2" t="s">
        <v>103</v>
      </c>
      <c r="Z13" s="2"/>
      <c r="AA13" s="2"/>
      <c r="AB13" s="2" t="s">
        <v>103</v>
      </c>
      <c r="AC13" s="2" t="s">
        <v>103</v>
      </c>
      <c r="AD13" s="2"/>
      <c r="AE13" s="2"/>
      <c r="AF13" s="2" t="s">
        <v>103</v>
      </c>
      <c r="AG13" s="2"/>
      <c r="AH13" s="2"/>
      <c r="AI13" s="2"/>
      <c r="AJ13" s="2" t="s">
        <v>129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112</v>
      </c>
      <c r="AX13" s="2"/>
      <c r="AY13" s="2" t="s">
        <v>120</v>
      </c>
      <c r="AZ13" s="2"/>
      <c r="BA13" s="2"/>
      <c r="BB13" s="2"/>
      <c r="BC13" s="2"/>
      <c r="BD13" s="2" t="s">
        <v>103</v>
      </c>
      <c r="BE13" s="2" t="s">
        <v>108</v>
      </c>
      <c r="BF13" s="2"/>
      <c r="BG13" s="2"/>
      <c r="BH13" s="2"/>
      <c r="BI13" s="2"/>
      <c r="BJ13" s="2"/>
      <c r="BK13" s="2"/>
      <c r="BL13" s="2" t="s">
        <v>103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>
        <f>1/2</f>
        <v>0.5</v>
      </c>
      <c r="CD13" s="2" t="s">
        <v>131</v>
      </c>
      <c r="CE13" s="2"/>
      <c r="CF13" s="2"/>
      <c r="CG13" s="2"/>
      <c r="CH13" s="2"/>
      <c r="CI13" s="2" t="s">
        <v>103</v>
      </c>
      <c r="CJ13" s="2" t="s">
        <v>128</v>
      </c>
      <c r="CK13" s="2" t="s">
        <v>114</v>
      </c>
      <c r="CL13" s="2"/>
      <c r="CM13" s="2"/>
      <c r="CN13" s="2"/>
      <c r="CO13" s="4" t="s">
        <v>146</v>
      </c>
      <c r="CP13" s="2"/>
      <c r="CQ13" s="2"/>
      <c r="CR13" s="2"/>
      <c r="CS13" s="2"/>
      <c r="CT13" s="2"/>
      <c r="CU13" s="2"/>
      <c r="CV13" s="2"/>
      <c r="CW13" s="2"/>
      <c r="CX13" s="2" t="s">
        <v>108</v>
      </c>
      <c r="CY13" s="2" t="s">
        <v>108</v>
      </c>
    </row>
    <row r="14" spans="1:103" ht="15.75" customHeight="1" x14ac:dyDescent="0.2">
      <c r="A14" s="2" t="s">
        <v>104</v>
      </c>
      <c r="B14" s="2" t="s">
        <v>109</v>
      </c>
      <c r="C14" s="6" t="s">
        <v>263</v>
      </c>
      <c r="D14" s="3"/>
      <c r="E14" s="2" t="s">
        <v>103</v>
      </c>
      <c r="F14" s="2"/>
      <c r="G14" s="2"/>
      <c r="H14" s="2" t="s">
        <v>120</v>
      </c>
      <c r="I14" s="2" t="s">
        <v>120</v>
      </c>
      <c r="J14" s="2" t="s">
        <v>105</v>
      </c>
      <c r="K14" s="2"/>
      <c r="L14" s="2" t="s">
        <v>158</v>
      </c>
      <c r="M14" s="2" t="s">
        <v>119</v>
      </c>
      <c r="N14" s="2" t="s">
        <v>144</v>
      </c>
      <c r="O14" s="2"/>
      <c r="P14" s="2"/>
      <c r="Q14" s="2" t="s">
        <v>129</v>
      </c>
      <c r="R14" s="2"/>
      <c r="S14" s="2" t="s">
        <v>107</v>
      </c>
      <c r="T14" s="2" t="s">
        <v>119</v>
      </c>
      <c r="U14" s="2" t="s">
        <v>119</v>
      </c>
      <c r="V14" s="2" t="s">
        <v>128</v>
      </c>
      <c r="W14" s="2"/>
      <c r="X14" s="2"/>
      <c r="Y14" s="2" t="s">
        <v>103</v>
      </c>
      <c r="Z14" s="2"/>
      <c r="AA14" s="2" t="s">
        <v>109</v>
      </c>
      <c r="AB14" s="2" t="s">
        <v>142</v>
      </c>
      <c r="AC14" s="2" t="s">
        <v>159</v>
      </c>
      <c r="AD14" s="2" t="s">
        <v>113</v>
      </c>
      <c r="AE14" s="2" t="s">
        <v>112</v>
      </c>
      <c r="AF14" s="2" t="s">
        <v>103</v>
      </c>
      <c r="AG14" s="2"/>
      <c r="AH14" s="2"/>
      <c r="AI14" s="2"/>
      <c r="AJ14" s="2" t="s">
        <v>144</v>
      </c>
      <c r="AK14" s="2"/>
      <c r="AL14" s="2" t="s">
        <v>112</v>
      </c>
      <c r="AM14" s="2" t="s">
        <v>104</v>
      </c>
      <c r="AN14" s="2"/>
      <c r="AO14" s="2"/>
      <c r="AP14" s="2"/>
      <c r="AQ14" s="2"/>
      <c r="AR14" s="2" t="s">
        <v>103</v>
      </c>
      <c r="AS14" s="2"/>
      <c r="AT14" s="2" t="s">
        <v>112</v>
      </c>
      <c r="AU14" s="2" t="s">
        <v>120</v>
      </c>
      <c r="AV14" s="2" t="s">
        <v>103</v>
      </c>
      <c r="AW14" s="2" t="s">
        <v>160</v>
      </c>
      <c r="AX14" s="2"/>
      <c r="AY14" s="2" t="s">
        <v>161</v>
      </c>
      <c r="AZ14" s="2"/>
      <c r="BA14" s="2"/>
      <c r="BB14" s="2"/>
      <c r="BC14" s="2"/>
      <c r="BD14" s="2" t="s">
        <v>103</v>
      </c>
      <c r="BE14" s="2" t="s">
        <v>108</v>
      </c>
      <c r="BF14" s="2" t="s">
        <v>103</v>
      </c>
      <c r="BG14" s="2" t="s">
        <v>114</v>
      </c>
      <c r="BH14" s="2"/>
      <c r="BI14" s="2"/>
      <c r="BJ14" s="2"/>
      <c r="BK14" s="2"/>
      <c r="BL14" s="2" t="s">
        <v>142</v>
      </c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 t="s">
        <v>103</v>
      </c>
      <c r="CB14" s="2" t="s">
        <v>110</v>
      </c>
      <c r="CC14" s="2" t="s">
        <v>103</v>
      </c>
      <c r="CD14" s="2" t="s">
        <v>129</v>
      </c>
      <c r="CE14" s="2"/>
      <c r="CF14" s="2"/>
      <c r="CG14" s="2"/>
      <c r="CH14" s="2"/>
      <c r="CI14" s="4">
        <f t="shared" ref="CI14:CI15" si="1">1 + (1/2)</f>
        <v>1.5</v>
      </c>
      <c r="CJ14" s="2" t="s">
        <v>129</v>
      </c>
      <c r="CK14" s="2" t="s">
        <v>161</v>
      </c>
      <c r="CL14" s="2"/>
      <c r="CM14" s="2"/>
      <c r="CN14" s="2"/>
      <c r="CO14" s="2" t="s">
        <v>162</v>
      </c>
      <c r="CP14" s="2"/>
      <c r="CQ14" s="2"/>
      <c r="CR14" s="2"/>
      <c r="CS14" s="2"/>
      <c r="CT14" s="2"/>
      <c r="CU14" s="2"/>
      <c r="CV14" s="2"/>
      <c r="CW14" s="2"/>
      <c r="CX14" s="2" t="s">
        <v>131</v>
      </c>
      <c r="CY14" s="2" t="s">
        <v>105</v>
      </c>
    </row>
    <row r="15" spans="1:103" ht="15.75" customHeight="1" x14ac:dyDescent="0.2">
      <c r="A15" s="2" t="s">
        <v>113</v>
      </c>
      <c r="B15" s="2" t="s">
        <v>109</v>
      </c>
      <c r="C15" s="6" t="s">
        <v>263</v>
      </c>
      <c r="D15" s="3"/>
      <c r="E15" s="2" t="s">
        <v>103</v>
      </c>
      <c r="F15" s="2"/>
      <c r="G15" s="2"/>
      <c r="H15" s="2" t="s">
        <v>126</v>
      </c>
      <c r="I15" s="2" t="s">
        <v>126</v>
      </c>
      <c r="J15" s="2" t="s">
        <v>105</v>
      </c>
      <c r="K15" s="2"/>
      <c r="L15" s="2" t="s">
        <v>163</v>
      </c>
      <c r="M15" s="2" t="s">
        <v>116</v>
      </c>
      <c r="N15" s="2" t="s">
        <v>164</v>
      </c>
      <c r="O15" s="2" t="s">
        <v>119</v>
      </c>
      <c r="P15" s="2"/>
      <c r="Q15" s="2" t="s">
        <v>116</v>
      </c>
      <c r="R15" s="2"/>
      <c r="S15" s="2" t="s">
        <v>110</v>
      </c>
      <c r="T15" s="2" t="s">
        <v>128</v>
      </c>
      <c r="U15" s="2" t="s">
        <v>150</v>
      </c>
      <c r="V15" s="2" t="s">
        <v>119</v>
      </c>
      <c r="W15" s="2"/>
      <c r="X15" s="2"/>
      <c r="Y15" s="2" t="s">
        <v>103</v>
      </c>
      <c r="Z15" s="2"/>
      <c r="AA15" s="2" t="s">
        <v>109</v>
      </c>
      <c r="AB15" s="2" t="s">
        <v>104</v>
      </c>
      <c r="AC15" s="2" t="s">
        <v>103</v>
      </c>
      <c r="AD15" s="2" t="s">
        <v>104</v>
      </c>
      <c r="AE15" s="2"/>
      <c r="AF15" s="2"/>
      <c r="AG15" s="2"/>
      <c r="AH15" s="2"/>
      <c r="AI15" s="2"/>
      <c r="AJ15" s="2" t="s">
        <v>144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103</v>
      </c>
      <c r="AW15" s="2" t="s">
        <v>115</v>
      </c>
      <c r="AX15" s="2"/>
      <c r="AY15" s="2" t="s">
        <v>105</v>
      </c>
      <c r="AZ15" s="2"/>
      <c r="BA15" s="2"/>
      <c r="BB15" s="2"/>
      <c r="BC15" s="2"/>
      <c r="BD15" s="2">
        <f>3/4</f>
        <v>0.75</v>
      </c>
      <c r="BE15" s="2" t="s">
        <v>115</v>
      </c>
      <c r="BF15" s="2" t="s">
        <v>103</v>
      </c>
      <c r="BG15" s="2" t="s">
        <v>120</v>
      </c>
      <c r="BH15" s="2">
        <f>1/2</f>
        <v>0.5</v>
      </c>
      <c r="BI15" s="2" t="s">
        <v>115</v>
      </c>
      <c r="BJ15" s="2">
        <f>1/2</f>
        <v>0.5</v>
      </c>
      <c r="BK15" s="2" t="s">
        <v>115</v>
      </c>
      <c r="BL15" s="2" t="s">
        <v>103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 t="s">
        <v>150</v>
      </c>
      <c r="BX15" s="2"/>
      <c r="BY15" s="2"/>
      <c r="BZ15" s="2"/>
      <c r="CA15" s="2"/>
      <c r="CB15" s="2"/>
      <c r="CC15" s="4">
        <f>1 + (1/2)</f>
        <v>1.5</v>
      </c>
      <c r="CD15" s="2" t="s">
        <v>138</v>
      </c>
      <c r="CE15" s="2"/>
      <c r="CF15" s="2"/>
      <c r="CG15" s="2"/>
      <c r="CH15" s="2"/>
      <c r="CI15" s="4">
        <f t="shared" si="1"/>
        <v>1.5</v>
      </c>
      <c r="CJ15" s="2" t="s">
        <v>165</v>
      </c>
      <c r="CK15" s="2" t="s">
        <v>113</v>
      </c>
      <c r="CL15" s="2"/>
      <c r="CM15" s="2"/>
      <c r="CN15" s="2"/>
      <c r="CO15" s="2" t="s">
        <v>116</v>
      </c>
      <c r="CP15" s="2"/>
      <c r="CQ15" s="2"/>
      <c r="CR15" s="2"/>
      <c r="CS15" s="2"/>
      <c r="CT15" s="2"/>
      <c r="CU15" s="2"/>
      <c r="CV15" s="2"/>
      <c r="CW15" s="2"/>
      <c r="CX15" s="2" t="s">
        <v>119</v>
      </c>
      <c r="CY15" s="2" t="s">
        <v>119</v>
      </c>
    </row>
    <row r="16" spans="1:103" ht="15.75" customHeight="1" x14ac:dyDescent="0.2">
      <c r="A16" s="2" t="s">
        <v>112</v>
      </c>
      <c r="B16" s="2" t="s">
        <v>109</v>
      </c>
      <c r="C16" s="6" t="s">
        <v>263</v>
      </c>
      <c r="D16" s="3"/>
      <c r="E16" s="2" t="s">
        <v>103</v>
      </c>
      <c r="F16" s="2"/>
      <c r="G16" s="2"/>
      <c r="H16" s="2" t="s">
        <v>120</v>
      </c>
      <c r="I16" s="2" t="s">
        <v>120</v>
      </c>
      <c r="J16" s="2" t="s">
        <v>120</v>
      </c>
      <c r="K16" s="2"/>
      <c r="L16" s="2" t="s">
        <v>151</v>
      </c>
      <c r="M16" s="2" t="s">
        <v>108</v>
      </c>
      <c r="N16" s="2" t="s">
        <v>166</v>
      </c>
      <c r="O16" s="2" t="s">
        <v>108</v>
      </c>
      <c r="P16" s="2"/>
      <c r="Q16" s="2"/>
      <c r="R16" s="2"/>
      <c r="S16" s="2" t="s">
        <v>105</v>
      </c>
      <c r="T16" s="2" t="s">
        <v>128</v>
      </c>
      <c r="U16" s="2" t="s">
        <v>108</v>
      </c>
      <c r="V16" s="2" t="s">
        <v>154</v>
      </c>
      <c r="W16" s="2"/>
      <c r="X16" s="2"/>
      <c r="Y16" s="2"/>
      <c r="Z16" s="2"/>
      <c r="AA16" s="2"/>
      <c r="AB16" s="2" t="s">
        <v>103</v>
      </c>
      <c r="AC16" s="2"/>
      <c r="AD16" s="2"/>
      <c r="AE16" s="2"/>
      <c r="AF16" s="2"/>
      <c r="AG16" s="2"/>
      <c r="AH16" s="2"/>
      <c r="AI16" s="2"/>
      <c r="AJ16" s="2"/>
      <c r="AK16" s="2"/>
      <c r="AL16" s="2" t="s">
        <v>108</v>
      </c>
      <c r="AM16" s="2" t="s">
        <v>142</v>
      </c>
      <c r="AN16" s="2"/>
      <c r="AO16" s="2" t="s">
        <v>125</v>
      </c>
      <c r="AP16" s="2"/>
      <c r="AQ16" s="2"/>
      <c r="AR16" s="2" t="s">
        <v>109</v>
      </c>
      <c r="AS16" s="2"/>
      <c r="AT16" s="2" t="s">
        <v>108</v>
      </c>
      <c r="AU16" s="2" t="s">
        <v>129</v>
      </c>
      <c r="AV16" s="2"/>
      <c r="AW16" s="2" t="s">
        <v>142</v>
      </c>
      <c r="AX16" s="2"/>
      <c r="AY16" s="2" t="s">
        <v>116</v>
      </c>
      <c r="AZ16" s="2"/>
      <c r="BA16" s="2"/>
      <c r="BB16" s="2"/>
      <c r="BC16" s="2"/>
      <c r="BD16" s="2">
        <f>1/2</f>
        <v>0.5</v>
      </c>
      <c r="BE16" s="2" t="s">
        <v>111</v>
      </c>
      <c r="BF16" s="2">
        <f>1/2</f>
        <v>0.5</v>
      </c>
      <c r="BG16" s="2" t="s">
        <v>119</v>
      </c>
      <c r="BH16" s="2"/>
      <c r="BI16" s="2"/>
      <c r="BJ16" s="2" t="s">
        <v>103</v>
      </c>
      <c r="BK16" s="2" t="s">
        <v>115</v>
      </c>
      <c r="BL16" s="4">
        <f>2 + (1/2)</f>
        <v>2.5</v>
      </c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>
        <f>1/2</f>
        <v>0.5</v>
      </c>
      <c r="CD16" s="2" t="s">
        <v>116</v>
      </c>
      <c r="CE16" s="2"/>
      <c r="CF16" s="2"/>
      <c r="CG16" s="2"/>
      <c r="CH16" s="2"/>
      <c r="CI16" s="2">
        <f>1/4</f>
        <v>0.25</v>
      </c>
      <c r="CJ16" s="2" t="s">
        <v>167</v>
      </c>
      <c r="CK16" s="2" t="s">
        <v>119</v>
      </c>
      <c r="CL16" s="2"/>
      <c r="CM16" s="2"/>
      <c r="CN16" s="2"/>
      <c r="CO16" s="2" t="s">
        <v>109</v>
      </c>
      <c r="CP16" s="2"/>
      <c r="CQ16" s="2"/>
      <c r="CR16" s="2"/>
      <c r="CS16" s="2"/>
      <c r="CT16" s="2"/>
      <c r="CU16" s="2"/>
      <c r="CV16" s="2"/>
      <c r="CW16" s="2"/>
      <c r="CX16" s="2" t="s">
        <v>115</v>
      </c>
      <c r="CY16" s="2" t="s">
        <v>168</v>
      </c>
    </row>
    <row r="17" spans="1:103" ht="15.75" customHeight="1" x14ac:dyDescent="0.2">
      <c r="A17" s="2" t="s">
        <v>142</v>
      </c>
      <c r="B17" s="2" t="s">
        <v>109</v>
      </c>
      <c r="C17" s="6" t="s">
        <v>263</v>
      </c>
      <c r="D17" s="3"/>
      <c r="E17" s="2" t="s">
        <v>103</v>
      </c>
      <c r="F17" s="2"/>
      <c r="G17" s="2"/>
      <c r="H17" s="2" t="s">
        <v>169</v>
      </c>
      <c r="I17" s="2" t="s">
        <v>169</v>
      </c>
      <c r="J17" s="2" t="s">
        <v>120</v>
      </c>
      <c r="K17" s="2"/>
      <c r="L17" s="2" t="s">
        <v>170</v>
      </c>
      <c r="M17" s="2" t="s">
        <v>129</v>
      </c>
      <c r="N17" s="2" t="s">
        <v>151</v>
      </c>
      <c r="O17" s="2" t="s">
        <v>115</v>
      </c>
      <c r="P17" s="2"/>
      <c r="Q17" s="2" t="s">
        <v>128</v>
      </c>
      <c r="R17" s="2"/>
      <c r="S17" s="2" t="s">
        <v>133</v>
      </c>
      <c r="T17" s="2" t="s">
        <v>120</v>
      </c>
      <c r="U17" s="2" t="s">
        <v>120</v>
      </c>
      <c r="V17" s="2" t="s">
        <v>114</v>
      </c>
      <c r="W17" s="2"/>
      <c r="X17" s="2"/>
      <c r="Y17" s="2" t="s">
        <v>104</v>
      </c>
      <c r="Z17" s="2"/>
      <c r="AA17" s="2"/>
      <c r="AB17" s="2"/>
      <c r="AC17" s="2" t="s">
        <v>171</v>
      </c>
      <c r="AD17" s="2" t="s">
        <v>112</v>
      </c>
      <c r="AE17" s="2"/>
      <c r="AF17" s="2"/>
      <c r="AG17" s="2" t="s">
        <v>104</v>
      </c>
      <c r="AH17" s="2" t="s">
        <v>103</v>
      </c>
      <c r="AI17" s="2"/>
      <c r="AJ17" s="2" t="s">
        <v>136</v>
      </c>
      <c r="AK17" s="2"/>
      <c r="AL17" s="2" t="s">
        <v>103</v>
      </c>
      <c r="AM17" s="2"/>
      <c r="AN17" s="2"/>
      <c r="AO17" s="2" t="s">
        <v>113</v>
      </c>
      <c r="AP17" s="2"/>
      <c r="AQ17" s="2"/>
      <c r="AR17" s="2"/>
      <c r="AS17" s="2"/>
      <c r="AT17" s="2" t="s">
        <v>112</v>
      </c>
      <c r="AU17" s="2" t="s">
        <v>172</v>
      </c>
      <c r="AV17" s="2" t="s">
        <v>109</v>
      </c>
      <c r="AW17" s="2" t="s">
        <v>141</v>
      </c>
      <c r="AX17" s="2" t="s">
        <v>113</v>
      </c>
      <c r="AY17" s="2" t="s">
        <v>116</v>
      </c>
      <c r="AZ17" s="2"/>
      <c r="BA17" s="2"/>
      <c r="BB17" s="2"/>
      <c r="BC17" s="2"/>
      <c r="BD17" s="2"/>
      <c r="BE17" s="2"/>
      <c r="BF17" s="2" t="s">
        <v>104</v>
      </c>
      <c r="BG17" s="2" t="s">
        <v>161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 t="s">
        <v>144</v>
      </c>
      <c r="BX17" s="2"/>
      <c r="BY17" s="2"/>
      <c r="BZ17" s="2"/>
      <c r="CA17" s="2"/>
      <c r="CB17" s="2"/>
      <c r="CC17" s="2">
        <f t="shared" ref="CC17:CC18" si="2">3/4</f>
        <v>0.75</v>
      </c>
      <c r="CD17" s="2" t="s">
        <v>169</v>
      </c>
      <c r="CE17" s="2"/>
      <c r="CF17" s="2"/>
      <c r="CG17" s="2"/>
      <c r="CH17" s="2"/>
      <c r="CI17" s="2" t="s">
        <v>104</v>
      </c>
      <c r="CJ17" s="2" t="s">
        <v>129</v>
      </c>
      <c r="CK17" s="2" t="s">
        <v>116</v>
      </c>
      <c r="CL17" s="2"/>
      <c r="CM17" s="2"/>
      <c r="CN17" s="2"/>
      <c r="CO17" s="4" t="s">
        <v>108</v>
      </c>
      <c r="CP17" s="2"/>
      <c r="CQ17" s="2"/>
      <c r="CR17" s="2"/>
      <c r="CS17" s="2"/>
      <c r="CT17" s="2"/>
      <c r="CU17" s="2"/>
      <c r="CV17" s="2"/>
      <c r="CW17" s="2"/>
      <c r="CX17" s="3"/>
      <c r="CY17" s="2" t="s">
        <v>115</v>
      </c>
    </row>
    <row r="18" spans="1:103" ht="15.75" customHeight="1" x14ac:dyDescent="0.2">
      <c r="A18" s="2" t="s">
        <v>125</v>
      </c>
      <c r="B18" s="2" t="s">
        <v>109</v>
      </c>
      <c r="C18" s="6" t="s">
        <v>263</v>
      </c>
      <c r="D18" s="3"/>
      <c r="E18" s="2" t="s">
        <v>103</v>
      </c>
      <c r="F18" s="2"/>
      <c r="G18" s="2"/>
      <c r="H18" s="2" t="s">
        <v>127</v>
      </c>
      <c r="I18" s="2" t="s">
        <v>127</v>
      </c>
      <c r="J18" s="2" t="s">
        <v>173</v>
      </c>
      <c r="K18" s="2"/>
      <c r="L18" s="2" t="s">
        <v>170</v>
      </c>
      <c r="M18" s="2" t="s">
        <v>116</v>
      </c>
      <c r="N18" s="2" t="s">
        <v>151</v>
      </c>
      <c r="O18" s="2" t="s">
        <v>119</v>
      </c>
      <c r="P18" s="2"/>
      <c r="Q18" s="2" t="s">
        <v>138</v>
      </c>
      <c r="R18" s="2" t="s">
        <v>174</v>
      </c>
      <c r="S18" s="2" t="s">
        <v>151</v>
      </c>
      <c r="T18" s="2" t="s">
        <v>126</v>
      </c>
      <c r="U18" s="2" t="s">
        <v>175</v>
      </c>
      <c r="V18" s="2" t="s">
        <v>150</v>
      </c>
      <c r="W18" s="2"/>
      <c r="X18" s="2"/>
      <c r="Y18" s="2" t="s">
        <v>103</v>
      </c>
      <c r="Z18" s="2"/>
      <c r="AA18" s="2" t="s">
        <v>109</v>
      </c>
      <c r="AB18" s="2" t="s">
        <v>130</v>
      </c>
      <c r="AC18" s="2" t="s">
        <v>125</v>
      </c>
      <c r="AD18" s="2" t="s">
        <v>130</v>
      </c>
      <c r="AE18" s="2"/>
      <c r="AF18" s="2" t="s">
        <v>103</v>
      </c>
      <c r="AG18" s="2" t="s">
        <v>142</v>
      </c>
      <c r="AH18" s="2"/>
      <c r="AI18" s="2"/>
      <c r="AJ18" s="2" t="s">
        <v>176</v>
      </c>
      <c r="AK18" s="2"/>
      <c r="AL18" s="2" t="s">
        <v>115</v>
      </c>
      <c r="AM18" s="2" t="s">
        <v>103</v>
      </c>
      <c r="AN18" s="2" t="s">
        <v>108</v>
      </c>
      <c r="AO18" s="2"/>
      <c r="AP18" s="2"/>
      <c r="AQ18" s="2"/>
      <c r="AR18" s="2"/>
      <c r="AS18" s="2"/>
      <c r="AT18" s="2" t="s">
        <v>115</v>
      </c>
      <c r="AU18" s="2" t="s">
        <v>105</v>
      </c>
      <c r="AV18" s="2" t="s">
        <v>103</v>
      </c>
      <c r="AW18" s="2" t="s">
        <v>167</v>
      </c>
      <c r="AX18" s="2"/>
      <c r="AY18" s="2" t="s">
        <v>138</v>
      </c>
      <c r="AZ18" s="2"/>
      <c r="BA18" s="2"/>
      <c r="BB18" s="2"/>
      <c r="BC18" s="2"/>
      <c r="BD18" s="2" t="s">
        <v>103</v>
      </c>
      <c r="BE18" s="2" t="s">
        <v>119</v>
      </c>
      <c r="BF18" s="4">
        <f>3 + (1/2)</f>
        <v>3.5</v>
      </c>
      <c r="BG18" s="2" t="s">
        <v>138</v>
      </c>
      <c r="BH18" s="2"/>
      <c r="BI18" s="2"/>
      <c r="BJ18" s="2">
        <f>1/2</f>
        <v>0.5</v>
      </c>
      <c r="BK18" s="2" t="s">
        <v>130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 t="s">
        <v>176</v>
      </c>
      <c r="BX18" s="2" t="s">
        <v>113</v>
      </c>
      <c r="BY18" s="2"/>
      <c r="BZ18" s="2"/>
      <c r="CA18" s="2"/>
      <c r="CB18" s="2"/>
      <c r="CC18" s="2">
        <f t="shared" si="2"/>
        <v>0.75</v>
      </c>
      <c r="CD18" s="2" t="s">
        <v>161</v>
      </c>
      <c r="CE18" s="2"/>
      <c r="CF18" s="2"/>
      <c r="CG18" s="2"/>
      <c r="CH18" s="2"/>
      <c r="CI18" s="2" t="s">
        <v>113</v>
      </c>
      <c r="CJ18" s="2" t="s">
        <v>138</v>
      </c>
      <c r="CK18" s="2" t="s">
        <v>105</v>
      </c>
      <c r="CL18" s="2"/>
      <c r="CM18" s="2"/>
      <c r="CN18" s="2"/>
      <c r="CO18" s="2" t="s">
        <v>115</v>
      </c>
      <c r="CP18" s="2"/>
      <c r="CQ18" s="2"/>
      <c r="CR18" s="2"/>
      <c r="CS18" s="2"/>
      <c r="CT18" s="2"/>
      <c r="CU18" s="2"/>
      <c r="CV18" s="2"/>
      <c r="CW18" s="2"/>
      <c r="CX18" s="2" t="s">
        <v>119</v>
      </c>
      <c r="CY18" s="2" t="s">
        <v>119</v>
      </c>
    </row>
    <row r="19" spans="1:103" ht="15.75" customHeight="1" x14ac:dyDescent="0.2">
      <c r="A19" s="2" t="s">
        <v>147</v>
      </c>
      <c r="B19" s="2" t="s">
        <v>109</v>
      </c>
      <c r="C19" s="6" t="s">
        <v>263</v>
      </c>
      <c r="D19" s="3"/>
      <c r="E19" s="2" t="s">
        <v>103</v>
      </c>
      <c r="F19" s="2"/>
      <c r="G19" s="2"/>
      <c r="H19" s="2" t="s">
        <v>169</v>
      </c>
      <c r="I19" s="2" t="s">
        <v>169</v>
      </c>
      <c r="J19" s="2" t="s">
        <v>114</v>
      </c>
      <c r="K19" s="2"/>
      <c r="L19" s="2" t="s">
        <v>177</v>
      </c>
      <c r="M19" s="2" t="s">
        <v>116</v>
      </c>
      <c r="N19" s="2" t="s">
        <v>133</v>
      </c>
      <c r="O19" s="2" t="s">
        <v>108</v>
      </c>
      <c r="P19" s="2"/>
      <c r="Q19" s="2" t="s">
        <v>178</v>
      </c>
      <c r="R19" s="2" t="s">
        <v>108</v>
      </c>
      <c r="S19" s="2" t="s">
        <v>158</v>
      </c>
      <c r="T19" s="2" t="s">
        <v>114</v>
      </c>
      <c r="U19" s="2" t="s">
        <v>116</v>
      </c>
      <c r="V19" s="2" t="s">
        <v>150</v>
      </c>
      <c r="W19" s="2"/>
      <c r="X19" s="2"/>
      <c r="Y19" s="2" t="s">
        <v>109</v>
      </c>
      <c r="Z19" s="2"/>
      <c r="AA19" s="2"/>
      <c r="AB19" s="2" t="s">
        <v>111</v>
      </c>
      <c r="AC19" s="2" t="s">
        <v>147</v>
      </c>
      <c r="AD19" s="2" t="s">
        <v>130</v>
      </c>
      <c r="AE19" s="2"/>
      <c r="AF19" s="2"/>
      <c r="AG19" s="2" t="s">
        <v>113</v>
      </c>
      <c r="AH19" s="2" t="s">
        <v>103</v>
      </c>
      <c r="AI19" s="2"/>
      <c r="AJ19" s="2" t="s">
        <v>118</v>
      </c>
      <c r="AK19" s="2"/>
      <c r="AL19" s="2" t="s">
        <v>125</v>
      </c>
      <c r="AM19" s="2" t="s">
        <v>103</v>
      </c>
      <c r="AN19" s="2"/>
      <c r="AO19" s="2"/>
      <c r="AP19" s="2"/>
      <c r="AQ19" s="2"/>
      <c r="AR19" s="2"/>
      <c r="AS19" s="2"/>
      <c r="AT19" s="2" t="s">
        <v>125</v>
      </c>
      <c r="AU19" s="2" t="s">
        <v>131</v>
      </c>
      <c r="AV19" s="2"/>
      <c r="AW19" s="2" t="s">
        <v>108</v>
      </c>
      <c r="AX19" s="2" t="s">
        <v>113</v>
      </c>
      <c r="AY19" s="2" t="s">
        <v>161</v>
      </c>
      <c r="AZ19" s="2"/>
      <c r="BA19" s="2"/>
      <c r="BB19" s="2"/>
      <c r="BC19" s="2"/>
      <c r="BD19" s="2" t="s">
        <v>103</v>
      </c>
      <c r="BE19" s="2" t="s">
        <v>154</v>
      </c>
      <c r="BF19" s="2" t="s">
        <v>109</v>
      </c>
      <c r="BG19" s="2" t="s">
        <v>126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 t="s">
        <v>179</v>
      </c>
      <c r="BX19" s="2"/>
      <c r="BY19" s="2"/>
      <c r="BZ19" s="2"/>
      <c r="CA19" s="2"/>
      <c r="CB19" s="2"/>
      <c r="CC19" s="2" t="s">
        <v>103</v>
      </c>
      <c r="CD19" s="2" t="s">
        <v>138</v>
      </c>
      <c r="CE19" s="2"/>
      <c r="CF19" s="2"/>
      <c r="CG19" s="2"/>
      <c r="CH19" s="2"/>
      <c r="CI19" s="2" t="s">
        <v>109</v>
      </c>
      <c r="CJ19" s="2" t="s">
        <v>105</v>
      </c>
      <c r="CK19" s="2" t="s">
        <v>131</v>
      </c>
      <c r="CL19" s="2"/>
      <c r="CM19" s="2"/>
      <c r="CN19" s="2"/>
      <c r="CO19" s="2" t="s">
        <v>125</v>
      </c>
      <c r="CP19" s="2"/>
      <c r="CQ19" s="2"/>
      <c r="CR19" s="2"/>
      <c r="CS19" s="2"/>
      <c r="CT19" s="2"/>
      <c r="CU19" s="2"/>
      <c r="CV19" s="2"/>
      <c r="CW19" s="2"/>
      <c r="CX19" s="2" t="s">
        <v>114</v>
      </c>
      <c r="CY19" s="2" t="s">
        <v>114</v>
      </c>
    </row>
    <row r="20" spans="1:103" ht="15.75" customHeight="1" x14ac:dyDescent="0.2">
      <c r="A20" s="2" t="s">
        <v>111</v>
      </c>
      <c r="B20" s="2" t="s">
        <v>109</v>
      </c>
      <c r="C20" s="6" t="s">
        <v>263</v>
      </c>
      <c r="D20" s="3"/>
      <c r="E20" s="2"/>
      <c r="F20" s="2"/>
      <c r="G20" s="2" t="s">
        <v>103</v>
      </c>
      <c r="H20" s="2" t="s">
        <v>180</v>
      </c>
      <c r="I20" s="2" t="s">
        <v>180</v>
      </c>
      <c r="J20" s="2" t="s">
        <v>108</v>
      </c>
      <c r="K20" s="2"/>
      <c r="L20" s="2" t="s">
        <v>170</v>
      </c>
      <c r="M20" s="2" t="s">
        <v>108</v>
      </c>
      <c r="N20" s="2" t="s">
        <v>146</v>
      </c>
      <c r="O20" s="2" t="s">
        <v>125</v>
      </c>
      <c r="P20" s="2"/>
      <c r="Q20" s="2" t="s">
        <v>128</v>
      </c>
      <c r="R20" s="2" t="s">
        <v>112</v>
      </c>
      <c r="S20" s="2" t="s">
        <v>151</v>
      </c>
      <c r="T20" s="2" t="s">
        <v>126</v>
      </c>
      <c r="U20" s="2" t="s">
        <v>120</v>
      </c>
      <c r="V20" s="2" t="s">
        <v>126</v>
      </c>
      <c r="W20" s="2"/>
      <c r="X20" s="2"/>
      <c r="Y20" s="2" t="s">
        <v>109</v>
      </c>
      <c r="Z20" s="2"/>
      <c r="AA20" s="2" t="s">
        <v>109</v>
      </c>
      <c r="AB20" s="2" t="s">
        <v>147</v>
      </c>
      <c r="AC20" s="2" t="s">
        <v>124</v>
      </c>
      <c r="AD20" s="2" t="s">
        <v>125</v>
      </c>
      <c r="AE20" s="2"/>
      <c r="AF20" s="2"/>
      <c r="AG20" s="2"/>
      <c r="AH20" s="2"/>
      <c r="AI20" s="2"/>
      <c r="AJ20" s="2" t="s">
        <v>158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 t="s">
        <v>125</v>
      </c>
      <c r="AW20" s="2" t="s">
        <v>160</v>
      </c>
      <c r="AX20" s="2" t="s">
        <v>112</v>
      </c>
      <c r="AY20" s="2" t="s">
        <v>105</v>
      </c>
      <c r="AZ20" s="2"/>
      <c r="BA20" s="2"/>
      <c r="BB20" s="2"/>
      <c r="BC20" s="2"/>
      <c r="BD20" s="2" t="s">
        <v>103</v>
      </c>
      <c r="BE20" s="2" t="s">
        <v>128</v>
      </c>
      <c r="BF20" s="2" t="s">
        <v>113</v>
      </c>
      <c r="BG20" s="2" t="s">
        <v>105</v>
      </c>
      <c r="BH20" s="2"/>
      <c r="BI20" s="2"/>
      <c r="BJ20" s="2"/>
      <c r="BK20" s="2"/>
      <c r="BL20" s="2" t="s">
        <v>109</v>
      </c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 t="s">
        <v>144</v>
      </c>
      <c r="BX20" s="2"/>
      <c r="BY20" s="2"/>
      <c r="BZ20" s="2"/>
      <c r="CA20" s="2"/>
      <c r="CB20" s="2"/>
      <c r="CC20" s="2" t="s">
        <v>103</v>
      </c>
      <c r="CD20" s="2" t="s">
        <v>105</v>
      </c>
      <c r="CE20" s="2"/>
      <c r="CF20" s="2"/>
      <c r="CG20" s="2"/>
      <c r="CH20" s="2"/>
      <c r="CI20" s="2" t="s">
        <v>113</v>
      </c>
      <c r="CJ20" s="2" t="s">
        <v>144</v>
      </c>
      <c r="CK20" s="2" t="s">
        <v>116</v>
      </c>
      <c r="CL20" s="2"/>
      <c r="CM20" s="2"/>
      <c r="CN20" s="2"/>
      <c r="CO20" s="2" t="s">
        <v>112</v>
      </c>
      <c r="CP20" s="2"/>
      <c r="CQ20" s="2"/>
      <c r="CR20" s="2"/>
      <c r="CS20" s="2"/>
      <c r="CT20" s="2"/>
      <c r="CU20" s="2"/>
      <c r="CV20" s="2"/>
      <c r="CW20" s="2"/>
      <c r="CX20" s="2" t="s">
        <v>115</v>
      </c>
      <c r="CY20" s="2" t="s">
        <v>115</v>
      </c>
    </row>
    <row r="21" spans="1:103" ht="15.75" customHeight="1" x14ac:dyDescent="0.2">
      <c r="A21" s="2" t="s">
        <v>115</v>
      </c>
      <c r="B21" s="2" t="s">
        <v>109</v>
      </c>
      <c r="C21" s="6" t="s">
        <v>263</v>
      </c>
      <c r="D21" s="2"/>
      <c r="E21" s="2" t="s">
        <v>103</v>
      </c>
      <c r="F21" s="2"/>
      <c r="G21" s="2"/>
      <c r="H21" s="2" t="s">
        <v>169</v>
      </c>
      <c r="I21" s="2" t="s">
        <v>169</v>
      </c>
      <c r="J21" s="2"/>
      <c r="K21" s="2"/>
      <c r="L21" s="2" t="s">
        <v>136</v>
      </c>
      <c r="M21" s="2" t="s">
        <v>116</v>
      </c>
      <c r="N21" s="2" t="s">
        <v>155</v>
      </c>
      <c r="O21" s="2"/>
      <c r="P21" s="2"/>
      <c r="Q21" s="2"/>
      <c r="R21" s="2"/>
      <c r="S21" s="2" t="s">
        <v>110</v>
      </c>
      <c r="T21" s="2" t="s">
        <v>114</v>
      </c>
      <c r="U21" s="2" t="s">
        <v>116</v>
      </c>
      <c r="V21" s="2" t="s">
        <v>167</v>
      </c>
      <c r="W21" s="2"/>
      <c r="X21" s="2"/>
      <c r="Y21" s="2"/>
      <c r="Z21" s="2"/>
      <c r="AA21" s="2" t="s">
        <v>109</v>
      </c>
      <c r="AB21" s="2" t="s">
        <v>112</v>
      </c>
      <c r="AC21" s="2" t="s">
        <v>109</v>
      </c>
      <c r="AD21" s="2" t="s">
        <v>109</v>
      </c>
      <c r="AE21" s="2"/>
      <c r="AF21" s="2"/>
      <c r="AG21" s="2"/>
      <c r="AH21" s="2"/>
      <c r="AI21" s="2"/>
      <c r="AJ21" s="2" t="s">
        <v>107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s">
        <v>141</v>
      </c>
      <c r="AX21" s="2" t="s">
        <v>109</v>
      </c>
      <c r="AY21" s="2" t="s">
        <v>161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 t="s">
        <v>104</v>
      </c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 t="s">
        <v>107</v>
      </c>
      <c r="BX21" s="2"/>
      <c r="BY21" s="2"/>
      <c r="BZ21" s="2"/>
      <c r="CA21" s="2"/>
      <c r="CB21" s="2"/>
      <c r="CC21" s="4">
        <f>1 +(1/4)</f>
        <v>1.25</v>
      </c>
      <c r="CD21" s="2" t="s">
        <v>114</v>
      </c>
      <c r="CE21" s="2"/>
      <c r="CF21" s="2"/>
      <c r="CG21" s="2"/>
      <c r="CH21" s="2"/>
      <c r="CI21" s="2" t="s">
        <v>109</v>
      </c>
      <c r="CJ21" s="2" t="s">
        <v>181</v>
      </c>
      <c r="CK21" s="2" t="s">
        <v>105</v>
      </c>
      <c r="CL21" s="2"/>
      <c r="CM21" s="2"/>
      <c r="CN21" s="2"/>
      <c r="CO21" s="2" t="s">
        <v>115</v>
      </c>
      <c r="CP21" s="2"/>
      <c r="CQ21" s="2"/>
      <c r="CR21" s="2"/>
      <c r="CS21" s="2"/>
      <c r="CT21" s="2"/>
      <c r="CU21" s="2"/>
      <c r="CV21" s="2"/>
      <c r="CW21" s="2"/>
      <c r="CX21" s="3"/>
      <c r="CY21" s="3"/>
    </row>
    <row r="22" spans="1:103" ht="15.75" customHeight="1" x14ac:dyDescent="0.2">
      <c r="A22" s="2" t="s">
        <v>103</v>
      </c>
      <c r="B22" s="2" t="s">
        <v>104</v>
      </c>
      <c r="C22" s="6" t="s">
        <v>263</v>
      </c>
      <c r="D22" s="3"/>
      <c r="E22" s="2" t="s">
        <v>103</v>
      </c>
      <c r="F22" s="2"/>
      <c r="G22" s="2"/>
      <c r="H22" s="2" t="s">
        <v>150</v>
      </c>
      <c r="I22" s="2" t="s">
        <v>150</v>
      </c>
      <c r="J22" s="2" t="s">
        <v>120</v>
      </c>
      <c r="K22" s="2"/>
      <c r="L22" s="2" t="s">
        <v>163</v>
      </c>
      <c r="M22" s="2" t="s">
        <v>110</v>
      </c>
      <c r="N22" s="2" t="s">
        <v>144</v>
      </c>
      <c r="O22" s="2" t="s">
        <v>119</v>
      </c>
      <c r="P22" s="2"/>
      <c r="Q22" s="2" t="s">
        <v>119</v>
      </c>
      <c r="R22" s="2" t="s">
        <v>142</v>
      </c>
      <c r="S22" s="2" t="s">
        <v>144</v>
      </c>
      <c r="T22" s="2" t="s">
        <v>130</v>
      </c>
      <c r="U22" s="2" t="s">
        <v>154</v>
      </c>
      <c r="V22" s="2" t="s">
        <v>108</v>
      </c>
      <c r="W22" s="2"/>
      <c r="X22" s="2"/>
      <c r="Y22" s="2" t="s">
        <v>109</v>
      </c>
      <c r="Z22" s="2"/>
      <c r="AA22" s="2"/>
      <c r="AB22" s="2" t="s">
        <v>113</v>
      </c>
      <c r="AC22" s="2" t="s">
        <v>104</v>
      </c>
      <c r="AD22" s="2" t="s">
        <v>109</v>
      </c>
      <c r="AE22" s="2" t="s">
        <v>104</v>
      </c>
      <c r="AF22" s="2"/>
      <c r="AG22" s="4" t="s">
        <v>109</v>
      </c>
      <c r="AH22" s="2"/>
      <c r="AI22" s="2"/>
      <c r="AJ22" s="2" t="s">
        <v>133</v>
      </c>
      <c r="AK22" s="2"/>
      <c r="AL22" s="2" t="s">
        <v>111</v>
      </c>
      <c r="AM22" s="2" t="s">
        <v>109</v>
      </c>
      <c r="AN22" s="2" t="s">
        <v>103</v>
      </c>
      <c r="AO22" s="2" t="s">
        <v>103</v>
      </c>
      <c r="AP22" s="4" t="s">
        <v>109</v>
      </c>
      <c r="AQ22" s="2"/>
      <c r="AR22" s="2"/>
      <c r="AS22" s="2"/>
      <c r="AT22" s="2" t="s">
        <v>111</v>
      </c>
      <c r="AU22" s="2" t="s">
        <v>182</v>
      </c>
      <c r="AV22" s="2" t="s">
        <v>103</v>
      </c>
      <c r="AW22" s="2" t="s">
        <v>111</v>
      </c>
      <c r="AX22" s="2"/>
      <c r="AY22" s="2" t="s">
        <v>129</v>
      </c>
      <c r="AZ22" s="2"/>
      <c r="BA22" s="2"/>
      <c r="BB22" s="2"/>
      <c r="BC22" s="2"/>
      <c r="BD22" s="2" t="s">
        <v>103</v>
      </c>
      <c r="BE22" s="2" t="s">
        <v>150</v>
      </c>
      <c r="BF22" s="2" t="s">
        <v>109</v>
      </c>
      <c r="BG22" s="2" t="s">
        <v>150</v>
      </c>
      <c r="BH22" s="2"/>
      <c r="BI22" s="2"/>
      <c r="BJ22" s="2"/>
      <c r="BK22" s="2"/>
      <c r="BL22" s="2"/>
      <c r="BM22" s="2" t="s">
        <v>103</v>
      </c>
      <c r="BN22" s="2"/>
      <c r="BO22" s="2"/>
      <c r="BP22" s="2"/>
      <c r="BQ22" s="2"/>
      <c r="BR22" s="2"/>
      <c r="BS22" s="2"/>
      <c r="BT22" s="2"/>
      <c r="BU22" s="2"/>
      <c r="BV22" s="2"/>
      <c r="BW22" s="2" t="s">
        <v>110</v>
      </c>
      <c r="BX22" s="2"/>
      <c r="BY22" s="2"/>
      <c r="BZ22" s="2"/>
      <c r="CA22" s="2"/>
      <c r="CB22" s="2"/>
      <c r="CC22" s="2">
        <f>1/2</f>
        <v>0.5</v>
      </c>
      <c r="CD22" s="2" t="s">
        <v>116</v>
      </c>
      <c r="CE22" s="2"/>
      <c r="CF22" s="2"/>
      <c r="CG22" s="2"/>
      <c r="CH22" s="2"/>
      <c r="CI22" s="2">
        <f>1/2</f>
        <v>0.5</v>
      </c>
      <c r="CJ22" s="2" t="s">
        <v>128</v>
      </c>
      <c r="CK22" s="2" t="s">
        <v>128</v>
      </c>
      <c r="CL22" s="2"/>
      <c r="CM22" s="2"/>
      <c r="CN22" s="2"/>
      <c r="CO22" s="4" t="s">
        <v>136</v>
      </c>
      <c r="CP22" s="2"/>
      <c r="CQ22" s="2"/>
      <c r="CR22" s="2"/>
      <c r="CS22" s="2"/>
      <c r="CT22" s="2"/>
      <c r="CU22" s="2"/>
      <c r="CV22" s="2"/>
      <c r="CW22" s="2"/>
      <c r="CX22" s="2" t="s">
        <v>108</v>
      </c>
      <c r="CY22" s="2" t="s">
        <v>108</v>
      </c>
    </row>
    <row r="23" spans="1:103" ht="15.75" customHeight="1" x14ac:dyDescent="0.2">
      <c r="A23" s="2" t="s">
        <v>109</v>
      </c>
      <c r="B23" s="2" t="s">
        <v>104</v>
      </c>
      <c r="C23" s="6" t="s">
        <v>263</v>
      </c>
      <c r="D23" s="3"/>
      <c r="E23" s="2" t="s">
        <v>103</v>
      </c>
      <c r="F23" s="2"/>
      <c r="G23" s="2"/>
      <c r="H23" s="2" t="s">
        <v>119</v>
      </c>
      <c r="I23" s="2" t="s">
        <v>119</v>
      </c>
      <c r="J23" s="2" t="s">
        <v>174</v>
      </c>
      <c r="K23" s="2"/>
      <c r="L23" s="2" t="s">
        <v>136</v>
      </c>
      <c r="M23" s="2" t="s">
        <v>116</v>
      </c>
      <c r="N23" s="2" t="s">
        <v>110</v>
      </c>
      <c r="O23" s="2" t="s">
        <v>112</v>
      </c>
      <c r="P23" s="2"/>
      <c r="Q23" s="2"/>
      <c r="R23" s="2"/>
      <c r="S23" s="2" t="s">
        <v>126</v>
      </c>
      <c r="T23" s="2" t="s">
        <v>104</v>
      </c>
      <c r="U23" s="2" t="s">
        <v>115</v>
      </c>
      <c r="V23" s="2" t="s">
        <v>113</v>
      </c>
      <c r="W23" s="2"/>
      <c r="X23" s="2"/>
      <c r="Y23" s="2" t="s">
        <v>109</v>
      </c>
      <c r="Z23" s="2"/>
      <c r="AA23" s="2"/>
      <c r="AB23" s="2" t="s">
        <v>109</v>
      </c>
      <c r="AC23" s="2"/>
      <c r="AD23" s="2" t="s">
        <v>103</v>
      </c>
      <c r="AE23" s="2"/>
      <c r="AF23" s="2" t="s">
        <v>109</v>
      </c>
      <c r="AG23" s="2"/>
      <c r="AH23" s="2"/>
      <c r="AI23" s="2"/>
      <c r="AJ23" s="2" t="s">
        <v>138</v>
      </c>
      <c r="AK23" s="2"/>
      <c r="AL23" s="2" t="s">
        <v>147</v>
      </c>
      <c r="AM23" s="2" t="s">
        <v>147</v>
      </c>
      <c r="AN23" s="2" t="s">
        <v>103</v>
      </c>
      <c r="AO23" s="2" t="s">
        <v>109</v>
      </c>
      <c r="AP23" s="2"/>
      <c r="AQ23" s="2"/>
      <c r="AR23" s="2" t="s">
        <v>104</v>
      </c>
      <c r="AS23" s="2"/>
      <c r="AT23" s="2" t="s">
        <v>147</v>
      </c>
      <c r="AU23" s="2" t="s">
        <v>134</v>
      </c>
      <c r="AV23" s="2" t="s">
        <v>109</v>
      </c>
      <c r="AW23" s="2" t="s">
        <v>142</v>
      </c>
      <c r="AX23" s="2" t="s">
        <v>109</v>
      </c>
      <c r="AY23" s="2" t="s">
        <v>126</v>
      </c>
      <c r="AZ23" s="2"/>
      <c r="BA23" s="2"/>
      <c r="BB23" s="2"/>
      <c r="BC23" s="2"/>
      <c r="BD23" s="5">
        <f>1/3</f>
        <v>0.33333333333333331</v>
      </c>
      <c r="BE23" s="2" t="s">
        <v>112</v>
      </c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>
        <f>3/4</f>
        <v>0.75</v>
      </c>
      <c r="CD23" s="2" t="s">
        <v>116</v>
      </c>
      <c r="CE23" s="2"/>
      <c r="CF23" s="2"/>
      <c r="CG23" s="2"/>
      <c r="CH23" s="2"/>
      <c r="CI23" s="2" t="s">
        <v>103</v>
      </c>
      <c r="CJ23" s="2" t="s">
        <v>120</v>
      </c>
      <c r="CK23" s="2" t="s">
        <v>116</v>
      </c>
      <c r="CL23" s="2"/>
      <c r="CM23" s="2"/>
      <c r="CN23" s="2"/>
      <c r="CO23" s="4" t="s">
        <v>183</v>
      </c>
      <c r="CP23" s="2"/>
      <c r="CQ23" s="2"/>
      <c r="CR23" s="2"/>
      <c r="CS23" s="2"/>
      <c r="CT23" s="2"/>
      <c r="CU23" s="2"/>
      <c r="CV23" s="2"/>
      <c r="CW23" s="2"/>
      <c r="CX23" s="2" t="s">
        <v>119</v>
      </c>
      <c r="CY23" s="4" t="s">
        <v>119</v>
      </c>
    </row>
    <row r="24" spans="1:103" ht="15.75" customHeight="1" x14ac:dyDescent="0.2">
      <c r="A24" s="2" t="s">
        <v>104</v>
      </c>
      <c r="B24" s="2" t="s">
        <v>104</v>
      </c>
      <c r="C24" s="6" t="s">
        <v>263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3"/>
      <c r="CY24" s="3"/>
    </row>
    <row r="25" spans="1:103" ht="15.75" customHeight="1" x14ac:dyDescent="0.2">
      <c r="A25" s="2" t="s">
        <v>113</v>
      </c>
      <c r="B25" s="2" t="s">
        <v>104</v>
      </c>
      <c r="C25" s="6" t="s">
        <v>263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3"/>
      <c r="CY25" s="3"/>
    </row>
    <row r="26" spans="1:103" ht="15.75" customHeight="1" x14ac:dyDescent="0.2">
      <c r="A26" s="2" t="s">
        <v>112</v>
      </c>
      <c r="B26" s="2" t="s">
        <v>104</v>
      </c>
      <c r="C26" s="6" t="s">
        <v>263</v>
      </c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3"/>
      <c r="CY26" s="3"/>
    </row>
    <row r="27" spans="1:103" ht="15.75" customHeight="1" x14ac:dyDescent="0.2">
      <c r="A27" s="2" t="s">
        <v>142</v>
      </c>
      <c r="B27" s="2" t="s">
        <v>104</v>
      </c>
      <c r="C27" s="6" t="s">
        <v>263</v>
      </c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3"/>
      <c r="CY27" s="3"/>
    </row>
    <row r="28" spans="1:103" ht="15.75" customHeight="1" x14ac:dyDescent="0.2">
      <c r="A28" s="2" t="s">
        <v>125</v>
      </c>
      <c r="B28" s="2" t="s">
        <v>104</v>
      </c>
      <c r="C28" s="6" t="s">
        <v>263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3"/>
      <c r="CY28" s="3"/>
    </row>
    <row r="29" spans="1:103" ht="15.75" customHeight="1" x14ac:dyDescent="0.2">
      <c r="A29" s="2" t="s">
        <v>147</v>
      </c>
      <c r="B29" s="2" t="s">
        <v>104</v>
      </c>
      <c r="C29" s="6" t="s">
        <v>263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3"/>
      <c r="CY29" s="3"/>
    </row>
    <row r="30" spans="1:103" ht="15.75" customHeight="1" x14ac:dyDescent="0.2">
      <c r="A30" s="2" t="s">
        <v>111</v>
      </c>
      <c r="B30" s="2" t="s">
        <v>104</v>
      </c>
      <c r="C30" s="6" t="s">
        <v>263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3"/>
      <c r="CY30" s="3"/>
    </row>
    <row r="31" spans="1:103" ht="15.75" customHeight="1" x14ac:dyDescent="0.2">
      <c r="A31" s="2" t="s">
        <v>115</v>
      </c>
      <c r="B31" s="2" t="s">
        <v>104</v>
      </c>
      <c r="C31" s="6" t="s">
        <v>263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3"/>
      <c r="CY31" s="3"/>
    </row>
    <row r="32" spans="1:103" ht="15.75" customHeight="1" x14ac:dyDescent="0.2">
      <c r="A32" s="2" t="s">
        <v>103</v>
      </c>
      <c r="B32" s="2" t="s">
        <v>113</v>
      </c>
      <c r="C32" s="6" t="s">
        <v>263</v>
      </c>
      <c r="D32" s="3"/>
      <c r="E32" s="2" t="s">
        <v>103</v>
      </c>
      <c r="F32" s="2"/>
      <c r="G32" s="2"/>
      <c r="H32" s="2" t="s">
        <v>181</v>
      </c>
      <c r="I32" s="2" t="s">
        <v>181</v>
      </c>
      <c r="J32" s="2" t="s">
        <v>153</v>
      </c>
      <c r="K32" s="2"/>
      <c r="L32" s="2" t="s">
        <v>170</v>
      </c>
      <c r="M32" s="2" t="s">
        <v>144</v>
      </c>
      <c r="N32" s="2" t="s">
        <v>184</v>
      </c>
      <c r="O32" s="2" t="s">
        <v>115</v>
      </c>
      <c r="P32" s="2"/>
      <c r="Q32" s="2" t="s">
        <v>110</v>
      </c>
      <c r="R32" s="2" t="s">
        <v>172</v>
      </c>
      <c r="S32" s="2" t="s">
        <v>185</v>
      </c>
      <c r="T32" s="2" t="s">
        <v>114</v>
      </c>
      <c r="U32" s="2" t="s">
        <v>120</v>
      </c>
      <c r="V32" s="2" t="s">
        <v>114</v>
      </c>
      <c r="W32" s="2"/>
      <c r="X32" s="2"/>
      <c r="Y32" s="2" t="s">
        <v>104</v>
      </c>
      <c r="Z32" s="2"/>
      <c r="AA32" s="2"/>
      <c r="AB32" s="2" t="s">
        <v>142</v>
      </c>
      <c r="AC32" s="2" t="s">
        <v>113</v>
      </c>
      <c r="AD32" s="2" t="s">
        <v>147</v>
      </c>
      <c r="AE32" s="2"/>
      <c r="AF32" s="2"/>
      <c r="AG32" s="2"/>
      <c r="AH32" s="2" t="s">
        <v>113</v>
      </c>
      <c r="AI32" s="2"/>
      <c r="AJ32" s="2" t="s">
        <v>176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 t="s">
        <v>103</v>
      </c>
      <c r="AW32" s="2" t="s">
        <v>125</v>
      </c>
      <c r="AX32" s="2"/>
      <c r="AY32" s="2" t="s">
        <v>169</v>
      </c>
      <c r="AZ32" s="2"/>
      <c r="BA32" s="2"/>
      <c r="BB32" s="2"/>
      <c r="BC32" s="2"/>
      <c r="BD32" s="2" t="s">
        <v>103</v>
      </c>
      <c r="BE32" s="2" t="s">
        <v>169</v>
      </c>
      <c r="BF32" s="2" t="s">
        <v>109</v>
      </c>
      <c r="BG32" s="2" t="s">
        <v>129</v>
      </c>
      <c r="BH32" s="2"/>
      <c r="BI32" s="2"/>
      <c r="BJ32" s="2"/>
      <c r="BK32" s="2"/>
      <c r="BL32" s="2"/>
      <c r="BM32" s="2" t="s">
        <v>109</v>
      </c>
      <c r="BN32" s="2"/>
      <c r="BO32" s="2"/>
      <c r="BP32" s="2"/>
      <c r="BQ32" s="2"/>
      <c r="BR32" s="2"/>
      <c r="BS32" s="2"/>
      <c r="BT32" s="2"/>
      <c r="BU32" s="2"/>
      <c r="BV32" s="2"/>
      <c r="BW32" s="2" t="s">
        <v>136</v>
      </c>
      <c r="BX32" s="2"/>
      <c r="BY32" s="2"/>
      <c r="BZ32" s="2"/>
      <c r="CA32" s="2"/>
      <c r="CB32" s="2"/>
      <c r="CC32" s="2" t="s">
        <v>103</v>
      </c>
      <c r="CD32" s="2" t="s">
        <v>105</v>
      </c>
      <c r="CE32" s="2"/>
      <c r="CF32" s="2"/>
      <c r="CG32" s="2"/>
      <c r="CH32" s="2"/>
      <c r="CI32" s="2" t="s">
        <v>109</v>
      </c>
      <c r="CJ32" s="2" t="s">
        <v>129</v>
      </c>
      <c r="CK32" s="2" t="s">
        <v>138</v>
      </c>
      <c r="CL32" s="2"/>
      <c r="CM32" s="2"/>
      <c r="CN32" s="2"/>
      <c r="CO32" s="2" t="s">
        <v>170</v>
      </c>
      <c r="CP32" s="2"/>
      <c r="CQ32" s="2"/>
      <c r="CR32" s="2"/>
      <c r="CS32" s="2"/>
      <c r="CT32" s="2"/>
      <c r="CU32" s="2"/>
      <c r="CV32" s="2"/>
      <c r="CW32" s="2"/>
      <c r="CX32" s="4" t="s">
        <v>159</v>
      </c>
      <c r="CY32" s="2" t="s">
        <v>120</v>
      </c>
    </row>
    <row r="33" spans="1:103" ht="15.75" customHeight="1" x14ac:dyDescent="0.2">
      <c r="A33" s="2" t="s">
        <v>109</v>
      </c>
      <c r="B33" s="2" t="s">
        <v>113</v>
      </c>
      <c r="C33" s="6" t="s">
        <v>263</v>
      </c>
      <c r="D33" s="3"/>
      <c r="E33" s="2" t="s">
        <v>103</v>
      </c>
      <c r="F33" s="2"/>
      <c r="G33" s="2"/>
      <c r="H33" s="2" t="s">
        <v>178</v>
      </c>
      <c r="I33" s="2" t="s">
        <v>178</v>
      </c>
      <c r="J33" s="2" t="s">
        <v>105</v>
      </c>
      <c r="K33" s="2"/>
      <c r="L33" s="2" t="s">
        <v>177</v>
      </c>
      <c r="M33" s="2" t="s">
        <v>105</v>
      </c>
      <c r="N33" s="2" t="s">
        <v>158</v>
      </c>
      <c r="O33" s="2" t="s">
        <v>115</v>
      </c>
      <c r="P33" s="2"/>
      <c r="Q33" s="2" t="s">
        <v>186</v>
      </c>
      <c r="R33" s="2" t="s">
        <v>114</v>
      </c>
      <c r="S33" s="2" t="s">
        <v>185</v>
      </c>
      <c r="T33" s="2" t="s">
        <v>131</v>
      </c>
      <c r="U33" s="2" t="s">
        <v>187</v>
      </c>
      <c r="V33" s="2" t="s">
        <v>116</v>
      </c>
      <c r="W33" s="2"/>
      <c r="X33" s="2" t="s">
        <v>154</v>
      </c>
      <c r="Y33" s="2" t="s">
        <v>109</v>
      </c>
      <c r="Z33" s="2"/>
      <c r="AA33" s="2"/>
      <c r="AB33" s="2" t="s">
        <v>123</v>
      </c>
      <c r="AC33" s="2" t="s">
        <v>188</v>
      </c>
      <c r="AD33" s="2" t="s">
        <v>167</v>
      </c>
      <c r="AE33" s="2"/>
      <c r="AF33" s="2"/>
      <c r="AG33" s="2" t="s">
        <v>115</v>
      </c>
      <c r="AH33" s="2"/>
      <c r="AI33" s="2"/>
      <c r="AJ33" s="2" t="s">
        <v>177</v>
      </c>
      <c r="AK33" s="2"/>
      <c r="AL33" s="2" t="s">
        <v>141</v>
      </c>
      <c r="AM33" s="2" t="s">
        <v>113</v>
      </c>
      <c r="AN33" s="2" t="s">
        <v>104</v>
      </c>
      <c r="AO33" s="2" t="s">
        <v>103</v>
      </c>
      <c r="AP33" s="2"/>
      <c r="AQ33" s="2"/>
      <c r="AR33" s="2" t="s">
        <v>103</v>
      </c>
      <c r="AS33" s="2"/>
      <c r="AT33" s="2" t="s">
        <v>111</v>
      </c>
      <c r="AU33" s="2" t="s">
        <v>129</v>
      </c>
      <c r="AV33" s="2" t="s">
        <v>104</v>
      </c>
      <c r="AW33" s="2" t="s">
        <v>147</v>
      </c>
      <c r="AX33" s="2" t="s">
        <v>115</v>
      </c>
      <c r="AY33" s="2" t="s">
        <v>126</v>
      </c>
      <c r="AZ33" s="2"/>
      <c r="BA33" s="2"/>
      <c r="BB33" s="2"/>
      <c r="BC33" s="2"/>
      <c r="BD33" s="2">
        <f>1/2</f>
        <v>0.5</v>
      </c>
      <c r="BE33" s="2" t="s">
        <v>114</v>
      </c>
      <c r="BF33" s="4">
        <f>3 + (1/2)</f>
        <v>3.5</v>
      </c>
      <c r="BG33" s="2" t="s">
        <v>110</v>
      </c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 t="s">
        <v>133</v>
      </c>
      <c r="BX33" s="2"/>
      <c r="BY33" s="2"/>
      <c r="BZ33" s="2"/>
      <c r="CA33" s="2"/>
      <c r="CB33" s="2"/>
      <c r="CC33" s="2" t="s">
        <v>103</v>
      </c>
      <c r="CD33" s="2" t="s">
        <v>161</v>
      </c>
      <c r="CE33" s="2"/>
      <c r="CF33" s="2"/>
      <c r="CG33" s="2"/>
      <c r="CH33" s="2"/>
      <c r="CI33" s="2" t="s">
        <v>103</v>
      </c>
      <c r="CJ33" s="2" t="s">
        <v>119</v>
      </c>
      <c r="CK33" s="2" t="s">
        <v>119</v>
      </c>
      <c r="CL33" s="2"/>
      <c r="CM33" s="2"/>
      <c r="CN33" s="2"/>
      <c r="CO33" s="2" t="s">
        <v>110</v>
      </c>
      <c r="CP33" s="2"/>
      <c r="CQ33" s="2"/>
      <c r="CR33" s="2"/>
      <c r="CS33" s="2"/>
      <c r="CT33" s="2"/>
      <c r="CU33" s="2"/>
      <c r="CV33" s="2"/>
      <c r="CW33" s="2"/>
      <c r="CX33" s="2" t="s">
        <v>128</v>
      </c>
      <c r="CY33" s="2" t="s">
        <v>189</v>
      </c>
    </row>
    <row r="34" spans="1:103" ht="15.75" customHeight="1" x14ac:dyDescent="0.2">
      <c r="A34" s="2" t="s">
        <v>104</v>
      </c>
      <c r="B34" s="2" t="s">
        <v>113</v>
      </c>
      <c r="C34" s="6" t="s">
        <v>263</v>
      </c>
      <c r="D34" s="3"/>
      <c r="E34" s="2" t="s">
        <v>103</v>
      </c>
      <c r="F34" s="2"/>
      <c r="G34" s="2"/>
      <c r="H34" s="2" t="s">
        <v>178</v>
      </c>
      <c r="I34" s="2" t="s">
        <v>178</v>
      </c>
      <c r="J34" s="2" t="s">
        <v>169</v>
      </c>
      <c r="K34" s="2"/>
      <c r="L34" s="2" t="s">
        <v>162</v>
      </c>
      <c r="M34" s="2" t="s">
        <v>116</v>
      </c>
      <c r="N34" s="2" t="s">
        <v>190</v>
      </c>
      <c r="O34" s="2" t="s">
        <v>120</v>
      </c>
      <c r="P34" s="2"/>
      <c r="Q34" s="2" t="s">
        <v>116</v>
      </c>
      <c r="R34" s="2" t="s">
        <v>130</v>
      </c>
      <c r="S34" s="2" t="s">
        <v>118</v>
      </c>
      <c r="T34" s="2" t="s">
        <v>126</v>
      </c>
      <c r="U34" s="2" t="s">
        <v>105</v>
      </c>
      <c r="V34" s="2" t="s">
        <v>120</v>
      </c>
      <c r="W34" s="2"/>
      <c r="X34" s="2"/>
      <c r="Y34" s="2"/>
      <c r="Z34" s="2"/>
      <c r="AA34" s="2" t="s">
        <v>113</v>
      </c>
      <c r="AB34" s="2" t="s">
        <v>130</v>
      </c>
      <c r="AC34" s="2" t="s">
        <v>188</v>
      </c>
      <c r="AD34" s="2" t="s">
        <v>130</v>
      </c>
      <c r="AE34" s="2" t="s">
        <v>115</v>
      </c>
      <c r="AF34" s="2"/>
      <c r="AG34" s="2"/>
      <c r="AH34" s="2" t="s">
        <v>108</v>
      </c>
      <c r="AI34" s="2"/>
      <c r="AJ34" s="2" t="s">
        <v>179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 t="s">
        <v>109</v>
      </c>
      <c r="AW34" s="2" t="s">
        <v>141</v>
      </c>
      <c r="AX34" s="2"/>
      <c r="AY34" s="2" t="s">
        <v>110</v>
      </c>
      <c r="AZ34" s="2"/>
      <c r="BA34" s="2"/>
      <c r="BB34" s="2"/>
      <c r="BC34" s="2"/>
      <c r="BD34" s="2" t="s">
        <v>103</v>
      </c>
      <c r="BE34" s="2" t="s">
        <v>128</v>
      </c>
      <c r="BF34" s="2"/>
      <c r="BG34" s="2"/>
      <c r="BH34" s="2"/>
      <c r="BI34" s="2"/>
      <c r="BJ34" s="2" t="s">
        <v>109</v>
      </c>
      <c r="BK34" s="2" t="s">
        <v>150</v>
      </c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 t="s">
        <v>176</v>
      </c>
      <c r="BX34" s="2"/>
      <c r="BY34" s="2"/>
      <c r="BZ34" s="2"/>
      <c r="CA34" s="2"/>
      <c r="CB34" s="2"/>
      <c r="CC34" s="2" t="s">
        <v>109</v>
      </c>
      <c r="CD34" s="2" t="s">
        <v>191</v>
      </c>
      <c r="CE34" s="2"/>
      <c r="CF34" s="2"/>
      <c r="CG34" s="2"/>
      <c r="CH34" s="2"/>
      <c r="CI34" s="2" t="s">
        <v>112</v>
      </c>
      <c r="CJ34" s="2" t="s">
        <v>105</v>
      </c>
      <c r="CK34" s="2" t="s">
        <v>107</v>
      </c>
      <c r="CL34" s="2"/>
      <c r="CM34" s="2"/>
      <c r="CN34" s="2"/>
      <c r="CO34" s="2" t="s">
        <v>192</v>
      </c>
      <c r="CP34" s="2"/>
      <c r="CQ34" s="2"/>
      <c r="CR34" s="2"/>
      <c r="CS34" s="2"/>
      <c r="CT34" s="2"/>
      <c r="CU34" s="2"/>
      <c r="CV34" s="2"/>
      <c r="CW34" s="2"/>
      <c r="CX34" s="2" t="s">
        <v>116</v>
      </c>
      <c r="CY34" s="2" t="s">
        <v>116</v>
      </c>
    </row>
    <row r="35" spans="1:103" ht="15.75" customHeight="1" x14ac:dyDescent="0.2">
      <c r="A35" s="2" t="s">
        <v>113</v>
      </c>
      <c r="B35" s="2" t="s">
        <v>113</v>
      </c>
      <c r="C35" s="6" t="s">
        <v>263</v>
      </c>
      <c r="D35" s="3"/>
      <c r="E35" s="2"/>
      <c r="F35" s="2" t="s">
        <v>103</v>
      </c>
      <c r="G35" s="2"/>
      <c r="H35" s="2" t="s">
        <v>161</v>
      </c>
      <c r="I35" s="2" t="s">
        <v>161</v>
      </c>
      <c r="J35" s="2" t="s">
        <v>161</v>
      </c>
      <c r="K35" s="2"/>
      <c r="L35" s="2" t="s">
        <v>193</v>
      </c>
      <c r="M35" s="2" t="s">
        <v>116</v>
      </c>
      <c r="N35" s="2" t="s">
        <v>110</v>
      </c>
      <c r="O35" s="2" t="s">
        <v>128</v>
      </c>
      <c r="P35" s="2" t="s">
        <v>158</v>
      </c>
      <c r="Q35" s="2" t="s">
        <v>128</v>
      </c>
      <c r="R35" s="2" t="s">
        <v>109</v>
      </c>
      <c r="S35" s="2" t="s">
        <v>110</v>
      </c>
      <c r="T35" s="2" t="s">
        <v>150</v>
      </c>
      <c r="U35" s="2" t="s">
        <v>187</v>
      </c>
      <c r="V35" s="2" t="s">
        <v>128</v>
      </c>
      <c r="W35" s="2"/>
      <c r="X35" s="2"/>
      <c r="Y35" s="2" t="s">
        <v>109</v>
      </c>
      <c r="Z35" s="2"/>
      <c r="AA35" s="2"/>
      <c r="AB35" s="2" t="s">
        <v>104</v>
      </c>
      <c r="AC35" s="2" t="s">
        <v>142</v>
      </c>
      <c r="AD35" s="2" t="s">
        <v>104</v>
      </c>
      <c r="AE35" s="2"/>
      <c r="AF35" s="2" t="s">
        <v>103</v>
      </c>
      <c r="AG35" s="2" t="s">
        <v>104</v>
      </c>
      <c r="AH35" s="2"/>
      <c r="AI35" s="2"/>
      <c r="AJ35" s="2" t="s">
        <v>151</v>
      </c>
      <c r="AK35" s="2"/>
      <c r="AL35" s="2" t="s">
        <v>112</v>
      </c>
      <c r="AM35" s="2"/>
      <c r="AN35" s="2" t="s">
        <v>109</v>
      </c>
      <c r="AO35" s="2"/>
      <c r="AP35" s="2"/>
      <c r="AQ35" s="2"/>
      <c r="AR35" s="2" t="s">
        <v>103</v>
      </c>
      <c r="AS35" s="2"/>
      <c r="AT35" s="2" t="s">
        <v>112</v>
      </c>
      <c r="AU35" s="2" t="s">
        <v>128</v>
      </c>
      <c r="AV35" s="2" t="s">
        <v>103</v>
      </c>
      <c r="AW35" s="2" t="s">
        <v>194</v>
      </c>
      <c r="AX35" s="2"/>
      <c r="AY35" s="2" t="s">
        <v>144</v>
      </c>
      <c r="AZ35" s="2"/>
      <c r="BA35" s="2"/>
      <c r="BB35" s="2"/>
      <c r="BC35" s="2"/>
      <c r="BD35" s="2" t="s">
        <v>103</v>
      </c>
      <c r="BE35" s="2" t="s">
        <v>126</v>
      </c>
      <c r="BF35" s="2" t="s">
        <v>103</v>
      </c>
      <c r="BG35" s="2" t="s">
        <v>128</v>
      </c>
      <c r="BH35" s="2"/>
      <c r="BI35" s="2"/>
      <c r="BJ35" s="2"/>
      <c r="BK35" s="2"/>
      <c r="BL35" s="2"/>
      <c r="BM35" s="2" t="s">
        <v>103</v>
      </c>
      <c r="BN35" s="2"/>
      <c r="BO35" s="2"/>
      <c r="BP35" s="2"/>
      <c r="BQ35" s="2"/>
      <c r="BR35" s="2"/>
      <c r="BS35" s="2"/>
      <c r="BT35" s="2"/>
      <c r="BU35" s="2"/>
      <c r="BV35" s="2"/>
      <c r="BW35" s="2" t="s">
        <v>176</v>
      </c>
      <c r="BX35" s="2"/>
      <c r="BY35" s="2"/>
      <c r="BZ35" s="2"/>
      <c r="CA35" s="2"/>
      <c r="CB35" s="2"/>
      <c r="CC35" s="2" t="s">
        <v>103</v>
      </c>
      <c r="CD35" s="2" t="s">
        <v>105</v>
      </c>
      <c r="CE35" s="2"/>
      <c r="CF35" s="2"/>
      <c r="CG35" s="2"/>
      <c r="CH35" s="2"/>
      <c r="CI35" s="2" t="s">
        <v>115</v>
      </c>
      <c r="CJ35" s="2" t="s">
        <v>185</v>
      </c>
      <c r="CK35" s="2" t="s">
        <v>105</v>
      </c>
      <c r="CL35" s="2"/>
      <c r="CM35" s="2"/>
      <c r="CN35" s="2"/>
      <c r="CO35" s="2" t="s">
        <v>195</v>
      </c>
      <c r="CP35" s="2"/>
      <c r="CQ35" s="2"/>
      <c r="CR35" s="2"/>
      <c r="CS35" s="2"/>
      <c r="CT35" s="2"/>
      <c r="CU35" s="2"/>
      <c r="CV35" s="2"/>
      <c r="CW35" s="2"/>
      <c r="CX35" s="2" t="s">
        <v>115</v>
      </c>
      <c r="CY35" s="2" t="s">
        <v>115</v>
      </c>
    </row>
    <row r="36" spans="1:103" ht="15.75" customHeight="1" x14ac:dyDescent="0.2">
      <c r="A36" s="2" t="s">
        <v>112</v>
      </c>
      <c r="B36" s="2" t="s">
        <v>113</v>
      </c>
      <c r="C36" s="6" t="s">
        <v>263</v>
      </c>
      <c r="D36" s="3"/>
      <c r="E36" s="2" t="s">
        <v>103</v>
      </c>
      <c r="F36" s="2"/>
      <c r="G36" s="2"/>
      <c r="H36" s="2" t="s">
        <v>196</v>
      </c>
      <c r="I36" s="2" t="s">
        <v>196</v>
      </c>
      <c r="J36" s="2" t="s">
        <v>134</v>
      </c>
      <c r="K36" s="2"/>
      <c r="L36" s="2" t="s">
        <v>195</v>
      </c>
      <c r="M36" s="2" t="s">
        <v>105</v>
      </c>
      <c r="N36" s="2" t="s">
        <v>133</v>
      </c>
      <c r="O36" s="2" t="s">
        <v>128</v>
      </c>
      <c r="P36" s="2"/>
      <c r="Q36" s="2" t="s">
        <v>129</v>
      </c>
      <c r="R36" s="2" t="s">
        <v>104</v>
      </c>
      <c r="S36" s="2" t="s">
        <v>138</v>
      </c>
      <c r="T36" s="2" t="s">
        <v>108</v>
      </c>
      <c r="U36" s="2" t="s">
        <v>128</v>
      </c>
      <c r="V36" s="2" t="s">
        <v>108</v>
      </c>
      <c r="W36" s="2"/>
      <c r="X36" s="2"/>
      <c r="Y36" s="2" t="s">
        <v>109</v>
      </c>
      <c r="Z36" s="2"/>
      <c r="AA36" s="2"/>
      <c r="AB36" s="2" t="s">
        <v>104</v>
      </c>
      <c r="AC36" s="2" t="s">
        <v>108</v>
      </c>
      <c r="AD36" s="2" t="s">
        <v>109</v>
      </c>
      <c r="AE36" s="2" t="s">
        <v>119</v>
      </c>
      <c r="AF36" s="2" t="s">
        <v>115</v>
      </c>
      <c r="AG36" s="2"/>
      <c r="AH36" s="2" t="s">
        <v>109</v>
      </c>
      <c r="AI36" s="2"/>
      <c r="AJ36" s="2" t="s">
        <v>110</v>
      </c>
      <c r="AK36" s="2"/>
      <c r="AL36" s="2" t="s">
        <v>109</v>
      </c>
      <c r="AM36" s="2"/>
      <c r="AN36" s="2"/>
      <c r="AO36" s="2"/>
      <c r="AP36" s="2"/>
      <c r="AQ36" s="2"/>
      <c r="AR36" s="2"/>
      <c r="AS36" s="2"/>
      <c r="AT36" s="2" t="s">
        <v>109</v>
      </c>
      <c r="AU36" s="2" t="s">
        <v>119</v>
      </c>
      <c r="AV36" s="2" t="s">
        <v>103</v>
      </c>
      <c r="AW36" s="2" t="s">
        <v>112</v>
      </c>
      <c r="AX36" s="2"/>
      <c r="AY36" s="2" t="s">
        <v>128</v>
      </c>
      <c r="AZ36" s="2"/>
      <c r="BA36" s="2"/>
      <c r="BB36" s="2"/>
      <c r="BC36" s="2"/>
      <c r="BD36" s="2">
        <f>3/4</f>
        <v>0.75</v>
      </c>
      <c r="BE36" s="2" t="s">
        <v>116</v>
      </c>
      <c r="BF36" s="2">
        <f t="shared" ref="BF36:BF37" si="3">3/4</f>
        <v>0.75</v>
      </c>
      <c r="BG36" s="2" t="s">
        <v>128</v>
      </c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 t="s">
        <v>176</v>
      </c>
      <c r="BX36" s="2"/>
      <c r="BY36" s="2"/>
      <c r="BZ36" s="2"/>
      <c r="CA36" s="2"/>
      <c r="CB36" s="2"/>
      <c r="CC36" s="2">
        <f>3/4</f>
        <v>0.75</v>
      </c>
      <c r="CD36" s="2" t="s">
        <v>116</v>
      </c>
      <c r="CE36" s="2"/>
      <c r="CF36" s="2"/>
      <c r="CG36" s="2"/>
      <c r="CH36" s="2"/>
      <c r="CI36" s="2" t="s">
        <v>103</v>
      </c>
      <c r="CJ36" s="2" t="s">
        <v>116</v>
      </c>
      <c r="CK36" s="2" t="s">
        <v>116</v>
      </c>
      <c r="CL36" s="2"/>
      <c r="CM36" s="2"/>
      <c r="CN36" s="2"/>
      <c r="CO36" s="4" t="s">
        <v>157</v>
      </c>
      <c r="CP36" s="2"/>
      <c r="CQ36" s="2"/>
      <c r="CR36" s="2"/>
      <c r="CS36" s="2"/>
      <c r="CT36" s="2"/>
      <c r="CU36" s="2"/>
      <c r="CV36" s="2"/>
      <c r="CW36" s="2"/>
      <c r="CX36" s="2" t="s">
        <v>115</v>
      </c>
      <c r="CY36" s="2" t="s">
        <v>115</v>
      </c>
    </row>
    <row r="37" spans="1:103" ht="15.75" customHeight="1" x14ac:dyDescent="0.2">
      <c r="A37" s="2" t="s">
        <v>142</v>
      </c>
      <c r="B37" s="2" t="s">
        <v>113</v>
      </c>
      <c r="C37" s="6" t="s">
        <v>263</v>
      </c>
      <c r="D37" s="3"/>
      <c r="E37" s="2" t="s">
        <v>103</v>
      </c>
      <c r="F37" s="2"/>
      <c r="G37" s="2"/>
      <c r="H37" s="2" t="s">
        <v>126</v>
      </c>
      <c r="I37" s="2" t="s">
        <v>126</v>
      </c>
      <c r="J37" s="2" t="s">
        <v>128</v>
      </c>
      <c r="K37" s="2"/>
      <c r="L37" s="2" t="s">
        <v>193</v>
      </c>
      <c r="M37" s="2" t="s">
        <v>129</v>
      </c>
      <c r="N37" s="2" t="s">
        <v>136</v>
      </c>
      <c r="O37" s="2" t="s">
        <v>119</v>
      </c>
      <c r="P37" s="2"/>
      <c r="Q37" s="2" t="s">
        <v>149</v>
      </c>
      <c r="R37" s="2" t="s">
        <v>142</v>
      </c>
      <c r="S37" s="2" t="s">
        <v>144</v>
      </c>
      <c r="T37" s="2" t="s">
        <v>114</v>
      </c>
      <c r="U37" s="2" t="s">
        <v>114</v>
      </c>
      <c r="V37" s="2" t="s">
        <v>128</v>
      </c>
      <c r="W37" s="2"/>
      <c r="X37" s="2"/>
      <c r="Y37" s="2" t="s">
        <v>104</v>
      </c>
      <c r="Z37" s="2"/>
      <c r="AA37" s="2" t="s">
        <v>109</v>
      </c>
      <c r="AB37" s="2" t="s">
        <v>104</v>
      </c>
      <c r="AC37" s="2" t="s">
        <v>115</v>
      </c>
      <c r="AD37" s="2" t="s">
        <v>113</v>
      </c>
      <c r="AE37" s="2" t="s">
        <v>112</v>
      </c>
      <c r="AF37" s="2" t="s">
        <v>113</v>
      </c>
      <c r="AG37" s="2"/>
      <c r="AH37" s="2"/>
      <c r="AI37" s="2"/>
      <c r="AJ37" s="2" t="s">
        <v>110</v>
      </c>
      <c r="AK37" s="2"/>
      <c r="AL37" s="2" t="s">
        <v>196</v>
      </c>
      <c r="AM37" s="2" t="s">
        <v>142</v>
      </c>
      <c r="AN37" s="2" t="s">
        <v>103</v>
      </c>
      <c r="AO37" s="2" t="s">
        <v>147</v>
      </c>
      <c r="AP37" s="2"/>
      <c r="AQ37" s="2"/>
      <c r="AR37" s="2"/>
      <c r="AS37" s="2"/>
      <c r="AT37" s="2" t="s">
        <v>196</v>
      </c>
      <c r="AU37" s="2" t="s">
        <v>110</v>
      </c>
      <c r="AV37" s="2" t="s">
        <v>103</v>
      </c>
      <c r="AW37" s="2" t="s">
        <v>147</v>
      </c>
      <c r="AX37" s="2"/>
      <c r="AY37" s="2" t="s">
        <v>116</v>
      </c>
      <c r="AZ37" s="2"/>
      <c r="BA37" s="2"/>
      <c r="BB37" s="2"/>
      <c r="BC37" s="2"/>
      <c r="BD37" s="2">
        <f>1/2</f>
        <v>0.5</v>
      </c>
      <c r="BE37" s="2" t="s">
        <v>120</v>
      </c>
      <c r="BF37" s="2">
        <f t="shared" si="3"/>
        <v>0.75</v>
      </c>
      <c r="BG37" s="2" t="s">
        <v>114</v>
      </c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 t="s">
        <v>158</v>
      </c>
      <c r="BX37" s="2" t="s">
        <v>108</v>
      </c>
      <c r="BY37" s="2"/>
      <c r="BZ37" s="2"/>
      <c r="CA37" s="2"/>
      <c r="CB37" s="2"/>
      <c r="CC37" s="2">
        <f>1/2</f>
        <v>0.5</v>
      </c>
      <c r="CD37" s="2" t="s">
        <v>116</v>
      </c>
      <c r="CE37" s="2"/>
      <c r="CF37" s="2"/>
      <c r="CG37" s="2"/>
      <c r="CH37" s="2"/>
      <c r="CI37" s="2" t="s">
        <v>109</v>
      </c>
      <c r="CJ37" s="2" t="s">
        <v>116</v>
      </c>
      <c r="CK37" s="2" t="s">
        <v>114</v>
      </c>
      <c r="CL37" s="2"/>
      <c r="CM37" s="2"/>
      <c r="CN37" s="2"/>
      <c r="CO37" s="2" t="s">
        <v>151</v>
      </c>
      <c r="CP37" s="2"/>
      <c r="CQ37" s="2"/>
      <c r="CR37" s="2"/>
      <c r="CS37" s="2"/>
      <c r="CT37" s="2"/>
      <c r="CU37" s="2"/>
      <c r="CV37" s="2"/>
      <c r="CW37" s="2"/>
      <c r="CX37" s="2" t="s">
        <v>108</v>
      </c>
      <c r="CY37" s="2" t="s">
        <v>161</v>
      </c>
    </row>
    <row r="38" spans="1:103" ht="15.75" customHeight="1" x14ac:dyDescent="0.2">
      <c r="A38" s="2" t="s">
        <v>125</v>
      </c>
      <c r="B38" s="2" t="s">
        <v>113</v>
      </c>
      <c r="C38" s="6" t="s">
        <v>263</v>
      </c>
      <c r="D38" s="3"/>
      <c r="E38" s="2" t="s">
        <v>103</v>
      </c>
      <c r="F38" s="2"/>
      <c r="G38" s="2"/>
      <c r="H38" s="2" t="s">
        <v>105</v>
      </c>
      <c r="I38" s="2" t="s">
        <v>105</v>
      </c>
      <c r="J38" s="2" t="s">
        <v>169</v>
      </c>
      <c r="K38" s="2"/>
      <c r="L38" s="2" t="s">
        <v>197</v>
      </c>
      <c r="M38" s="2" t="s">
        <v>126</v>
      </c>
      <c r="N38" s="2" t="s">
        <v>146</v>
      </c>
      <c r="O38" s="2" t="s">
        <v>112</v>
      </c>
      <c r="P38" s="2"/>
      <c r="Q38" s="2"/>
      <c r="R38" s="2"/>
      <c r="S38" s="2" t="s">
        <v>144</v>
      </c>
      <c r="T38" s="2" t="s">
        <v>116</v>
      </c>
      <c r="U38" s="2" t="s">
        <v>116</v>
      </c>
      <c r="V38" s="2" t="s">
        <v>120</v>
      </c>
      <c r="W38" s="2"/>
      <c r="X38" s="2"/>
      <c r="Y38" s="2" t="s">
        <v>109</v>
      </c>
      <c r="Z38" s="2"/>
      <c r="AA38" s="2"/>
      <c r="AB38" s="2" t="s">
        <v>125</v>
      </c>
      <c r="AC38" s="2" t="s">
        <v>141</v>
      </c>
      <c r="AD38" s="2" t="s">
        <v>147</v>
      </c>
      <c r="AE38" s="2"/>
      <c r="AF38" s="2" t="s">
        <v>113</v>
      </c>
      <c r="AG38" s="2"/>
      <c r="AH38" s="2" t="s">
        <v>109</v>
      </c>
      <c r="AI38" s="2"/>
      <c r="AJ38" s="2" t="s">
        <v>176</v>
      </c>
      <c r="AK38" s="2"/>
      <c r="AL38" s="2" t="s">
        <v>142</v>
      </c>
      <c r="AM38" s="2" t="s">
        <v>109</v>
      </c>
      <c r="AN38" s="2"/>
      <c r="AO38" s="2"/>
      <c r="AP38" s="2"/>
      <c r="AQ38" s="2"/>
      <c r="AR38" s="2"/>
      <c r="AS38" s="2"/>
      <c r="AT38" s="2" t="s">
        <v>142</v>
      </c>
      <c r="AU38" s="2" t="s">
        <v>126</v>
      </c>
      <c r="AV38" s="2" t="s">
        <v>103</v>
      </c>
      <c r="AW38" s="2" t="s">
        <v>167</v>
      </c>
      <c r="AX38" s="2" t="s">
        <v>142</v>
      </c>
      <c r="AY38" s="4" t="s">
        <v>105</v>
      </c>
      <c r="AZ38" s="2"/>
      <c r="BA38" s="2"/>
      <c r="BB38" s="2"/>
      <c r="BC38" s="2"/>
      <c r="BD38" s="2" t="s">
        <v>103</v>
      </c>
      <c r="BE38" s="2" t="s">
        <v>129</v>
      </c>
      <c r="BF38" s="2" t="s">
        <v>109</v>
      </c>
      <c r="BG38" s="2" t="s">
        <v>181</v>
      </c>
      <c r="BH38" s="2"/>
      <c r="BI38" s="2"/>
      <c r="BJ38" s="2">
        <f>1/2</f>
        <v>0.5</v>
      </c>
      <c r="BK38" s="2" t="s">
        <v>130</v>
      </c>
      <c r="BL38" s="2"/>
      <c r="BM38" s="2" t="s">
        <v>109</v>
      </c>
      <c r="BN38" s="2"/>
      <c r="BO38" s="2"/>
      <c r="BP38" s="2"/>
      <c r="BQ38" s="2"/>
      <c r="BR38" s="2"/>
      <c r="BS38" s="2"/>
      <c r="BT38" s="2"/>
      <c r="BU38" s="2"/>
      <c r="BV38" s="2"/>
      <c r="BW38" s="2" t="s">
        <v>144</v>
      </c>
      <c r="BX38" s="2" t="s">
        <v>109</v>
      </c>
      <c r="BY38" s="2"/>
      <c r="BZ38" s="2"/>
      <c r="CA38" s="2"/>
      <c r="CB38" s="2"/>
      <c r="CC38" s="2" t="s">
        <v>103</v>
      </c>
      <c r="CD38" s="2" t="s">
        <v>198</v>
      </c>
      <c r="CE38" s="2"/>
      <c r="CF38" s="2"/>
      <c r="CG38" s="2"/>
      <c r="CH38" s="2"/>
      <c r="CI38" s="4">
        <f>1 + (1/2)</f>
        <v>1.5</v>
      </c>
      <c r="CJ38" s="2" t="s">
        <v>116</v>
      </c>
      <c r="CK38" s="2" t="s">
        <v>128</v>
      </c>
      <c r="CL38" s="2"/>
      <c r="CM38" s="2"/>
      <c r="CN38" s="2"/>
      <c r="CO38" s="2" t="s">
        <v>144</v>
      </c>
      <c r="CP38" s="2"/>
      <c r="CQ38" s="2"/>
      <c r="CR38" s="2"/>
      <c r="CS38" s="2"/>
      <c r="CT38" s="2"/>
      <c r="CU38" s="2"/>
      <c r="CV38" s="2"/>
      <c r="CW38" s="2"/>
      <c r="CX38" s="2" t="s">
        <v>119</v>
      </c>
      <c r="CY38" s="2" t="s">
        <v>116</v>
      </c>
    </row>
    <row r="39" spans="1:103" ht="15.75" customHeight="1" x14ac:dyDescent="0.2">
      <c r="A39" s="2" t="s">
        <v>147</v>
      </c>
      <c r="B39" s="2" t="s">
        <v>113</v>
      </c>
      <c r="C39" s="6" t="s">
        <v>263</v>
      </c>
      <c r="D39" s="3"/>
      <c r="E39" s="2" t="s">
        <v>103</v>
      </c>
      <c r="F39" s="2"/>
      <c r="G39" s="2"/>
      <c r="H39" s="2" t="s">
        <v>116</v>
      </c>
      <c r="I39" s="2" t="s">
        <v>116</v>
      </c>
      <c r="J39" s="2" t="s">
        <v>114</v>
      </c>
      <c r="K39" s="2"/>
      <c r="L39" s="2" t="s">
        <v>163</v>
      </c>
      <c r="M39" s="2" t="s">
        <v>119</v>
      </c>
      <c r="N39" s="2" t="s">
        <v>105</v>
      </c>
      <c r="O39" s="2"/>
      <c r="P39" s="2"/>
      <c r="Q39" s="2"/>
      <c r="R39" s="2"/>
      <c r="S39" s="2" t="s">
        <v>138</v>
      </c>
      <c r="T39" s="2" t="s">
        <v>108</v>
      </c>
      <c r="U39" s="2" t="s">
        <v>114</v>
      </c>
      <c r="V39" s="2" t="s">
        <v>130</v>
      </c>
      <c r="W39" s="2"/>
      <c r="X39" s="2"/>
      <c r="Y39" s="2" t="s">
        <v>109</v>
      </c>
      <c r="Z39" s="2"/>
      <c r="AA39" s="2"/>
      <c r="AB39" s="2" t="s">
        <v>109</v>
      </c>
      <c r="AC39" s="2"/>
      <c r="AD39" s="2"/>
      <c r="AE39" s="2"/>
      <c r="AF39" s="2" t="s">
        <v>109</v>
      </c>
      <c r="AG39" s="2" t="s">
        <v>103</v>
      </c>
      <c r="AH39" s="2" t="s">
        <v>103</v>
      </c>
      <c r="AI39" s="2"/>
      <c r="AJ39" s="2" t="s">
        <v>105</v>
      </c>
      <c r="AK39" s="2"/>
      <c r="AL39" s="2" t="s">
        <v>142</v>
      </c>
      <c r="AM39" s="2" t="s">
        <v>142</v>
      </c>
      <c r="AN39" s="2"/>
      <c r="AO39" s="2"/>
      <c r="AP39" s="2"/>
      <c r="AQ39" s="2"/>
      <c r="AR39" s="2"/>
      <c r="AS39" s="2"/>
      <c r="AT39" s="2" t="s">
        <v>142</v>
      </c>
      <c r="AU39" s="2" t="s">
        <v>114</v>
      </c>
      <c r="AV39" s="2" t="s">
        <v>103</v>
      </c>
      <c r="AW39" s="2" t="s">
        <v>147</v>
      </c>
      <c r="AX39" s="2" t="s">
        <v>109</v>
      </c>
      <c r="AY39" s="2" t="s">
        <v>116</v>
      </c>
      <c r="AZ39" s="2"/>
      <c r="BA39" s="2"/>
      <c r="BB39" s="2"/>
      <c r="BC39" s="2"/>
      <c r="BD39" s="2">
        <f>1/2</f>
        <v>0.5</v>
      </c>
      <c r="BE39" s="2" t="s">
        <v>119</v>
      </c>
      <c r="BF39" s="2">
        <f>1/2</f>
        <v>0.5</v>
      </c>
      <c r="BG39" s="2" t="s">
        <v>115</v>
      </c>
      <c r="BH39" s="2"/>
      <c r="BI39" s="2"/>
      <c r="BJ39" s="2">
        <f>3/4</f>
        <v>0.75</v>
      </c>
      <c r="BK39" s="2" t="s">
        <v>160</v>
      </c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>
        <f>1/2</f>
        <v>0.5</v>
      </c>
      <c r="CD39" s="2" t="s">
        <v>114</v>
      </c>
      <c r="CE39" s="2"/>
      <c r="CF39" s="2"/>
      <c r="CG39" s="2"/>
      <c r="CH39" s="2"/>
      <c r="CI39" s="2">
        <f>1/2</f>
        <v>0.5</v>
      </c>
      <c r="CJ39" s="2" t="s">
        <v>116</v>
      </c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 t="s">
        <v>130</v>
      </c>
      <c r="CY39" s="2" t="s">
        <v>130</v>
      </c>
    </row>
    <row r="40" spans="1:103" ht="15.75" customHeight="1" x14ac:dyDescent="0.2">
      <c r="A40" s="2" t="s">
        <v>111</v>
      </c>
      <c r="B40" s="2" t="s">
        <v>113</v>
      </c>
      <c r="C40" s="6" t="s">
        <v>263</v>
      </c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3"/>
      <c r="CY40" s="3"/>
    </row>
    <row r="41" spans="1:103" ht="15.75" customHeight="1" x14ac:dyDescent="0.2">
      <c r="A41" s="2" t="s">
        <v>115</v>
      </c>
      <c r="B41" s="2" t="s">
        <v>113</v>
      </c>
      <c r="C41" s="6" t="s">
        <v>263</v>
      </c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3"/>
      <c r="CY41" s="3"/>
    </row>
    <row r="42" spans="1:103" ht="15.75" customHeight="1" x14ac:dyDescent="0.2">
      <c r="A42" s="2" t="s">
        <v>103</v>
      </c>
      <c r="B42" s="2" t="s">
        <v>112</v>
      </c>
      <c r="C42" s="6" t="s">
        <v>263</v>
      </c>
      <c r="D42" s="3"/>
      <c r="E42" s="2"/>
      <c r="F42" s="2"/>
      <c r="G42" s="2" t="s">
        <v>103</v>
      </c>
      <c r="H42" s="2" t="s">
        <v>169</v>
      </c>
      <c r="I42" s="2" t="s">
        <v>169</v>
      </c>
      <c r="J42" s="2" t="s">
        <v>143</v>
      </c>
      <c r="K42" s="2"/>
      <c r="L42" s="2" t="s">
        <v>170</v>
      </c>
      <c r="M42" s="2" t="s">
        <v>128</v>
      </c>
      <c r="N42" s="2" t="s">
        <v>199</v>
      </c>
      <c r="O42" s="2" t="s">
        <v>112</v>
      </c>
      <c r="P42" s="2"/>
      <c r="Q42" s="2" t="s">
        <v>126</v>
      </c>
      <c r="R42" s="2" t="s">
        <v>111</v>
      </c>
      <c r="S42" s="2" t="s">
        <v>144</v>
      </c>
      <c r="T42" s="2" t="s">
        <v>120</v>
      </c>
      <c r="U42" s="2" t="s">
        <v>120</v>
      </c>
      <c r="V42" s="2" t="s">
        <v>200</v>
      </c>
      <c r="W42" s="2"/>
      <c r="X42" s="2"/>
      <c r="Y42" s="2" t="s">
        <v>103</v>
      </c>
      <c r="Z42" s="2"/>
      <c r="AA42" s="2" t="s">
        <v>109</v>
      </c>
      <c r="AB42" s="2" t="s">
        <v>112</v>
      </c>
      <c r="AC42" s="2" t="s">
        <v>147</v>
      </c>
      <c r="AD42" s="2" t="s">
        <v>109</v>
      </c>
      <c r="AE42" s="2"/>
      <c r="AF42" s="2"/>
      <c r="AG42" s="2"/>
      <c r="AH42" s="2" t="s">
        <v>103</v>
      </c>
      <c r="AI42" s="2"/>
      <c r="AJ42" s="2" t="s">
        <v>133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 t="s">
        <v>103</v>
      </c>
      <c r="AW42" s="2" t="s">
        <v>156</v>
      </c>
      <c r="AX42" s="2" t="s">
        <v>142</v>
      </c>
      <c r="AY42" s="2" t="s">
        <v>114</v>
      </c>
      <c r="AZ42" s="2"/>
      <c r="BA42" s="2"/>
      <c r="BB42" s="2"/>
      <c r="BC42" s="2"/>
      <c r="BD42" s="2"/>
      <c r="BE42" s="2"/>
      <c r="BF42" s="2" t="s">
        <v>104</v>
      </c>
      <c r="BG42" s="2" t="s">
        <v>126</v>
      </c>
      <c r="BH42" s="2"/>
      <c r="BI42" s="2"/>
      <c r="BJ42" s="2" t="s">
        <v>103</v>
      </c>
      <c r="BK42" s="2" t="s">
        <v>160</v>
      </c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>
        <f>3/4</f>
        <v>0.75</v>
      </c>
      <c r="CD42" s="2" t="s">
        <v>116</v>
      </c>
      <c r="CE42" s="2"/>
      <c r="CF42" s="2"/>
      <c r="CG42" s="2"/>
      <c r="CH42" s="2"/>
      <c r="CI42" s="2" t="s">
        <v>104</v>
      </c>
      <c r="CJ42" s="2" t="s">
        <v>105</v>
      </c>
      <c r="CK42" s="2" t="s">
        <v>105</v>
      </c>
      <c r="CL42" s="2"/>
      <c r="CM42" s="2"/>
      <c r="CN42" s="2"/>
      <c r="CO42" s="2" t="s">
        <v>195</v>
      </c>
      <c r="CP42" s="2"/>
      <c r="CQ42" s="2"/>
      <c r="CR42" s="2"/>
      <c r="CS42" s="2"/>
      <c r="CT42" s="2"/>
      <c r="CU42" s="2"/>
      <c r="CV42" s="2"/>
      <c r="CW42" s="2"/>
      <c r="CX42" s="3"/>
      <c r="CY42" s="3"/>
    </row>
    <row r="43" spans="1:103" ht="15.75" customHeight="1" x14ac:dyDescent="0.2">
      <c r="A43" s="2" t="s">
        <v>109</v>
      </c>
      <c r="B43" s="2" t="s">
        <v>112</v>
      </c>
      <c r="C43" s="6" t="s">
        <v>263</v>
      </c>
      <c r="D43" s="3"/>
      <c r="E43" s="2" t="s">
        <v>103</v>
      </c>
      <c r="F43" s="2"/>
      <c r="G43" s="2"/>
      <c r="H43" s="2" t="s">
        <v>181</v>
      </c>
      <c r="I43" s="2" t="s">
        <v>181</v>
      </c>
      <c r="J43" s="2" t="s">
        <v>201</v>
      </c>
      <c r="K43" s="2"/>
      <c r="L43" s="2" t="s">
        <v>170</v>
      </c>
      <c r="M43" s="2" t="s">
        <v>138</v>
      </c>
      <c r="N43" s="2" t="s">
        <v>133</v>
      </c>
      <c r="O43" s="2" t="s">
        <v>119</v>
      </c>
      <c r="P43" s="2"/>
      <c r="Q43" s="2" t="s">
        <v>105</v>
      </c>
      <c r="R43" s="2" t="s">
        <v>114</v>
      </c>
      <c r="S43" s="2" t="s">
        <v>136</v>
      </c>
      <c r="T43" s="2" t="s">
        <v>150</v>
      </c>
      <c r="U43" s="2" t="s">
        <v>114</v>
      </c>
      <c r="V43" s="2" t="s">
        <v>150</v>
      </c>
      <c r="W43" s="2"/>
      <c r="X43" s="2" t="s">
        <v>113</v>
      </c>
      <c r="Y43" s="2" t="s">
        <v>103</v>
      </c>
      <c r="Z43" s="2"/>
      <c r="AA43" s="2" t="s">
        <v>109</v>
      </c>
      <c r="AB43" s="2" t="s">
        <v>113</v>
      </c>
      <c r="AC43" s="2" t="s">
        <v>115</v>
      </c>
      <c r="AD43" s="2" t="s">
        <v>112</v>
      </c>
      <c r="AE43" s="2"/>
      <c r="AF43" s="2" t="s">
        <v>109</v>
      </c>
      <c r="AG43" s="2"/>
      <c r="AH43" s="2"/>
      <c r="AI43" s="2"/>
      <c r="AJ43" s="2" t="s">
        <v>176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 t="s">
        <v>109</v>
      </c>
      <c r="AW43" s="2" t="s">
        <v>160</v>
      </c>
      <c r="AX43" s="2"/>
      <c r="AY43" s="2" t="s">
        <v>105</v>
      </c>
      <c r="AZ43" s="2"/>
      <c r="BA43" s="2"/>
      <c r="BB43" s="2"/>
      <c r="BC43" s="2"/>
      <c r="BD43" s="4" t="s">
        <v>167</v>
      </c>
      <c r="BE43" s="2" t="s">
        <v>119</v>
      </c>
      <c r="BF43" s="4">
        <f>1 + (1/2)</f>
        <v>1.5</v>
      </c>
      <c r="BG43" s="2" t="s">
        <v>149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 t="s">
        <v>107</v>
      </c>
      <c r="BX43" s="2"/>
      <c r="BY43" s="2"/>
      <c r="BZ43" s="2"/>
      <c r="CA43" s="2"/>
      <c r="CB43" s="2"/>
      <c r="CC43" s="4">
        <f>1 + (1/2)</f>
        <v>1.5</v>
      </c>
      <c r="CD43" s="2" t="s">
        <v>138</v>
      </c>
      <c r="CE43" s="2"/>
      <c r="CF43" s="2"/>
      <c r="CG43" s="2"/>
      <c r="CH43" s="2"/>
      <c r="CI43" s="2" t="s">
        <v>103</v>
      </c>
      <c r="CJ43" s="2" t="s">
        <v>120</v>
      </c>
      <c r="CK43" s="2" t="s">
        <v>114</v>
      </c>
      <c r="CL43" s="2"/>
      <c r="CM43" s="2"/>
      <c r="CN43" s="2"/>
      <c r="CO43" s="2" t="s">
        <v>133</v>
      </c>
      <c r="CP43" s="2"/>
      <c r="CQ43" s="2"/>
      <c r="CR43" s="2"/>
      <c r="CS43" s="2"/>
      <c r="CT43" s="2"/>
      <c r="CU43" s="2"/>
      <c r="CV43" s="2"/>
      <c r="CW43" s="2"/>
      <c r="CX43" s="2" t="s">
        <v>119</v>
      </c>
      <c r="CY43" s="2" t="s">
        <v>128</v>
      </c>
    </row>
    <row r="44" spans="1:103" ht="15.75" customHeight="1" x14ac:dyDescent="0.2">
      <c r="A44" s="2" t="s">
        <v>104</v>
      </c>
      <c r="B44" s="2" t="s">
        <v>112</v>
      </c>
      <c r="C44" s="6" t="s">
        <v>263</v>
      </c>
      <c r="D44" s="3"/>
      <c r="E44" s="2" t="s">
        <v>103</v>
      </c>
      <c r="F44" s="2"/>
      <c r="G44" s="2"/>
      <c r="H44" s="2" t="s">
        <v>112</v>
      </c>
      <c r="I44" s="2" t="s">
        <v>112</v>
      </c>
      <c r="J44" s="2"/>
      <c r="K44" s="2"/>
      <c r="L44" s="2" t="s">
        <v>105</v>
      </c>
      <c r="M44" s="2"/>
      <c r="N44" s="2" t="s">
        <v>128</v>
      </c>
      <c r="O44" s="2"/>
      <c r="P44" s="2"/>
      <c r="Q44" s="2"/>
      <c r="R44" s="2"/>
      <c r="S44" s="2" t="s">
        <v>119</v>
      </c>
      <c r="T44" s="2" t="s">
        <v>112</v>
      </c>
      <c r="U44" s="2"/>
      <c r="V44" s="2" t="s">
        <v>104</v>
      </c>
      <c r="W44" s="2"/>
      <c r="X44" s="2"/>
      <c r="Y44" s="2"/>
      <c r="Z44" s="2"/>
      <c r="AA44" s="2"/>
      <c r="AB44" s="2" t="s">
        <v>103</v>
      </c>
      <c r="AC44" s="2"/>
      <c r="AD44" s="2" t="s">
        <v>103</v>
      </c>
      <c r="AE44" s="2"/>
      <c r="AF44" s="2"/>
      <c r="AG44" s="2" t="s">
        <v>103</v>
      </c>
      <c r="AH44" s="2"/>
      <c r="AI44" s="2"/>
      <c r="AJ44" s="2" t="s">
        <v>105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4">
        <f>1/2</f>
        <v>0.5</v>
      </c>
      <c r="CJ44" s="2" t="s">
        <v>108</v>
      </c>
      <c r="CK44" s="2" t="s">
        <v>125</v>
      </c>
      <c r="CL44" s="2"/>
      <c r="CM44" s="2"/>
      <c r="CN44" s="2"/>
      <c r="CO44" s="2" t="s">
        <v>105</v>
      </c>
      <c r="CP44" s="2"/>
      <c r="CQ44" s="2"/>
      <c r="CR44" s="2"/>
      <c r="CS44" s="2"/>
      <c r="CT44" s="2"/>
      <c r="CU44" s="2"/>
      <c r="CV44" s="2"/>
      <c r="CW44" s="2"/>
      <c r="CX44" s="2" t="s">
        <v>115</v>
      </c>
      <c r="CY44" s="2" t="s">
        <v>112</v>
      </c>
    </row>
    <row r="45" spans="1:103" ht="15.75" customHeight="1" x14ac:dyDescent="0.2">
      <c r="A45" s="2" t="s">
        <v>113</v>
      </c>
      <c r="B45" s="2" t="s">
        <v>112</v>
      </c>
      <c r="C45" s="6" t="s">
        <v>263</v>
      </c>
      <c r="D45" s="3"/>
      <c r="E45" s="2" t="s">
        <v>103</v>
      </c>
      <c r="F45" s="2"/>
      <c r="G45" s="2"/>
      <c r="H45" s="2" t="s">
        <v>150</v>
      </c>
      <c r="I45" s="2" t="s">
        <v>150</v>
      </c>
      <c r="J45" s="2" t="s">
        <v>129</v>
      </c>
      <c r="K45" s="2"/>
      <c r="L45" s="2" t="s">
        <v>158</v>
      </c>
      <c r="M45" s="2" t="s">
        <v>115</v>
      </c>
      <c r="N45" s="2" t="s">
        <v>161</v>
      </c>
      <c r="O45" s="2" t="s">
        <v>113</v>
      </c>
      <c r="P45" s="2"/>
      <c r="Q45" s="2"/>
      <c r="R45" s="2"/>
      <c r="S45" s="2" t="s">
        <v>138</v>
      </c>
      <c r="T45" s="2" t="s">
        <v>119</v>
      </c>
      <c r="U45" s="2" t="s">
        <v>108</v>
      </c>
      <c r="V45" s="2" t="s">
        <v>119</v>
      </c>
      <c r="W45" s="2"/>
      <c r="X45" s="2"/>
      <c r="Y45" s="2"/>
      <c r="Z45" s="2"/>
      <c r="AA45" s="2" t="s">
        <v>109</v>
      </c>
      <c r="AB45" s="2" t="s">
        <v>103</v>
      </c>
      <c r="AC45" s="2" t="s">
        <v>103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 t="s">
        <v>103</v>
      </c>
      <c r="AS45" s="2"/>
      <c r="AT45" s="2"/>
      <c r="AU45" s="2"/>
      <c r="AV45" s="2"/>
      <c r="AW45" s="2" t="s">
        <v>112</v>
      </c>
      <c r="AX45" s="2"/>
      <c r="AY45" s="2" t="s">
        <v>128</v>
      </c>
      <c r="AZ45" s="2"/>
      <c r="BA45" s="2"/>
      <c r="BB45" s="2"/>
      <c r="BC45" s="2"/>
      <c r="BD45" s="2">
        <f>1/2</f>
        <v>0.5</v>
      </c>
      <c r="BE45" s="2" t="s">
        <v>119</v>
      </c>
      <c r="BF45" s="2"/>
      <c r="BG45" s="2"/>
      <c r="BH45" s="2"/>
      <c r="BI45" s="2"/>
      <c r="BJ45" s="2"/>
      <c r="BK45" s="2"/>
      <c r="BL45" s="2" t="s">
        <v>103</v>
      </c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 t="s">
        <v>105</v>
      </c>
      <c r="BX45" s="2"/>
      <c r="BY45" s="2"/>
      <c r="BZ45" s="2"/>
      <c r="CA45" s="2"/>
      <c r="CB45" s="2"/>
      <c r="CC45" s="2">
        <f t="shared" ref="CC45:CC46" si="4">1/2</f>
        <v>0.5</v>
      </c>
      <c r="CD45" s="2" t="s">
        <v>116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 t="s">
        <v>147</v>
      </c>
      <c r="CY45" s="2" t="s">
        <v>161</v>
      </c>
    </row>
    <row r="46" spans="1:103" ht="15.75" customHeight="1" x14ac:dyDescent="0.2">
      <c r="A46" s="2" t="s">
        <v>112</v>
      </c>
      <c r="B46" s="2" t="s">
        <v>112</v>
      </c>
      <c r="C46" s="6" t="s">
        <v>263</v>
      </c>
      <c r="D46" s="3"/>
      <c r="E46" s="2" t="s">
        <v>103</v>
      </c>
      <c r="F46" s="2"/>
      <c r="G46" s="2"/>
      <c r="H46" s="2" t="s">
        <v>108</v>
      </c>
      <c r="I46" s="2" t="s">
        <v>108</v>
      </c>
      <c r="J46" s="2" t="s">
        <v>128</v>
      </c>
      <c r="K46" s="2"/>
      <c r="L46" s="2" t="s">
        <v>138</v>
      </c>
      <c r="M46" s="2" t="s">
        <v>112</v>
      </c>
      <c r="N46" s="2" t="s">
        <v>128</v>
      </c>
      <c r="O46" s="2"/>
      <c r="P46" s="2"/>
      <c r="Q46" s="2"/>
      <c r="R46" s="2"/>
      <c r="S46" s="2" t="s">
        <v>116</v>
      </c>
      <c r="T46" s="2" t="s">
        <v>115</v>
      </c>
      <c r="U46" s="2" t="s">
        <v>114</v>
      </c>
      <c r="V46" s="2" t="s">
        <v>142</v>
      </c>
      <c r="W46" s="2"/>
      <c r="X46" s="2"/>
      <c r="Y46" s="2"/>
      <c r="Z46" s="2"/>
      <c r="AA46" s="2"/>
      <c r="AB46" s="2" t="s">
        <v>103</v>
      </c>
      <c r="AC46" s="2"/>
      <c r="AD46" s="2" t="s">
        <v>103</v>
      </c>
      <c r="AE46" s="2"/>
      <c r="AF46" s="2"/>
      <c r="AG46" s="2" t="s">
        <v>103</v>
      </c>
      <c r="AH46" s="2"/>
      <c r="AI46" s="2"/>
      <c r="AJ46" s="2" t="s">
        <v>105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s">
        <v>142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>
        <f t="shared" si="4"/>
        <v>0.5</v>
      </c>
      <c r="CD46" s="2" t="s">
        <v>120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 t="s">
        <v>125</v>
      </c>
      <c r="CY46" s="2" t="s">
        <v>113</v>
      </c>
    </row>
    <row r="47" spans="1:103" ht="15.75" customHeight="1" x14ac:dyDescent="0.2">
      <c r="A47" s="2" t="s">
        <v>142</v>
      </c>
      <c r="B47" s="2" t="s">
        <v>112</v>
      </c>
      <c r="C47" s="6" t="s">
        <v>263</v>
      </c>
      <c r="D47" s="3"/>
      <c r="E47" s="2" t="s">
        <v>103</v>
      </c>
      <c r="F47" s="2"/>
      <c r="G47" s="2"/>
      <c r="H47" s="2" t="s">
        <v>114</v>
      </c>
      <c r="I47" s="2" t="s">
        <v>114</v>
      </c>
      <c r="J47" s="2" t="s">
        <v>131</v>
      </c>
      <c r="K47" s="2"/>
      <c r="L47" s="2" t="s">
        <v>151</v>
      </c>
      <c r="M47" s="2"/>
      <c r="N47" s="2"/>
      <c r="O47" s="2" t="s">
        <v>115</v>
      </c>
      <c r="P47" s="2"/>
      <c r="Q47" s="2" t="s">
        <v>128</v>
      </c>
      <c r="R47" s="2" t="s">
        <v>113</v>
      </c>
      <c r="S47" s="2" t="s">
        <v>138</v>
      </c>
      <c r="T47" s="2" t="s">
        <v>114</v>
      </c>
      <c r="U47" s="2"/>
      <c r="V47" s="2" t="s">
        <v>150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3"/>
      <c r="CY47" s="3"/>
    </row>
    <row r="48" spans="1:103" ht="15.75" customHeight="1" x14ac:dyDescent="0.2">
      <c r="A48" s="2" t="s">
        <v>125</v>
      </c>
      <c r="B48" s="2" t="s">
        <v>112</v>
      </c>
      <c r="C48" s="6" t="s">
        <v>263</v>
      </c>
      <c r="D48" s="3"/>
      <c r="E48" s="2"/>
      <c r="F48" s="2"/>
      <c r="G48" s="2" t="s">
        <v>103</v>
      </c>
      <c r="H48" s="2" t="s">
        <v>128</v>
      </c>
      <c r="I48" s="2" t="s">
        <v>120</v>
      </c>
      <c r="J48" s="2" t="s">
        <v>105</v>
      </c>
      <c r="K48" s="2"/>
      <c r="L48" s="2" t="s">
        <v>185</v>
      </c>
      <c r="M48" s="2" t="s">
        <v>115</v>
      </c>
      <c r="N48" s="2" t="s">
        <v>144</v>
      </c>
      <c r="O48" s="2" t="s">
        <v>112</v>
      </c>
      <c r="P48" s="2"/>
      <c r="Q48" s="2" t="s">
        <v>147</v>
      </c>
      <c r="R48" s="2" t="s">
        <v>103</v>
      </c>
      <c r="S48" s="2" t="s">
        <v>110</v>
      </c>
      <c r="T48" s="2" t="s">
        <v>119</v>
      </c>
      <c r="U48" s="2" t="s">
        <v>108</v>
      </c>
      <c r="V48" s="2" t="s">
        <v>128</v>
      </c>
      <c r="W48" s="2"/>
      <c r="X48" s="2"/>
      <c r="Y48" s="2" t="s">
        <v>103</v>
      </c>
      <c r="Z48" s="2"/>
      <c r="AA48" s="2" t="s">
        <v>109</v>
      </c>
      <c r="AB48" s="2" t="s">
        <v>109</v>
      </c>
      <c r="AC48" s="2" t="s">
        <v>142</v>
      </c>
      <c r="AD48" s="2"/>
      <c r="AE48" s="2" t="s">
        <v>103</v>
      </c>
      <c r="AF48" s="2"/>
      <c r="AG48" s="2"/>
      <c r="AH48" s="2"/>
      <c r="AI48" s="2"/>
      <c r="AJ48" s="2" t="s">
        <v>110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 t="s">
        <v>147</v>
      </c>
      <c r="AX48" s="2"/>
      <c r="AY48" s="2" t="s">
        <v>116</v>
      </c>
      <c r="AZ48" s="2"/>
      <c r="BA48" s="2"/>
      <c r="BB48" s="2">
        <f>1/4</f>
        <v>0.25</v>
      </c>
      <c r="BC48" s="2" t="s">
        <v>104</v>
      </c>
      <c r="BD48" s="4">
        <f>3/4</f>
        <v>0.75</v>
      </c>
      <c r="BE48" s="2" t="s">
        <v>119</v>
      </c>
      <c r="BF48" s="2" t="s">
        <v>109</v>
      </c>
      <c r="BG48" s="2" t="s">
        <v>202</v>
      </c>
      <c r="BH48" s="2"/>
      <c r="BI48" s="2"/>
      <c r="BJ48" s="2"/>
      <c r="BK48" s="2"/>
      <c r="BL48" s="2" t="s">
        <v>103</v>
      </c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 t="s">
        <v>203</v>
      </c>
      <c r="BX48" s="2"/>
      <c r="BY48" s="2"/>
      <c r="BZ48" s="2"/>
      <c r="CA48" s="2"/>
      <c r="CB48" s="2"/>
      <c r="CC48" s="2">
        <f>1/2</f>
        <v>0.5</v>
      </c>
      <c r="CD48" s="2" t="s">
        <v>120</v>
      </c>
      <c r="CE48" s="2"/>
      <c r="CF48" s="2"/>
      <c r="CG48" s="2"/>
      <c r="CH48" s="2"/>
      <c r="CI48" s="2" t="s">
        <v>103</v>
      </c>
      <c r="CJ48" s="2" t="s">
        <v>128</v>
      </c>
      <c r="CK48" s="2" t="s">
        <v>119</v>
      </c>
      <c r="CL48" s="2"/>
      <c r="CM48" s="2"/>
      <c r="CN48" s="2"/>
      <c r="CO48" s="2" t="s">
        <v>136</v>
      </c>
      <c r="CP48" s="2"/>
      <c r="CQ48" s="2"/>
      <c r="CR48" s="2"/>
      <c r="CS48" s="2"/>
      <c r="CT48" s="2"/>
      <c r="CU48" s="2"/>
      <c r="CV48" s="2"/>
      <c r="CW48" s="2"/>
      <c r="CX48" s="2" t="s">
        <v>115</v>
      </c>
      <c r="CY48" s="2" t="s">
        <v>115</v>
      </c>
    </row>
    <row r="49" spans="1:103" ht="15.75" customHeight="1" x14ac:dyDescent="0.2">
      <c r="A49" s="2" t="s">
        <v>147</v>
      </c>
      <c r="B49" s="2" t="s">
        <v>112</v>
      </c>
      <c r="C49" s="6" t="s">
        <v>263</v>
      </c>
      <c r="D49" s="3"/>
      <c r="E49" s="2" t="s">
        <v>103</v>
      </c>
      <c r="F49" s="2"/>
      <c r="G49" s="2"/>
      <c r="H49" s="2" t="s">
        <v>105</v>
      </c>
      <c r="I49" s="2" t="s">
        <v>105</v>
      </c>
      <c r="J49" s="2" t="s">
        <v>126</v>
      </c>
      <c r="K49" s="2"/>
      <c r="L49" s="2" t="s">
        <v>204</v>
      </c>
      <c r="M49" s="2" t="s">
        <v>138</v>
      </c>
      <c r="N49" s="2" t="s">
        <v>190</v>
      </c>
      <c r="O49" s="2" t="s">
        <v>114</v>
      </c>
      <c r="P49" s="2"/>
      <c r="Q49" s="2" t="s">
        <v>120</v>
      </c>
      <c r="R49" s="2" t="s">
        <v>125</v>
      </c>
      <c r="S49" s="2" t="s">
        <v>133</v>
      </c>
      <c r="T49" s="2" t="s">
        <v>120</v>
      </c>
      <c r="U49" s="2" t="s">
        <v>126</v>
      </c>
      <c r="V49" s="2" t="s">
        <v>114</v>
      </c>
      <c r="W49" s="2"/>
      <c r="X49" s="2"/>
      <c r="Y49" s="2" t="s">
        <v>104</v>
      </c>
      <c r="Z49" s="2"/>
      <c r="AA49" s="2"/>
      <c r="AB49" s="2" t="s">
        <v>104</v>
      </c>
      <c r="AC49" s="2" t="s">
        <v>147</v>
      </c>
      <c r="AD49" s="4" t="s">
        <v>147</v>
      </c>
      <c r="AE49" s="2" t="s">
        <v>171</v>
      </c>
      <c r="AF49" s="2" t="s">
        <v>160</v>
      </c>
      <c r="AG49" s="2"/>
      <c r="AH49" s="2"/>
      <c r="AI49" s="2"/>
      <c r="AJ49" s="2" t="s">
        <v>146</v>
      </c>
      <c r="AK49" s="2" t="s">
        <v>126</v>
      </c>
      <c r="AL49" s="4" t="s">
        <v>116</v>
      </c>
      <c r="AM49" s="2" t="s">
        <v>205</v>
      </c>
      <c r="AN49" s="2" t="s">
        <v>120</v>
      </c>
      <c r="AO49" s="2" t="s">
        <v>120</v>
      </c>
      <c r="AP49" s="2" t="s">
        <v>103</v>
      </c>
      <c r="AQ49" s="2"/>
      <c r="AR49" s="2" t="s">
        <v>113</v>
      </c>
      <c r="AS49" s="2"/>
      <c r="AT49" s="2" t="s">
        <v>206</v>
      </c>
      <c r="AU49" s="2" t="s">
        <v>207</v>
      </c>
      <c r="AV49" s="2" t="s">
        <v>103</v>
      </c>
      <c r="AW49" s="2" t="s">
        <v>111</v>
      </c>
      <c r="AX49" s="2" t="s">
        <v>104</v>
      </c>
      <c r="AY49" s="2" t="s">
        <v>105</v>
      </c>
      <c r="AZ49" s="2"/>
      <c r="BA49" s="2"/>
      <c r="BB49" s="2"/>
      <c r="BC49" s="2"/>
      <c r="BD49" s="4">
        <f>1 + (1/2)</f>
        <v>1.5</v>
      </c>
      <c r="BE49" s="2" t="s">
        <v>208</v>
      </c>
      <c r="BF49" s="2" t="s">
        <v>109</v>
      </c>
      <c r="BG49" s="2" t="s">
        <v>129</v>
      </c>
      <c r="BH49" s="2"/>
      <c r="BI49" s="2"/>
      <c r="BJ49" s="2" t="s">
        <v>103</v>
      </c>
      <c r="BK49" s="2" t="s">
        <v>167</v>
      </c>
      <c r="BL49" s="2" t="s">
        <v>103</v>
      </c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 t="s">
        <v>209</v>
      </c>
      <c r="BX49" s="2" t="s">
        <v>120</v>
      </c>
      <c r="BY49" s="2"/>
      <c r="BZ49" s="2"/>
      <c r="CA49" s="2"/>
      <c r="CB49" s="2"/>
      <c r="CC49" s="2">
        <f>3/4</f>
        <v>0.75</v>
      </c>
      <c r="CD49" s="2" t="s">
        <v>210</v>
      </c>
      <c r="CE49" s="2"/>
      <c r="CF49" s="2"/>
      <c r="CG49" s="2"/>
      <c r="CH49" s="2"/>
      <c r="CI49" s="2" t="s">
        <v>112</v>
      </c>
      <c r="CJ49" s="2" t="s">
        <v>105</v>
      </c>
      <c r="CK49" s="2" t="s">
        <v>187</v>
      </c>
      <c r="CL49" s="2"/>
      <c r="CM49" s="2"/>
      <c r="CN49" s="2"/>
      <c r="CO49" s="2" t="s">
        <v>177</v>
      </c>
      <c r="CP49" s="2"/>
      <c r="CQ49" s="2"/>
      <c r="CR49" s="2"/>
      <c r="CS49" s="2"/>
      <c r="CT49" s="2"/>
      <c r="CU49" s="2"/>
      <c r="CV49" s="2"/>
      <c r="CW49" s="2"/>
      <c r="CX49" s="2" t="s">
        <v>119</v>
      </c>
      <c r="CY49" s="2" t="s">
        <v>105</v>
      </c>
    </row>
    <row r="50" spans="1:103" ht="15.75" customHeight="1" x14ac:dyDescent="0.2">
      <c r="A50" s="2" t="s">
        <v>111</v>
      </c>
      <c r="B50" s="2" t="s">
        <v>112</v>
      </c>
      <c r="C50" s="6" t="s">
        <v>263</v>
      </c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3"/>
      <c r="CY50" s="3"/>
    </row>
    <row r="51" spans="1:103" ht="15.75" customHeight="1" x14ac:dyDescent="0.2">
      <c r="A51" s="2" t="s">
        <v>115</v>
      </c>
      <c r="B51" s="2" t="s">
        <v>112</v>
      </c>
      <c r="C51" s="6" t="s">
        <v>263</v>
      </c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3"/>
      <c r="CY51" s="3"/>
    </row>
    <row r="52" spans="1:103" ht="15.75" customHeight="1" x14ac:dyDescent="0.2">
      <c r="A52" s="2" t="s">
        <v>103</v>
      </c>
      <c r="B52" s="2" t="s">
        <v>142</v>
      </c>
      <c r="C52" s="6" t="s">
        <v>263</v>
      </c>
      <c r="D52" s="3"/>
      <c r="E52" s="2" t="s">
        <v>103</v>
      </c>
      <c r="F52" s="2"/>
      <c r="G52" s="2"/>
      <c r="H52" s="2" t="s">
        <v>187</v>
      </c>
      <c r="I52" s="2" t="s">
        <v>187</v>
      </c>
      <c r="J52" s="2" t="s">
        <v>169</v>
      </c>
      <c r="K52" s="2"/>
      <c r="L52" s="2" t="s">
        <v>193</v>
      </c>
      <c r="M52" s="2" t="s">
        <v>105</v>
      </c>
      <c r="N52" s="2" t="s">
        <v>144</v>
      </c>
      <c r="O52" s="2" t="s">
        <v>129</v>
      </c>
      <c r="P52" s="2"/>
      <c r="Q52" s="2"/>
      <c r="R52" s="2"/>
      <c r="S52" s="2" t="s">
        <v>144</v>
      </c>
      <c r="T52" s="2" t="s">
        <v>114</v>
      </c>
      <c r="U52" s="2" t="s">
        <v>126</v>
      </c>
      <c r="V52" s="2" t="s">
        <v>114</v>
      </c>
      <c r="W52" s="2"/>
      <c r="X52" s="2"/>
      <c r="Y52" s="2" t="s">
        <v>109</v>
      </c>
      <c r="Z52" s="2"/>
      <c r="AA52" s="2"/>
      <c r="AB52" s="2" t="s">
        <v>113</v>
      </c>
      <c r="AC52" s="2" t="s">
        <v>142</v>
      </c>
      <c r="AD52" s="2" t="s">
        <v>109</v>
      </c>
      <c r="AE52" s="2"/>
      <c r="AF52" s="2" t="s">
        <v>109</v>
      </c>
      <c r="AG52" s="2"/>
      <c r="AH52" s="2"/>
      <c r="AI52" s="2"/>
      <c r="AJ52" s="2" t="s">
        <v>133</v>
      </c>
      <c r="AK52" s="2" t="s">
        <v>187</v>
      </c>
      <c r="AL52" s="2" t="s">
        <v>130</v>
      </c>
      <c r="AM52" s="2" t="s">
        <v>113</v>
      </c>
      <c r="AN52" s="2"/>
      <c r="AO52" s="2" t="s">
        <v>104</v>
      </c>
      <c r="AP52" s="2"/>
      <c r="AQ52" s="2"/>
      <c r="AR52" s="2" t="s">
        <v>103</v>
      </c>
      <c r="AS52" s="2"/>
      <c r="AT52" s="2" t="s">
        <v>130</v>
      </c>
      <c r="AU52" s="2" t="s">
        <v>211</v>
      </c>
      <c r="AV52" s="2" t="s">
        <v>103</v>
      </c>
      <c r="AW52" s="2" t="s">
        <v>111</v>
      </c>
      <c r="AX52" s="2" t="s">
        <v>109</v>
      </c>
      <c r="AY52" s="2" t="s">
        <v>116</v>
      </c>
      <c r="AZ52" s="2"/>
      <c r="BA52" s="2"/>
      <c r="BB52" s="2"/>
      <c r="BC52" s="2"/>
      <c r="BD52" s="4">
        <f>1 + (1/2)</f>
        <v>1.5</v>
      </c>
      <c r="BE52" s="2" t="s">
        <v>116</v>
      </c>
      <c r="BF52" s="2">
        <f>1/4</f>
        <v>0.25</v>
      </c>
      <c r="BG52" s="2" t="s">
        <v>111</v>
      </c>
      <c r="BH52" s="2"/>
      <c r="BI52" s="2"/>
      <c r="BJ52" s="2">
        <f>3/4</f>
        <v>0.75</v>
      </c>
      <c r="BK52" s="2" t="s">
        <v>128</v>
      </c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 t="s">
        <v>110</v>
      </c>
      <c r="BX52" s="2"/>
      <c r="BY52" s="2"/>
      <c r="BZ52" s="2"/>
      <c r="CA52" s="2"/>
      <c r="CB52" s="2"/>
      <c r="CC52" s="2"/>
      <c r="CD52" s="2" t="s">
        <v>125</v>
      </c>
      <c r="CE52" s="2"/>
      <c r="CF52" s="2"/>
      <c r="CG52" s="2"/>
      <c r="CH52" s="2"/>
      <c r="CI52" s="2" t="s">
        <v>104</v>
      </c>
      <c r="CJ52" s="2" t="s">
        <v>105</v>
      </c>
      <c r="CK52" s="2" t="s">
        <v>105</v>
      </c>
      <c r="CL52" s="2"/>
      <c r="CM52" s="2"/>
      <c r="CN52" s="2"/>
      <c r="CO52" s="2" t="s">
        <v>195</v>
      </c>
      <c r="CP52" s="2"/>
      <c r="CQ52" s="2"/>
      <c r="CR52" s="2"/>
      <c r="CS52" s="2"/>
      <c r="CT52" s="2"/>
      <c r="CU52" s="2"/>
      <c r="CV52" s="2"/>
      <c r="CW52" s="2"/>
      <c r="CX52" s="2" t="s">
        <v>115</v>
      </c>
      <c r="CY52" s="2" t="s">
        <v>115</v>
      </c>
    </row>
    <row r="53" spans="1:103" ht="15.75" customHeight="1" x14ac:dyDescent="0.2">
      <c r="A53" s="2" t="s">
        <v>109</v>
      </c>
      <c r="B53" s="2" t="s">
        <v>142</v>
      </c>
      <c r="C53" s="6" t="s">
        <v>263</v>
      </c>
      <c r="D53" s="3"/>
      <c r="E53" s="2" t="s">
        <v>103</v>
      </c>
      <c r="F53" s="2"/>
      <c r="G53" s="2"/>
      <c r="H53" s="2" t="s">
        <v>150</v>
      </c>
      <c r="I53" s="2" t="s">
        <v>150</v>
      </c>
      <c r="J53" s="2" t="s">
        <v>150</v>
      </c>
      <c r="K53" s="2"/>
      <c r="L53" s="2" t="s">
        <v>185</v>
      </c>
      <c r="M53" s="2" t="s">
        <v>128</v>
      </c>
      <c r="N53" s="2" t="s">
        <v>199</v>
      </c>
      <c r="O53" s="2" t="s">
        <v>112</v>
      </c>
      <c r="P53" s="2"/>
      <c r="Q53" s="2" t="s">
        <v>191</v>
      </c>
      <c r="R53" s="2" t="s">
        <v>194</v>
      </c>
      <c r="S53" s="2" t="s">
        <v>107</v>
      </c>
      <c r="T53" s="2" t="s">
        <v>141</v>
      </c>
      <c r="U53" s="2" t="s">
        <v>119</v>
      </c>
      <c r="V53" s="2" t="s">
        <v>108</v>
      </c>
      <c r="W53" s="2"/>
      <c r="X53" s="2"/>
      <c r="Y53" s="2" t="s">
        <v>103</v>
      </c>
      <c r="Z53" s="2"/>
      <c r="AA53" s="2" t="s">
        <v>109</v>
      </c>
      <c r="AB53" s="2" t="s">
        <v>103</v>
      </c>
      <c r="AC53" s="2"/>
      <c r="AD53" s="2"/>
      <c r="AE53" s="2"/>
      <c r="AF53" s="2"/>
      <c r="AG53" s="2"/>
      <c r="AH53" s="2"/>
      <c r="AI53" s="2"/>
      <c r="AJ53" s="2" t="s">
        <v>105</v>
      </c>
      <c r="AK53" s="2"/>
      <c r="AL53" s="2" t="s">
        <v>114</v>
      </c>
      <c r="AM53" s="2" t="s">
        <v>141</v>
      </c>
      <c r="AN53" s="2" t="s">
        <v>103</v>
      </c>
      <c r="AO53" s="2" t="s">
        <v>141</v>
      </c>
      <c r="AP53" s="2"/>
      <c r="AQ53" s="2"/>
      <c r="AR53" s="2"/>
      <c r="AS53" s="2"/>
      <c r="AT53" s="2" t="s">
        <v>171</v>
      </c>
      <c r="AU53" s="2" t="s">
        <v>212</v>
      </c>
      <c r="AV53" s="2" t="s">
        <v>103</v>
      </c>
      <c r="AW53" s="2" t="s">
        <v>142</v>
      </c>
      <c r="AX53" s="2"/>
      <c r="AY53" s="2" t="s">
        <v>150</v>
      </c>
      <c r="AZ53" s="2"/>
      <c r="BA53" s="2"/>
      <c r="BB53" s="2"/>
      <c r="BC53" s="2"/>
      <c r="BD53" s="2">
        <f>3/4</f>
        <v>0.75</v>
      </c>
      <c r="BE53" s="2" t="s">
        <v>128</v>
      </c>
      <c r="BF53" s="2">
        <f>3/4</f>
        <v>0.75</v>
      </c>
      <c r="BG53" s="2" t="s">
        <v>116</v>
      </c>
      <c r="BH53" s="2">
        <f>1/2</f>
        <v>0.5</v>
      </c>
      <c r="BI53" s="2" t="s">
        <v>103</v>
      </c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 t="s">
        <v>144</v>
      </c>
      <c r="BX53" s="2"/>
      <c r="BY53" s="2"/>
      <c r="BZ53" s="2"/>
      <c r="CA53" s="2"/>
      <c r="CB53" s="2"/>
      <c r="CC53" s="2">
        <f>1/4</f>
        <v>0.25</v>
      </c>
      <c r="CD53" s="2" t="s">
        <v>126</v>
      </c>
      <c r="CE53" s="2"/>
      <c r="CF53" s="2"/>
      <c r="CG53" s="2"/>
      <c r="CH53" s="2"/>
      <c r="CI53" s="2" t="s">
        <v>103</v>
      </c>
      <c r="CJ53" s="2" t="s">
        <v>126</v>
      </c>
      <c r="CK53" s="2" t="s">
        <v>114</v>
      </c>
      <c r="CL53" s="2"/>
      <c r="CM53" s="2"/>
      <c r="CN53" s="2"/>
      <c r="CO53" s="2" t="s">
        <v>144</v>
      </c>
      <c r="CP53" s="2"/>
      <c r="CQ53" s="2"/>
      <c r="CR53" s="2"/>
      <c r="CS53" s="2"/>
      <c r="CT53" s="2"/>
      <c r="CU53" s="2"/>
      <c r="CV53" s="2"/>
      <c r="CW53" s="2"/>
      <c r="CX53" s="2" t="s">
        <v>128</v>
      </c>
      <c r="CY53" s="2" t="s">
        <v>128</v>
      </c>
    </row>
    <row r="54" spans="1:103" ht="15.75" customHeight="1" x14ac:dyDescent="0.2">
      <c r="A54" s="2" t="s">
        <v>104</v>
      </c>
      <c r="B54" s="2" t="s">
        <v>142</v>
      </c>
      <c r="C54" s="6" t="s">
        <v>263</v>
      </c>
      <c r="D54" s="3"/>
      <c r="E54" s="2" t="s">
        <v>103</v>
      </c>
      <c r="F54" s="2"/>
      <c r="G54" s="2"/>
      <c r="H54" s="2" t="s">
        <v>125</v>
      </c>
      <c r="I54" s="2" t="s">
        <v>125</v>
      </c>
      <c r="J54" s="2" t="s">
        <v>151</v>
      </c>
      <c r="K54" s="2"/>
      <c r="L54" s="2" t="s">
        <v>170</v>
      </c>
      <c r="M54" s="2"/>
      <c r="N54" s="2" t="s">
        <v>105</v>
      </c>
      <c r="O54" s="2"/>
      <c r="P54" s="2"/>
      <c r="Q54" s="2"/>
      <c r="R54" s="2"/>
      <c r="S54" s="2" t="s">
        <v>116</v>
      </c>
      <c r="T54" s="2" t="s">
        <v>113</v>
      </c>
      <c r="U54" s="2" t="s">
        <v>104</v>
      </c>
      <c r="V54" s="2" t="s">
        <v>104</v>
      </c>
      <c r="W54" s="2"/>
      <c r="X54" s="2"/>
      <c r="Y54" s="2" t="s">
        <v>103</v>
      </c>
      <c r="Z54" s="2"/>
      <c r="AA54" s="2"/>
      <c r="AB54" s="2" t="s">
        <v>103</v>
      </c>
      <c r="AC54" s="2"/>
      <c r="AD54" s="2"/>
      <c r="AE54" s="2"/>
      <c r="AF54" s="2" t="s">
        <v>103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 t="s">
        <v>125</v>
      </c>
      <c r="AX54" s="2"/>
      <c r="AY54" s="2" t="s">
        <v>169</v>
      </c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>
        <f>1/2</f>
        <v>0.5</v>
      </c>
      <c r="CD54" s="2" t="s">
        <v>116</v>
      </c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3"/>
      <c r="CY54" s="3"/>
    </row>
    <row r="55" spans="1:103" ht="15.75" customHeight="1" x14ac:dyDescent="0.2">
      <c r="A55" s="2" t="s">
        <v>113</v>
      </c>
      <c r="B55" s="2" t="s">
        <v>142</v>
      </c>
      <c r="C55" s="6" t="s">
        <v>263</v>
      </c>
      <c r="D55" s="3"/>
      <c r="E55" s="2" t="s">
        <v>103</v>
      </c>
      <c r="F55" s="2"/>
      <c r="G55" s="2"/>
      <c r="H55" s="2" t="s">
        <v>110</v>
      </c>
      <c r="I55" s="2"/>
      <c r="J55" s="2" t="s">
        <v>187</v>
      </c>
      <c r="K55" s="2"/>
      <c r="L55" s="2" t="s">
        <v>213</v>
      </c>
      <c r="M55" s="2" t="s">
        <v>107</v>
      </c>
      <c r="N55" s="2" t="s">
        <v>214</v>
      </c>
      <c r="O55" s="2" t="s">
        <v>116</v>
      </c>
      <c r="P55" s="2"/>
      <c r="Q55" s="2" t="s">
        <v>110</v>
      </c>
      <c r="R55" s="2" t="s">
        <v>117</v>
      </c>
      <c r="S55" s="2" t="s">
        <v>185</v>
      </c>
      <c r="T55" s="2" t="s">
        <v>126</v>
      </c>
      <c r="U55" s="2" t="s">
        <v>175</v>
      </c>
      <c r="V55" s="2" t="s">
        <v>116</v>
      </c>
      <c r="W55" s="2"/>
      <c r="X55" s="2"/>
      <c r="Y55" s="2" t="s">
        <v>113</v>
      </c>
      <c r="Z55" s="2"/>
      <c r="AA55" s="2"/>
      <c r="AB55" s="4" t="s">
        <v>125</v>
      </c>
      <c r="AC55" s="2" t="s">
        <v>141</v>
      </c>
      <c r="AD55" s="2" t="s">
        <v>160</v>
      </c>
      <c r="AE55" s="2"/>
      <c r="AF55" s="2" t="s">
        <v>112</v>
      </c>
      <c r="AG55" s="2" t="s">
        <v>104</v>
      </c>
      <c r="AH55" s="2"/>
      <c r="AI55" s="2"/>
      <c r="AJ55" s="2" t="s">
        <v>163</v>
      </c>
      <c r="AK55" s="2" t="s">
        <v>138</v>
      </c>
      <c r="AL55" s="2" t="s">
        <v>149</v>
      </c>
      <c r="AM55" s="2" t="s">
        <v>167</v>
      </c>
      <c r="AN55" s="2"/>
      <c r="AO55" s="2" t="s">
        <v>109</v>
      </c>
      <c r="AP55" s="2" t="s">
        <v>112</v>
      </c>
      <c r="AQ55" s="2"/>
      <c r="AR55" s="2"/>
      <c r="AS55" s="2"/>
      <c r="AT55" s="2" t="s">
        <v>149</v>
      </c>
      <c r="AU55" s="2" t="s">
        <v>201</v>
      </c>
      <c r="AV55" s="2" t="s">
        <v>109</v>
      </c>
      <c r="AW55" s="2" t="s">
        <v>156</v>
      </c>
      <c r="AX55" s="2"/>
      <c r="AY55" s="4" t="s">
        <v>108</v>
      </c>
      <c r="AZ55" s="2"/>
      <c r="BA55" s="2"/>
      <c r="BB55" s="2"/>
      <c r="BC55" s="2"/>
      <c r="BD55" s="4">
        <f>1 + (1/2)</f>
        <v>1.5</v>
      </c>
      <c r="BE55" s="2" t="s">
        <v>116</v>
      </c>
      <c r="BF55" s="4">
        <f>1 +(1/4)</f>
        <v>1.25</v>
      </c>
      <c r="BG55" s="2" t="s">
        <v>105</v>
      </c>
      <c r="BH55" s="2"/>
      <c r="BI55" s="2"/>
      <c r="BJ55" s="2"/>
      <c r="BK55" s="2"/>
      <c r="BL55" s="2"/>
      <c r="BM55" s="2" t="s">
        <v>113</v>
      </c>
      <c r="BN55" s="2"/>
      <c r="BO55" s="2"/>
      <c r="BP55" s="2"/>
      <c r="BQ55" s="2"/>
      <c r="BR55" s="2"/>
      <c r="BS55" s="2"/>
      <c r="BT55" s="2"/>
      <c r="BU55" s="2"/>
      <c r="BV55" s="2"/>
      <c r="BW55" s="2" t="s">
        <v>179</v>
      </c>
      <c r="BX55" s="2"/>
      <c r="BY55" s="2"/>
      <c r="BZ55" s="2"/>
      <c r="CA55" s="2"/>
      <c r="CB55" s="2"/>
      <c r="CC55" s="2" t="s">
        <v>103</v>
      </c>
      <c r="CD55" s="2" t="s">
        <v>181</v>
      </c>
      <c r="CE55" s="2"/>
      <c r="CF55" s="2"/>
      <c r="CG55" s="2"/>
      <c r="CH55" s="2"/>
      <c r="CI55" s="2" t="s">
        <v>104</v>
      </c>
      <c r="CJ55" s="2" t="s">
        <v>138</v>
      </c>
      <c r="CK55" s="2" t="s">
        <v>107</v>
      </c>
      <c r="CL55" s="2"/>
      <c r="CM55" s="2"/>
      <c r="CN55" s="2"/>
      <c r="CO55" s="2" t="s">
        <v>177</v>
      </c>
      <c r="CP55" s="2"/>
      <c r="CQ55" s="2"/>
      <c r="CR55" s="2"/>
      <c r="CS55" s="2"/>
      <c r="CT55" s="2"/>
      <c r="CU55" s="2"/>
      <c r="CV55" s="2"/>
      <c r="CW55" s="2"/>
      <c r="CX55" s="2" t="s">
        <v>123</v>
      </c>
      <c r="CY55" s="2" t="s">
        <v>149</v>
      </c>
    </row>
    <row r="56" spans="1:103" ht="15.75" customHeight="1" x14ac:dyDescent="0.2">
      <c r="A56" s="2" t="s">
        <v>112</v>
      </c>
      <c r="B56" s="2" t="s">
        <v>142</v>
      </c>
      <c r="C56" s="6" t="s">
        <v>263</v>
      </c>
      <c r="D56" s="3"/>
      <c r="E56" s="2" t="s">
        <v>103</v>
      </c>
      <c r="F56" s="2"/>
      <c r="G56" s="2"/>
      <c r="H56" s="2" t="s">
        <v>129</v>
      </c>
      <c r="I56" s="2" t="s">
        <v>129</v>
      </c>
      <c r="J56" s="2" t="s">
        <v>150</v>
      </c>
      <c r="K56" s="2"/>
      <c r="L56" s="2" t="s">
        <v>176</v>
      </c>
      <c r="M56" s="2"/>
      <c r="N56" s="2" t="s">
        <v>153</v>
      </c>
      <c r="O56" s="2" t="s">
        <v>120</v>
      </c>
      <c r="P56" s="2"/>
      <c r="Q56" s="2"/>
      <c r="R56" s="2"/>
      <c r="S56" s="2" t="s">
        <v>161</v>
      </c>
      <c r="T56" s="2" t="s">
        <v>119</v>
      </c>
      <c r="U56" s="2" t="s">
        <v>126</v>
      </c>
      <c r="V56" s="2" t="s">
        <v>108</v>
      </c>
      <c r="W56" s="2"/>
      <c r="X56" s="2"/>
      <c r="Y56" s="2"/>
      <c r="Z56" s="2"/>
      <c r="AA56" s="2"/>
      <c r="AB56" s="2" t="s">
        <v>109</v>
      </c>
      <c r="AC56" s="2" t="s">
        <v>123</v>
      </c>
      <c r="AD56" s="2"/>
      <c r="AE56" s="2" t="s">
        <v>112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4">
        <f>1 + (1/2)</f>
        <v>1.5</v>
      </c>
      <c r="BK56" s="2" t="s">
        <v>119</v>
      </c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 t="s">
        <v>133</v>
      </c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 t="s">
        <v>103</v>
      </c>
      <c r="CJ56" s="2" t="s">
        <v>116</v>
      </c>
      <c r="CK56" s="2" t="s">
        <v>116</v>
      </c>
      <c r="CL56" s="2"/>
      <c r="CM56" s="2"/>
      <c r="CN56" s="2"/>
      <c r="CO56" s="2" t="s">
        <v>136</v>
      </c>
      <c r="CP56" s="2"/>
      <c r="CQ56" s="2"/>
      <c r="CR56" s="2"/>
      <c r="CS56" s="2"/>
      <c r="CT56" s="2"/>
      <c r="CU56" s="2"/>
      <c r="CV56" s="2"/>
      <c r="CW56" s="2"/>
      <c r="CX56" s="2" t="s">
        <v>128</v>
      </c>
      <c r="CY56" s="2" t="s">
        <v>126</v>
      </c>
    </row>
    <row r="57" spans="1:103" ht="15.75" customHeight="1" x14ac:dyDescent="0.2">
      <c r="A57" s="2" t="s">
        <v>142</v>
      </c>
      <c r="B57" s="2" t="s">
        <v>142</v>
      </c>
      <c r="C57" s="6" t="s">
        <v>263</v>
      </c>
      <c r="D57" s="3"/>
      <c r="E57" s="2" t="s">
        <v>103</v>
      </c>
      <c r="F57" s="2"/>
      <c r="G57" s="2"/>
      <c r="H57" s="2" t="s">
        <v>119</v>
      </c>
      <c r="I57" s="2" t="s">
        <v>119</v>
      </c>
      <c r="J57" s="2"/>
      <c r="K57" s="2"/>
      <c r="L57" s="2" t="s">
        <v>136</v>
      </c>
      <c r="M57" s="2"/>
      <c r="N57" s="2"/>
      <c r="O57" s="2"/>
      <c r="P57" s="2"/>
      <c r="Q57" s="2"/>
      <c r="R57" s="2"/>
      <c r="S57" s="2" t="s">
        <v>128</v>
      </c>
      <c r="T57" s="2" t="s">
        <v>167</v>
      </c>
      <c r="U57" s="2" t="s">
        <v>109</v>
      </c>
      <c r="V57" s="2" t="s">
        <v>112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3"/>
      <c r="CY57" s="3"/>
    </row>
    <row r="58" spans="1:103" ht="15.75" customHeight="1" x14ac:dyDescent="0.2">
      <c r="A58" s="2" t="s">
        <v>125</v>
      </c>
      <c r="B58" s="2" t="s">
        <v>142</v>
      </c>
      <c r="C58" s="6" t="s">
        <v>263</v>
      </c>
      <c r="D58" s="3"/>
      <c r="E58" s="2" t="s">
        <v>103</v>
      </c>
      <c r="F58" s="2"/>
      <c r="G58" s="2"/>
      <c r="H58" s="2" t="s">
        <v>210</v>
      </c>
      <c r="I58" s="2" t="s">
        <v>210</v>
      </c>
      <c r="J58" s="2" t="s">
        <v>175</v>
      </c>
      <c r="K58" s="2"/>
      <c r="L58" s="2" t="s">
        <v>195</v>
      </c>
      <c r="M58" s="2" t="s">
        <v>105</v>
      </c>
      <c r="N58" s="2" t="s">
        <v>151</v>
      </c>
      <c r="O58" s="2" t="s">
        <v>115</v>
      </c>
      <c r="P58" s="2"/>
      <c r="Q58" s="2"/>
      <c r="R58" s="2"/>
      <c r="S58" s="2" t="s">
        <v>133</v>
      </c>
      <c r="T58" s="2" t="s">
        <v>114</v>
      </c>
      <c r="U58" s="2" t="s">
        <v>187</v>
      </c>
      <c r="V58" s="2" t="s">
        <v>119</v>
      </c>
      <c r="W58" s="2"/>
      <c r="X58" s="2"/>
      <c r="Y58" s="2" t="s">
        <v>104</v>
      </c>
      <c r="Z58" s="2"/>
      <c r="AA58" s="2" t="s">
        <v>109</v>
      </c>
      <c r="AB58" s="2" t="s">
        <v>104</v>
      </c>
      <c r="AC58" s="2" t="s">
        <v>125</v>
      </c>
      <c r="AD58" s="2" t="s">
        <v>104</v>
      </c>
      <c r="AE58" s="2" t="s">
        <v>109</v>
      </c>
      <c r="AF58" s="2"/>
      <c r="AG58" s="2"/>
      <c r="AH58" s="2"/>
      <c r="AI58" s="2"/>
      <c r="AJ58" s="2" t="s">
        <v>144</v>
      </c>
      <c r="AK58" s="2"/>
      <c r="AL58" s="2" t="s">
        <v>154</v>
      </c>
      <c r="AM58" s="2"/>
      <c r="AN58" s="2"/>
      <c r="AO58" s="2" t="s">
        <v>109</v>
      </c>
      <c r="AP58" s="2"/>
      <c r="AQ58" s="2"/>
      <c r="AR58" s="2"/>
      <c r="AS58" s="2"/>
      <c r="AT58" s="2" t="s">
        <v>154</v>
      </c>
      <c r="AU58" s="2" t="s">
        <v>215</v>
      </c>
      <c r="AV58" s="2" t="s">
        <v>103</v>
      </c>
      <c r="AW58" s="2" t="s">
        <v>125</v>
      </c>
      <c r="AX58" s="2"/>
      <c r="AY58" s="2" t="s">
        <v>120</v>
      </c>
      <c r="AZ58" s="2"/>
      <c r="BA58" s="2"/>
      <c r="BB58" s="2"/>
      <c r="BC58" s="2"/>
      <c r="BD58" s="2" t="s">
        <v>109</v>
      </c>
      <c r="BE58" s="2" t="s">
        <v>131</v>
      </c>
      <c r="BF58" s="2"/>
      <c r="BG58" s="2"/>
      <c r="BH58" s="2"/>
      <c r="BI58" s="2"/>
      <c r="BJ58" s="2" t="s">
        <v>109</v>
      </c>
      <c r="BK58" s="2" t="s">
        <v>150</v>
      </c>
      <c r="BL58" s="2" t="s">
        <v>103</v>
      </c>
      <c r="BM58" s="2" t="s">
        <v>125</v>
      </c>
      <c r="BN58" s="2"/>
      <c r="BO58" s="2"/>
      <c r="BP58" s="2"/>
      <c r="BQ58" s="2"/>
      <c r="BR58" s="2"/>
      <c r="BS58" s="2"/>
      <c r="BT58" s="2"/>
      <c r="BU58" s="2"/>
      <c r="BV58" s="2"/>
      <c r="BW58" s="2" t="s">
        <v>176</v>
      </c>
      <c r="BX58" s="2" t="s">
        <v>104</v>
      </c>
      <c r="BY58" s="2"/>
      <c r="BZ58" s="2"/>
      <c r="CA58" s="2"/>
      <c r="CB58" s="2"/>
      <c r="CC58" s="2">
        <f>3/4</f>
        <v>0.75</v>
      </c>
      <c r="CD58" s="2" t="s">
        <v>150</v>
      </c>
      <c r="CE58" s="2"/>
      <c r="CF58" s="2"/>
      <c r="CG58" s="2"/>
      <c r="CH58" s="2"/>
      <c r="CI58" s="2" t="s">
        <v>104</v>
      </c>
      <c r="CJ58" s="2" t="s">
        <v>110</v>
      </c>
      <c r="CK58" s="4" t="s">
        <v>126</v>
      </c>
      <c r="CL58" s="2"/>
      <c r="CM58" s="2"/>
      <c r="CN58" s="2"/>
      <c r="CO58" s="2" t="s">
        <v>185</v>
      </c>
      <c r="CP58" s="2"/>
      <c r="CQ58" s="2"/>
      <c r="CR58" s="2"/>
      <c r="CS58" s="2"/>
      <c r="CT58" s="2"/>
      <c r="CU58" s="2"/>
      <c r="CV58" s="2"/>
      <c r="CW58" s="2"/>
      <c r="CX58" s="2" t="s">
        <v>108</v>
      </c>
      <c r="CY58" s="2" t="s">
        <v>124</v>
      </c>
    </row>
    <row r="59" spans="1:103" ht="15.75" customHeight="1" x14ac:dyDescent="0.2">
      <c r="A59" s="2" t="s">
        <v>147</v>
      </c>
      <c r="B59" s="2" t="s">
        <v>142</v>
      </c>
      <c r="C59" s="6" t="s">
        <v>263</v>
      </c>
      <c r="D59" s="3"/>
      <c r="E59" s="2" t="s">
        <v>103</v>
      </c>
      <c r="F59" s="2"/>
      <c r="G59" s="2"/>
      <c r="H59" s="2" t="s">
        <v>108</v>
      </c>
      <c r="I59" s="2" t="s">
        <v>108</v>
      </c>
      <c r="J59" s="2" t="s">
        <v>128</v>
      </c>
      <c r="K59" s="2"/>
      <c r="L59" s="2" t="s">
        <v>136</v>
      </c>
      <c r="M59" s="2"/>
      <c r="N59" s="2"/>
      <c r="O59" s="2" t="s">
        <v>104</v>
      </c>
      <c r="P59" s="2"/>
      <c r="Q59" s="2"/>
      <c r="R59" s="2"/>
      <c r="S59" s="2" t="s">
        <v>126</v>
      </c>
      <c r="T59" s="2" t="s">
        <v>125</v>
      </c>
      <c r="U59" s="2" t="s">
        <v>147</v>
      </c>
      <c r="V59" s="2" t="s">
        <v>142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 t="s">
        <v>104</v>
      </c>
      <c r="AX59" s="2"/>
      <c r="AY59" s="2" t="s">
        <v>108</v>
      </c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 t="s">
        <v>133</v>
      </c>
      <c r="BX59" s="2"/>
      <c r="BY59" s="2"/>
      <c r="BZ59" s="2"/>
      <c r="CA59" s="2"/>
      <c r="CB59" s="2"/>
      <c r="CC59" s="2">
        <f>1/2</f>
        <v>0.5</v>
      </c>
      <c r="CD59" s="2" t="s">
        <v>147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3"/>
      <c r="CY59" s="3"/>
    </row>
    <row r="60" spans="1:103" ht="15.75" customHeight="1" x14ac:dyDescent="0.2">
      <c r="A60" s="2" t="s">
        <v>111</v>
      </c>
      <c r="B60" s="2" t="s">
        <v>142</v>
      </c>
      <c r="C60" s="6" t="s">
        <v>263</v>
      </c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3"/>
      <c r="CY60" s="3"/>
    </row>
    <row r="61" spans="1:103" ht="15.75" customHeight="1" x14ac:dyDescent="0.2">
      <c r="A61" s="2" t="s">
        <v>115</v>
      </c>
      <c r="B61" s="2" t="s">
        <v>142</v>
      </c>
      <c r="C61" s="6" t="s">
        <v>263</v>
      </c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3"/>
      <c r="CY61" s="3"/>
    </row>
    <row r="62" spans="1:103" ht="15.75" customHeight="1" x14ac:dyDescent="0.2">
      <c r="A62" s="2" t="s">
        <v>103</v>
      </c>
      <c r="B62" s="2" t="s">
        <v>125</v>
      </c>
      <c r="C62" s="6" t="s">
        <v>263</v>
      </c>
      <c r="D62" s="3"/>
      <c r="E62" s="2" t="s">
        <v>103</v>
      </c>
      <c r="F62" s="2"/>
      <c r="G62" s="2"/>
      <c r="H62" s="2" t="s">
        <v>169</v>
      </c>
      <c r="I62" s="2" t="s">
        <v>169</v>
      </c>
      <c r="J62" s="4" t="s">
        <v>110</v>
      </c>
      <c r="K62" s="2"/>
      <c r="L62" s="2" t="s">
        <v>216</v>
      </c>
      <c r="M62" s="2" t="s">
        <v>105</v>
      </c>
      <c r="N62" s="2" t="s">
        <v>133</v>
      </c>
      <c r="O62" s="2" t="s">
        <v>115</v>
      </c>
      <c r="P62" s="2"/>
      <c r="Q62" s="2" t="s">
        <v>144</v>
      </c>
      <c r="R62" s="4" t="s">
        <v>172</v>
      </c>
      <c r="S62" s="2" t="s">
        <v>144</v>
      </c>
      <c r="T62" s="2" t="s">
        <v>119</v>
      </c>
      <c r="U62" s="2" t="s">
        <v>126</v>
      </c>
      <c r="V62" s="2" t="s">
        <v>128</v>
      </c>
      <c r="W62" s="2"/>
      <c r="X62" s="2"/>
      <c r="Y62" s="2" t="s">
        <v>104</v>
      </c>
      <c r="Z62" s="2"/>
      <c r="AA62" s="2" t="s">
        <v>109</v>
      </c>
      <c r="AB62" s="2" t="s">
        <v>113</v>
      </c>
      <c r="AC62" s="2" t="s">
        <v>109</v>
      </c>
      <c r="AD62" s="2" t="s">
        <v>109</v>
      </c>
      <c r="AE62" s="2" t="s">
        <v>104</v>
      </c>
      <c r="AF62" s="2" t="s">
        <v>109</v>
      </c>
      <c r="AG62" s="2" t="s">
        <v>103</v>
      </c>
      <c r="AH62" s="2"/>
      <c r="AI62" s="2"/>
      <c r="AJ62" s="2" t="s">
        <v>133</v>
      </c>
      <c r="AK62" s="2"/>
      <c r="AL62" s="2" t="s">
        <v>103</v>
      </c>
      <c r="AM62" s="2"/>
      <c r="AN62" s="2" t="s">
        <v>103</v>
      </c>
      <c r="AO62" s="2" t="s">
        <v>103</v>
      </c>
      <c r="AP62" s="2"/>
      <c r="AQ62" s="2"/>
      <c r="AR62" s="2"/>
      <c r="AS62" s="2"/>
      <c r="AT62" s="2" t="s">
        <v>103</v>
      </c>
      <c r="AU62" s="2" t="s">
        <v>147</v>
      </c>
      <c r="AV62" s="2" t="s">
        <v>104</v>
      </c>
      <c r="AW62" s="2" t="s">
        <v>111</v>
      </c>
      <c r="AX62" s="2" t="s">
        <v>109</v>
      </c>
      <c r="AY62" s="2" t="s">
        <v>105</v>
      </c>
      <c r="AZ62" s="2"/>
      <c r="BA62" s="2"/>
      <c r="BB62" s="2"/>
      <c r="BC62" s="2"/>
      <c r="BD62" s="2" t="s">
        <v>109</v>
      </c>
      <c r="BE62" s="2" t="s">
        <v>116</v>
      </c>
      <c r="BF62" s="2" t="s">
        <v>109</v>
      </c>
      <c r="BG62" s="2" t="s">
        <v>120</v>
      </c>
      <c r="BH62" s="2"/>
      <c r="BI62" s="2"/>
      <c r="BJ62" s="2"/>
      <c r="BK62" s="2"/>
      <c r="BL62" s="2" t="s">
        <v>104</v>
      </c>
      <c r="BM62" s="2" t="s">
        <v>104</v>
      </c>
      <c r="BN62" s="2"/>
      <c r="BO62" s="2"/>
      <c r="BP62" s="2"/>
      <c r="BQ62" s="2"/>
      <c r="BR62" s="2"/>
      <c r="BS62" s="2"/>
      <c r="BT62" s="2"/>
      <c r="BU62" s="2"/>
      <c r="BV62" s="2"/>
      <c r="BW62" s="2" t="s">
        <v>176</v>
      </c>
      <c r="BX62" s="2"/>
      <c r="BY62" s="2"/>
      <c r="BZ62" s="2"/>
      <c r="CA62" s="2"/>
      <c r="CB62" s="2"/>
      <c r="CC62" s="2"/>
      <c r="CD62" s="2" t="s">
        <v>103</v>
      </c>
      <c r="CE62" s="2" t="s">
        <v>198</v>
      </c>
      <c r="CF62" s="2"/>
      <c r="CG62" s="2"/>
      <c r="CH62" s="2"/>
      <c r="CI62" s="2" t="s">
        <v>115</v>
      </c>
      <c r="CJ62" s="2" t="s">
        <v>136</v>
      </c>
      <c r="CK62" s="2" t="s">
        <v>138</v>
      </c>
      <c r="CL62" s="2"/>
      <c r="CM62" s="2"/>
      <c r="CN62" s="2"/>
      <c r="CO62" s="2" t="s">
        <v>217</v>
      </c>
      <c r="CP62" s="2"/>
      <c r="CQ62" s="2"/>
      <c r="CR62" s="2"/>
      <c r="CS62" s="2"/>
      <c r="CT62" s="2"/>
      <c r="CU62" s="2"/>
      <c r="CV62" s="2"/>
      <c r="CW62" s="2"/>
      <c r="CX62" s="2" t="s">
        <v>115</v>
      </c>
      <c r="CY62" s="2" t="s">
        <v>138</v>
      </c>
    </row>
    <row r="63" spans="1:103" ht="15.75" customHeight="1" x14ac:dyDescent="0.2">
      <c r="A63" s="2" t="s">
        <v>109</v>
      </c>
      <c r="B63" s="2" t="s">
        <v>125</v>
      </c>
      <c r="C63" s="6" t="s">
        <v>263</v>
      </c>
      <c r="D63" s="3"/>
      <c r="E63" s="2" t="s">
        <v>103</v>
      </c>
      <c r="F63" s="2"/>
      <c r="G63" s="2"/>
      <c r="H63" s="2" t="s">
        <v>131</v>
      </c>
      <c r="I63" s="2" t="s">
        <v>131</v>
      </c>
      <c r="J63" s="2" t="s">
        <v>187</v>
      </c>
      <c r="K63" s="2"/>
      <c r="L63" s="2" t="s">
        <v>218</v>
      </c>
      <c r="M63" s="2" t="s">
        <v>110</v>
      </c>
      <c r="N63" s="2" t="s">
        <v>199</v>
      </c>
      <c r="O63" s="2" t="s">
        <v>119</v>
      </c>
      <c r="P63" s="2"/>
      <c r="Q63" s="2"/>
      <c r="R63" s="2"/>
      <c r="S63" s="2" t="s">
        <v>133</v>
      </c>
      <c r="T63" s="2" t="s">
        <v>128</v>
      </c>
      <c r="U63" s="2" t="s">
        <v>149</v>
      </c>
      <c r="V63" s="2" t="s">
        <v>128</v>
      </c>
      <c r="W63" s="2"/>
      <c r="X63" s="2"/>
      <c r="Y63" s="2" t="s">
        <v>109</v>
      </c>
      <c r="Z63" s="2"/>
      <c r="AA63" s="2"/>
      <c r="AB63" s="2" t="s">
        <v>125</v>
      </c>
      <c r="AC63" s="2" t="s">
        <v>109</v>
      </c>
      <c r="AD63" s="2" t="s">
        <v>125</v>
      </c>
      <c r="AE63" s="2" t="s">
        <v>104</v>
      </c>
      <c r="AF63" s="2" t="s">
        <v>125</v>
      </c>
      <c r="AG63" s="2" t="s">
        <v>103</v>
      </c>
      <c r="AH63" s="2"/>
      <c r="AI63" s="2"/>
      <c r="AJ63" s="2" t="s">
        <v>158</v>
      </c>
      <c r="AK63" s="2" t="s">
        <v>138</v>
      </c>
      <c r="AL63" s="2" t="s">
        <v>114</v>
      </c>
      <c r="AM63" s="2"/>
      <c r="AN63" s="2" t="s">
        <v>219</v>
      </c>
      <c r="AO63" s="2"/>
      <c r="AP63" s="2"/>
      <c r="AQ63" s="2"/>
      <c r="AR63" s="2"/>
      <c r="AS63" s="2"/>
      <c r="AT63" s="2" t="s">
        <v>114</v>
      </c>
      <c r="AU63" s="2" t="s">
        <v>186</v>
      </c>
      <c r="AV63" s="2" t="s">
        <v>109</v>
      </c>
      <c r="AW63" s="2" t="s">
        <v>111</v>
      </c>
      <c r="AX63" s="2"/>
      <c r="AY63" s="2" t="s">
        <v>126</v>
      </c>
      <c r="AZ63" s="2"/>
      <c r="BA63" s="2"/>
      <c r="BB63" s="2"/>
      <c r="BC63" s="2"/>
      <c r="BD63" s="2" t="s">
        <v>109</v>
      </c>
      <c r="BE63" s="2" t="s">
        <v>161</v>
      </c>
      <c r="BF63" s="2">
        <f>3/4</f>
        <v>0.75</v>
      </c>
      <c r="BG63" s="2" t="s">
        <v>150</v>
      </c>
      <c r="BH63" s="2"/>
      <c r="BI63" s="2"/>
      <c r="BJ63" s="2"/>
      <c r="BK63" s="2"/>
      <c r="BL63" s="2"/>
      <c r="BM63" s="2" t="s">
        <v>142</v>
      </c>
      <c r="BN63" s="2"/>
      <c r="BO63" s="2"/>
      <c r="BP63" s="2"/>
      <c r="BQ63" s="2"/>
      <c r="BR63" s="2"/>
      <c r="BS63" s="2"/>
      <c r="BT63" s="2"/>
      <c r="BU63" s="2"/>
      <c r="BV63" s="2"/>
      <c r="BW63" s="2" t="s">
        <v>185</v>
      </c>
      <c r="BX63" s="2"/>
      <c r="BY63" s="2"/>
      <c r="BZ63" s="2"/>
      <c r="CA63" s="2"/>
      <c r="CB63" s="2"/>
      <c r="CC63" s="2"/>
      <c r="CD63" s="2">
        <f t="shared" ref="CD63:CD64" si="5">3/4</f>
        <v>0.75</v>
      </c>
      <c r="CE63" s="2" t="s">
        <v>105</v>
      </c>
      <c r="CF63" s="2"/>
      <c r="CG63" s="2"/>
      <c r="CH63" s="2"/>
      <c r="CI63" s="2"/>
      <c r="CJ63" s="2" t="s">
        <v>115</v>
      </c>
      <c r="CK63" s="2" t="s">
        <v>108</v>
      </c>
      <c r="CL63" s="2"/>
      <c r="CM63" s="2"/>
      <c r="CN63" s="2"/>
      <c r="CO63" s="2" t="s">
        <v>138</v>
      </c>
      <c r="CP63" s="2"/>
      <c r="CQ63" s="2"/>
      <c r="CR63" s="2"/>
      <c r="CS63" s="2"/>
      <c r="CT63" s="2"/>
      <c r="CU63" s="2"/>
      <c r="CV63" s="2"/>
      <c r="CW63" s="2"/>
      <c r="CX63" s="2" t="s">
        <v>130</v>
      </c>
      <c r="CY63" s="2" t="s">
        <v>120</v>
      </c>
    </row>
    <row r="64" spans="1:103" ht="15.75" customHeight="1" x14ac:dyDescent="0.2">
      <c r="A64" s="2" t="s">
        <v>104</v>
      </c>
      <c r="B64" s="2" t="s">
        <v>125</v>
      </c>
      <c r="C64" s="6" t="s">
        <v>263</v>
      </c>
      <c r="D64" s="3"/>
      <c r="E64" s="2" t="s">
        <v>103</v>
      </c>
      <c r="F64" s="2"/>
      <c r="G64" s="2"/>
      <c r="H64" s="2" t="s">
        <v>119</v>
      </c>
      <c r="I64" s="2" t="s">
        <v>119</v>
      </c>
      <c r="J64" s="2" t="s">
        <v>119</v>
      </c>
      <c r="K64" s="2"/>
      <c r="L64" s="2" t="s">
        <v>220</v>
      </c>
      <c r="M64" s="2" t="s">
        <v>105</v>
      </c>
      <c r="N64" s="2" t="s">
        <v>127</v>
      </c>
      <c r="O64" s="2" t="s">
        <v>109</v>
      </c>
      <c r="P64" s="2"/>
      <c r="Q64" s="2" t="s">
        <v>119</v>
      </c>
      <c r="R64" s="2" t="s">
        <v>104</v>
      </c>
      <c r="S64" s="2" t="s">
        <v>199</v>
      </c>
      <c r="T64" s="2" t="s">
        <v>115</v>
      </c>
      <c r="U64" s="2" t="s">
        <v>115</v>
      </c>
      <c r="V64" s="2" t="s">
        <v>115</v>
      </c>
      <c r="W64" s="2"/>
      <c r="X64" s="2"/>
      <c r="Y64" s="2" t="s">
        <v>103</v>
      </c>
      <c r="Z64" s="2"/>
      <c r="AA64" s="2"/>
      <c r="AB64" s="2" t="s">
        <v>109</v>
      </c>
      <c r="AC64" s="2" t="s">
        <v>103</v>
      </c>
      <c r="AD64" s="2" t="s">
        <v>109</v>
      </c>
      <c r="AE64" s="2"/>
      <c r="AF64" s="2" t="s">
        <v>103</v>
      </c>
      <c r="AG64" s="2"/>
      <c r="AH64" s="2"/>
      <c r="AI64" s="2"/>
      <c r="AJ64" s="2" t="s">
        <v>144</v>
      </c>
      <c r="AK64" s="2"/>
      <c r="AL64" s="2" t="s">
        <v>109</v>
      </c>
      <c r="AM64" s="2"/>
      <c r="AN64" s="2"/>
      <c r="AO64" s="2"/>
      <c r="AP64" s="2"/>
      <c r="AQ64" s="2"/>
      <c r="AR64" s="2"/>
      <c r="AS64" s="2"/>
      <c r="AT64" s="2" t="s">
        <v>109</v>
      </c>
      <c r="AU64" s="2" t="s">
        <v>119</v>
      </c>
      <c r="AV64" s="2" t="s">
        <v>103</v>
      </c>
      <c r="AW64" s="2" t="s">
        <v>111</v>
      </c>
      <c r="AX64" s="2"/>
      <c r="AY64" s="2" t="s">
        <v>120</v>
      </c>
      <c r="AZ64" s="2"/>
      <c r="BA64" s="2"/>
      <c r="BB64" s="2"/>
      <c r="BC64" s="2"/>
      <c r="BD64" s="4">
        <f>1 + (1/2)</f>
        <v>1.5</v>
      </c>
      <c r="BE64" s="2" t="s">
        <v>114</v>
      </c>
      <c r="BF64" s="4">
        <f>1 + (3/4)</f>
        <v>1.75</v>
      </c>
      <c r="BG64" s="2" t="s">
        <v>221</v>
      </c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 t="s">
        <v>133</v>
      </c>
      <c r="BX64" s="2"/>
      <c r="BY64" s="2"/>
      <c r="BZ64" s="2"/>
      <c r="CA64" s="2"/>
      <c r="CB64" s="2"/>
      <c r="CC64" s="2"/>
      <c r="CD64" s="2">
        <f t="shared" si="5"/>
        <v>0.75</v>
      </c>
      <c r="CE64" s="2" t="s">
        <v>169</v>
      </c>
      <c r="CF64" s="2"/>
      <c r="CG64" s="2"/>
      <c r="CH64" s="2"/>
      <c r="CI64" s="2" t="s">
        <v>103</v>
      </c>
      <c r="CJ64" s="2" t="s">
        <v>108</v>
      </c>
      <c r="CK64" s="2" t="s">
        <v>113</v>
      </c>
      <c r="CL64" s="2"/>
      <c r="CM64" s="2"/>
      <c r="CN64" s="2"/>
      <c r="CO64" s="4" t="s">
        <v>126</v>
      </c>
      <c r="CP64" s="2"/>
      <c r="CQ64" s="2"/>
      <c r="CR64" s="2"/>
      <c r="CS64" s="2"/>
      <c r="CT64" s="2"/>
      <c r="CU64" s="2"/>
      <c r="CV64" s="2"/>
      <c r="CW64" s="2"/>
      <c r="CX64" s="3"/>
      <c r="CY64" s="2"/>
    </row>
    <row r="65" spans="1:103" ht="15.75" customHeight="1" x14ac:dyDescent="0.2">
      <c r="A65" s="2" t="s">
        <v>113</v>
      </c>
      <c r="B65" s="2" t="s">
        <v>125</v>
      </c>
      <c r="C65" s="6" t="s">
        <v>263</v>
      </c>
      <c r="D65" s="3"/>
      <c r="E65" s="2" t="s">
        <v>103</v>
      </c>
      <c r="F65" s="2"/>
      <c r="G65" s="2"/>
      <c r="H65" s="2" t="s">
        <v>105</v>
      </c>
      <c r="I65" s="2" t="s">
        <v>105</v>
      </c>
      <c r="J65" s="2" t="s">
        <v>105</v>
      </c>
      <c r="K65" s="2"/>
      <c r="L65" s="2" t="s">
        <v>222</v>
      </c>
      <c r="M65" s="2" t="s">
        <v>126</v>
      </c>
      <c r="N65" s="2" t="s">
        <v>223</v>
      </c>
      <c r="O65" s="2" t="s">
        <v>112</v>
      </c>
      <c r="P65" s="2"/>
      <c r="Q65" s="2" t="s">
        <v>224</v>
      </c>
      <c r="R65" s="2" t="s">
        <v>104</v>
      </c>
      <c r="S65" s="2" t="s">
        <v>225</v>
      </c>
      <c r="T65" s="2" t="s">
        <v>120</v>
      </c>
      <c r="U65" s="2" t="s">
        <v>126</v>
      </c>
      <c r="V65" s="2" t="s">
        <v>120</v>
      </c>
      <c r="W65" s="2"/>
      <c r="X65" s="2"/>
      <c r="Y65" s="2" t="s">
        <v>113</v>
      </c>
      <c r="Z65" s="2" t="s">
        <v>103</v>
      </c>
      <c r="AA65" s="2" t="s">
        <v>109</v>
      </c>
      <c r="AB65" s="2" t="s">
        <v>115</v>
      </c>
      <c r="AC65" s="2" t="s">
        <v>123</v>
      </c>
      <c r="AD65" s="2" t="s">
        <v>111</v>
      </c>
      <c r="AE65" s="2"/>
      <c r="AF65" s="2" t="s">
        <v>113</v>
      </c>
      <c r="AG65" s="2"/>
      <c r="AH65" s="2"/>
      <c r="AI65" s="2"/>
      <c r="AJ65" s="2" t="s">
        <v>118</v>
      </c>
      <c r="AK65" s="2" t="s">
        <v>136</v>
      </c>
      <c r="AL65" s="2" t="s">
        <v>103</v>
      </c>
      <c r="AM65" s="2"/>
      <c r="AN65" s="4"/>
      <c r="AO65" s="2"/>
      <c r="AP65" s="2"/>
      <c r="AQ65" s="2"/>
      <c r="AR65" s="2"/>
      <c r="AS65" s="2"/>
      <c r="AT65" s="2" t="s">
        <v>103</v>
      </c>
      <c r="AU65" s="2" t="s">
        <v>115</v>
      </c>
      <c r="AV65" s="2" t="s">
        <v>142</v>
      </c>
      <c r="AW65" s="2" t="s">
        <v>154</v>
      </c>
      <c r="AX65" s="2" t="s">
        <v>147</v>
      </c>
      <c r="AY65" s="2" t="s">
        <v>210</v>
      </c>
      <c r="AZ65" s="2"/>
      <c r="BA65" s="2"/>
      <c r="BB65" s="2">
        <f>1/2</f>
        <v>0.5</v>
      </c>
      <c r="BC65" s="4">
        <f>7 + (1/2)</f>
        <v>7.5</v>
      </c>
      <c r="BD65" s="2" t="s">
        <v>103</v>
      </c>
      <c r="BE65" s="2" t="s">
        <v>114</v>
      </c>
      <c r="BF65" s="4">
        <f>1 + (1/2)</f>
        <v>1.5</v>
      </c>
      <c r="BG65" s="2" t="s">
        <v>116</v>
      </c>
      <c r="BH65" s="2"/>
      <c r="BI65" s="2"/>
      <c r="BJ65" s="2" t="s">
        <v>109</v>
      </c>
      <c r="BK65" s="2" t="s">
        <v>226</v>
      </c>
      <c r="BL65" s="2"/>
      <c r="BM65" s="2" t="s">
        <v>103</v>
      </c>
      <c r="BN65" s="2"/>
      <c r="BO65" s="2"/>
      <c r="BP65" s="2"/>
      <c r="BQ65" s="2"/>
      <c r="BR65" s="2"/>
      <c r="BS65" s="2"/>
      <c r="BT65" s="2"/>
      <c r="BU65" s="2"/>
      <c r="BV65" s="2"/>
      <c r="BW65" s="2" t="s">
        <v>133</v>
      </c>
      <c r="BX65" s="2"/>
      <c r="BY65" s="2"/>
      <c r="BZ65" s="2"/>
      <c r="CA65" s="2"/>
      <c r="CB65" s="2"/>
      <c r="CC65" s="2"/>
      <c r="CD65" s="2" t="s">
        <v>103</v>
      </c>
      <c r="CE65" s="2" t="s">
        <v>227</v>
      </c>
      <c r="CF65" s="2"/>
      <c r="CG65" s="2"/>
      <c r="CH65" s="2"/>
      <c r="CI65" s="2" t="s">
        <v>103</v>
      </c>
      <c r="CJ65" s="2" t="s">
        <v>120</v>
      </c>
      <c r="CK65" s="2" t="s">
        <v>128</v>
      </c>
      <c r="CL65" s="2"/>
      <c r="CM65" s="2"/>
      <c r="CN65" s="2"/>
      <c r="CO65" s="2" t="s">
        <v>107</v>
      </c>
      <c r="CP65" s="2"/>
      <c r="CQ65" s="2"/>
      <c r="CR65" s="2"/>
      <c r="CS65" s="2"/>
      <c r="CT65" s="2"/>
      <c r="CU65" s="2"/>
      <c r="CV65" s="2"/>
      <c r="CW65" s="2"/>
      <c r="CX65" s="2" t="s">
        <v>130</v>
      </c>
      <c r="CY65" s="2" t="s">
        <v>108</v>
      </c>
    </row>
    <row r="66" spans="1:103" ht="15.75" customHeight="1" x14ac:dyDescent="0.2">
      <c r="A66" s="2" t="s">
        <v>112</v>
      </c>
      <c r="B66" s="2" t="s">
        <v>125</v>
      </c>
      <c r="C66" s="6" t="s">
        <v>263</v>
      </c>
      <c r="D66" s="3"/>
      <c r="E66" s="2" t="s">
        <v>103</v>
      </c>
      <c r="F66" s="2"/>
      <c r="G66" s="2"/>
      <c r="H66" s="2" t="s">
        <v>228</v>
      </c>
      <c r="I66" s="2" t="s">
        <v>228</v>
      </c>
      <c r="J66" s="2" t="s">
        <v>181</v>
      </c>
      <c r="K66" s="2"/>
      <c r="L66" s="2" t="s">
        <v>218</v>
      </c>
      <c r="M66" s="2" t="s">
        <v>129</v>
      </c>
      <c r="N66" s="2" t="s">
        <v>199</v>
      </c>
      <c r="O66" s="2" t="s">
        <v>119</v>
      </c>
      <c r="P66" s="2"/>
      <c r="Q66" s="2" t="s">
        <v>128</v>
      </c>
      <c r="R66" s="2" t="s">
        <v>104</v>
      </c>
      <c r="S66" s="2" t="s">
        <v>144</v>
      </c>
      <c r="T66" s="2" t="s">
        <v>128</v>
      </c>
      <c r="U66" s="2" t="s">
        <v>224</v>
      </c>
      <c r="V66" s="2" t="s">
        <v>128</v>
      </c>
      <c r="W66" s="2"/>
      <c r="X66" s="2"/>
      <c r="Y66" s="2" t="s">
        <v>103</v>
      </c>
      <c r="Z66" s="2"/>
      <c r="AA66" s="2" t="s">
        <v>109</v>
      </c>
      <c r="AB66" s="2" t="s">
        <v>109</v>
      </c>
      <c r="AC66" s="2" t="s">
        <v>109</v>
      </c>
      <c r="AD66" s="2" t="s">
        <v>109</v>
      </c>
      <c r="AE66" s="2"/>
      <c r="AF66" s="2"/>
      <c r="AG66" s="2"/>
      <c r="AH66" s="2" t="s">
        <v>103</v>
      </c>
      <c r="AI66" s="2"/>
      <c r="AJ66" s="2" t="s">
        <v>138</v>
      </c>
      <c r="AK66" s="2"/>
      <c r="AL66" s="2" t="s">
        <v>194</v>
      </c>
      <c r="AM66" s="2" t="s">
        <v>104</v>
      </c>
      <c r="AN66" s="4" t="s">
        <v>104</v>
      </c>
      <c r="AO66" s="2"/>
      <c r="AP66" s="2"/>
      <c r="AQ66" s="2" t="s">
        <v>103</v>
      </c>
      <c r="AR66" s="2" t="s">
        <v>104</v>
      </c>
      <c r="AS66" s="2"/>
      <c r="AT66" s="2" t="s">
        <v>174</v>
      </c>
      <c r="AU66" s="2" t="s">
        <v>175</v>
      </c>
      <c r="AV66" s="2" t="s">
        <v>103</v>
      </c>
      <c r="AW66" s="2" t="s">
        <v>111</v>
      </c>
      <c r="AX66" s="2" t="s">
        <v>113</v>
      </c>
      <c r="AY66" s="2" t="s">
        <v>126</v>
      </c>
      <c r="AZ66" s="2"/>
      <c r="BA66" s="2"/>
      <c r="BB66" s="2"/>
      <c r="BC66" s="2"/>
      <c r="BD66" s="4">
        <f>1 + (1/2)</f>
        <v>1.5</v>
      </c>
      <c r="BE66" s="2" t="s">
        <v>131</v>
      </c>
      <c r="BF66" s="2" t="s">
        <v>104</v>
      </c>
      <c r="BG66" s="2" t="s">
        <v>229</v>
      </c>
      <c r="BH66" s="2"/>
      <c r="BI66" s="2"/>
      <c r="BJ66" s="2"/>
      <c r="BK66" s="2"/>
      <c r="BL66" s="2"/>
      <c r="BM66" s="2" t="s">
        <v>113</v>
      </c>
      <c r="BN66" s="2"/>
      <c r="BO66" s="2"/>
      <c r="BP66" s="2"/>
      <c r="BQ66" s="2"/>
      <c r="BR66" s="2"/>
      <c r="BS66" s="2"/>
      <c r="BT66" s="2"/>
      <c r="BU66" s="2"/>
      <c r="BV66" s="2"/>
      <c r="BW66" s="2" t="s">
        <v>230</v>
      </c>
      <c r="BX66" s="2"/>
      <c r="BY66" s="2"/>
      <c r="BZ66" s="2"/>
      <c r="CA66" s="2"/>
      <c r="CB66" s="2"/>
      <c r="CC66" s="2"/>
      <c r="CD66" s="4">
        <f>1 + (1/2)</f>
        <v>1.5</v>
      </c>
      <c r="CE66" s="2" t="s">
        <v>210</v>
      </c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 t="s">
        <v>119</v>
      </c>
      <c r="CY66" s="2" t="s">
        <v>221</v>
      </c>
    </row>
    <row r="67" spans="1:103" ht="15.75" customHeight="1" x14ac:dyDescent="0.2">
      <c r="A67" s="2" t="s">
        <v>142</v>
      </c>
      <c r="B67" s="2" t="s">
        <v>125</v>
      </c>
      <c r="C67" s="6" t="s">
        <v>263</v>
      </c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3"/>
      <c r="CY67" s="3"/>
    </row>
    <row r="68" spans="1:103" ht="15.75" customHeight="1" x14ac:dyDescent="0.2">
      <c r="A68" s="2" t="s">
        <v>125</v>
      </c>
      <c r="B68" s="2" t="s">
        <v>125</v>
      </c>
      <c r="C68" s="6" t="s">
        <v>263</v>
      </c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3"/>
      <c r="CY68" s="3"/>
    </row>
    <row r="69" spans="1:103" ht="15.75" customHeight="1" x14ac:dyDescent="0.2">
      <c r="A69" s="2" t="s">
        <v>147</v>
      </c>
      <c r="B69" s="2" t="s">
        <v>125</v>
      </c>
      <c r="C69" s="6" t="s">
        <v>263</v>
      </c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3"/>
      <c r="CY69" s="3"/>
    </row>
    <row r="70" spans="1:103" ht="15.75" customHeight="1" x14ac:dyDescent="0.2">
      <c r="A70" s="2" t="s">
        <v>111</v>
      </c>
      <c r="B70" s="2" t="s">
        <v>125</v>
      </c>
      <c r="C70" s="6" t="s">
        <v>263</v>
      </c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3"/>
      <c r="CY70" s="3"/>
    </row>
    <row r="71" spans="1:103" ht="15.75" customHeight="1" x14ac:dyDescent="0.2">
      <c r="A71" s="2" t="s">
        <v>115</v>
      </c>
      <c r="B71" s="2" t="s">
        <v>125</v>
      </c>
      <c r="C71" s="6" t="s">
        <v>263</v>
      </c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3"/>
      <c r="CY71" s="3"/>
    </row>
    <row r="72" spans="1:103" ht="15.75" customHeight="1" x14ac:dyDescent="0.2">
      <c r="A72" s="2" t="s">
        <v>103</v>
      </c>
      <c r="B72" s="2" t="s">
        <v>147</v>
      </c>
      <c r="C72" s="6" t="s">
        <v>263</v>
      </c>
      <c r="D72" s="3"/>
      <c r="E72" s="2" t="s">
        <v>103</v>
      </c>
      <c r="F72" s="2"/>
      <c r="G72" s="2"/>
      <c r="H72" s="2" t="s">
        <v>126</v>
      </c>
      <c r="I72" s="2" t="s">
        <v>126</v>
      </c>
      <c r="J72" s="2" t="s">
        <v>226</v>
      </c>
      <c r="K72" s="2"/>
      <c r="L72" s="2" t="s">
        <v>231</v>
      </c>
      <c r="M72" s="2" t="s">
        <v>133</v>
      </c>
      <c r="N72" s="2" t="s">
        <v>232</v>
      </c>
      <c r="O72" s="2" t="s">
        <v>170</v>
      </c>
      <c r="P72" s="2"/>
      <c r="Q72" s="2" t="s">
        <v>233</v>
      </c>
      <c r="R72" s="2" t="s">
        <v>124</v>
      </c>
      <c r="S72" s="2" t="s">
        <v>234</v>
      </c>
      <c r="T72" s="2" t="s">
        <v>128</v>
      </c>
      <c r="U72" s="2" t="s">
        <v>114</v>
      </c>
      <c r="V72" s="2" t="s">
        <v>119</v>
      </c>
      <c r="W72" s="2"/>
      <c r="X72" s="2"/>
      <c r="Y72" s="2" t="s">
        <v>103</v>
      </c>
      <c r="Z72" s="2"/>
      <c r="AA72" s="2"/>
      <c r="AB72" s="2" t="s">
        <v>109</v>
      </c>
      <c r="AC72" s="2"/>
      <c r="AD72" s="2" t="s">
        <v>113</v>
      </c>
      <c r="AE72" s="2"/>
      <c r="AF72" s="2" t="s">
        <v>109</v>
      </c>
      <c r="AG72" s="2" t="s">
        <v>103</v>
      </c>
      <c r="AH72" s="2"/>
      <c r="AI72" s="2"/>
      <c r="AJ72" s="2" t="s">
        <v>151</v>
      </c>
      <c r="AK72" s="2" t="s">
        <v>126</v>
      </c>
      <c r="AL72" s="2" t="s">
        <v>103</v>
      </c>
      <c r="AM72" s="2" t="s">
        <v>109</v>
      </c>
      <c r="AN72" s="2"/>
      <c r="AO72" s="2" t="s">
        <v>109</v>
      </c>
      <c r="AP72" s="2"/>
      <c r="AQ72" s="2"/>
      <c r="AR72" s="2"/>
      <c r="AS72" s="2"/>
      <c r="AT72" s="2" t="s">
        <v>103</v>
      </c>
      <c r="AU72" s="2" t="s">
        <v>147</v>
      </c>
      <c r="AV72" s="2" t="s">
        <v>109</v>
      </c>
      <c r="AW72" s="2" t="s">
        <v>111</v>
      </c>
      <c r="AX72" s="2"/>
      <c r="AY72" s="2" t="s">
        <v>138</v>
      </c>
      <c r="AZ72" s="2"/>
      <c r="BA72" s="2"/>
      <c r="BB72" s="2"/>
      <c r="BC72" s="2"/>
      <c r="BD72" s="2"/>
      <c r="BE72" s="2"/>
      <c r="BF72" s="2">
        <f>3/4</f>
        <v>0.75</v>
      </c>
      <c r="BG72" s="2" t="s">
        <v>130</v>
      </c>
      <c r="BH72" s="2"/>
      <c r="BI72" s="2"/>
      <c r="BJ72" s="2"/>
      <c r="BK72" s="2"/>
      <c r="BL72" s="2"/>
      <c r="BM72" s="2" t="s">
        <v>113</v>
      </c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>
        <f t="shared" ref="CC72:CC74" si="6">1/2</f>
        <v>0.5</v>
      </c>
      <c r="CD72" s="2" t="s">
        <v>108</v>
      </c>
      <c r="CE72" s="2"/>
      <c r="CF72" s="2"/>
      <c r="CG72" s="2"/>
      <c r="CH72" s="2"/>
      <c r="CI72" s="2" t="s">
        <v>104</v>
      </c>
      <c r="CJ72" s="2" t="s">
        <v>105</v>
      </c>
      <c r="CK72" s="2" t="s">
        <v>105</v>
      </c>
      <c r="CL72" s="2"/>
      <c r="CM72" s="2"/>
      <c r="CN72" s="2"/>
      <c r="CO72" s="2" t="s">
        <v>162</v>
      </c>
      <c r="CP72" s="2"/>
      <c r="CQ72" s="2"/>
      <c r="CR72" s="2"/>
      <c r="CS72" s="2"/>
      <c r="CT72" s="2"/>
      <c r="CU72" s="2"/>
      <c r="CV72" s="2" t="s">
        <v>126</v>
      </c>
      <c r="CW72" s="2" t="s">
        <v>104</v>
      </c>
      <c r="CX72" s="2" t="s">
        <v>108</v>
      </c>
      <c r="CY72" s="2" t="s">
        <v>195</v>
      </c>
    </row>
    <row r="73" spans="1:103" ht="15.75" customHeight="1" x14ac:dyDescent="0.2">
      <c r="A73" s="2" t="s">
        <v>109</v>
      </c>
      <c r="B73" s="2" t="s">
        <v>147</v>
      </c>
      <c r="C73" s="6" t="s">
        <v>263</v>
      </c>
      <c r="D73" s="3"/>
      <c r="E73" s="2" t="s">
        <v>103</v>
      </c>
      <c r="F73" s="2"/>
      <c r="G73" s="2"/>
      <c r="H73" s="2" t="s">
        <v>131</v>
      </c>
      <c r="I73" s="2" t="s">
        <v>131</v>
      </c>
      <c r="J73" s="2" t="s">
        <v>126</v>
      </c>
      <c r="K73" s="2"/>
      <c r="L73" s="2" t="s">
        <v>231</v>
      </c>
      <c r="M73" s="2" t="s">
        <v>115</v>
      </c>
      <c r="N73" s="2" t="s">
        <v>129</v>
      </c>
      <c r="O73" s="2"/>
      <c r="P73" s="2"/>
      <c r="Q73" s="2" t="s">
        <v>119</v>
      </c>
      <c r="R73" s="2" t="s">
        <v>109</v>
      </c>
      <c r="S73" s="2" t="s">
        <v>235</v>
      </c>
      <c r="T73" s="2" t="s">
        <v>114</v>
      </c>
      <c r="U73" s="2" t="s">
        <v>120</v>
      </c>
      <c r="V73" s="2" t="s">
        <v>150</v>
      </c>
      <c r="W73" s="2"/>
      <c r="X73" s="2"/>
      <c r="Y73" s="2"/>
      <c r="Z73" s="2"/>
      <c r="AA73" s="2"/>
      <c r="AB73" s="2" t="s">
        <v>109</v>
      </c>
      <c r="AC73" s="2" t="s">
        <v>109</v>
      </c>
      <c r="AD73" s="2" t="s">
        <v>103</v>
      </c>
      <c r="AE73" s="2" t="s">
        <v>103</v>
      </c>
      <c r="AF73" s="2"/>
      <c r="AG73" s="2"/>
      <c r="AH73" s="2"/>
      <c r="AI73" s="2"/>
      <c r="AJ73" s="2" t="s">
        <v>105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>
        <f>1/2</f>
        <v>0.5</v>
      </c>
      <c r="BE73" s="2" t="s">
        <v>104</v>
      </c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 t="s">
        <v>107</v>
      </c>
      <c r="BX73" s="2"/>
      <c r="BY73" s="2"/>
      <c r="BZ73" s="2"/>
      <c r="CA73" s="2"/>
      <c r="CB73" s="2"/>
      <c r="CC73" s="2">
        <f t="shared" si="6"/>
        <v>0.5</v>
      </c>
      <c r="CD73" s="2" t="s">
        <v>115</v>
      </c>
      <c r="CE73" s="2"/>
      <c r="CF73" s="2"/>
      <c r="CG73" s="2"/>
      <c r="CH73" s="2"/>
      <c r="CI73" s="2" t="s">
        <v>103</v>
      </c>
      <c r="CJ73" s="2" t="s">
        <v>114</v>
      </c>
      <c r="CK73" s="2" t="s">
        <v>114</v>
      </c>
      <c r="CL73" s="2"/>
      <c r="CM73" s="2"/>
      <c r="CN73" s="2"/>
      <c r="CO73" s="2" t="s">
        <v>146</v>
      </c>
      <c r="CP73" s="2"/>
      <c r="CQ73" s="2"/>
      <c r="CR73" s="2"/>
      <c r="CS73" s="2"/>
      <c r="CT73" s="2"/>
      <c r="CU73" s="2"/>
      <c r="CV73" s="2"/>
      <c r="CW73" s="2"/>
      <c r="CX73" s="3"/>
      <c r="CY73" s="3"/>
    </row>
    <row r="74" spans="1:103" ht="15.75" customHeight="1" x14ac:dyDescent="0.2">
      <c r="A74" s="2" t="s">
        <v>104</v>
      </c>
      <c r="B74" s="2" t="s">
        <v>147</v>
      </c>
      <c r="C74" s="6" t="s">
        <v>263</v>
      </c>
      <c r="D74" s="3"/>
      <c r="E74" s="2"/>
      <c r="F74" s="2"/>
      <c r="G74" s="2" t="s">
        <v>103</v>
      </c>
      <c r="H74" s="2" t="s">
        <v>110</v>
      </c>
      <c r="I74" s="2" t="s">
        <v>110</v>
      </c>
      <c r="J74" s="2" t="s">
        <v>144</v>
      </c>
      <c r="K74" s="2"/>
      <c r="L74" s="2" t="s">
        <v>145</v>
      </c>
      <c r="M74" s="2" t="s">
        <v>115</v>
      </c>
      <c r="N74" s="2" t="s">
        <v>235</v>
      </c>
      <c r="O74" s="2" t="s">
        <v>162</v>
      </c>
      <c r="P74" s="2"/>
      <c r="Q74" s="2" t="s">
        <v>177</v>
      </c>
      <c r="R74" s="2" t="s">
        <v>113</v>
      </c>
      <c r="S74" s="2" t="s">
        <v>234</v>
      </c>
      <c r="T74" s="2" t="s">
        <v>129</v>
      </c>
      <c r="U74" s="2" t="s">
        <v>161</v>
      </c>
      <c r="V74" s="2" t="s">
        <v>114</v>
      </c>
      <c r="W74" s="2"/>
      <c r="X74" s="2"/>
      <c r="Y74" s="2" t="s">
        <v>103</v>
      </c>
      <c r="Z74" s="2"/>
      <c r="AA74" s="2" t="s">
        <v>109</v>
      </c>
      <c r="AB74" s="2" t="s">
        <v>112</v>
      </c>
      <c r="AC74" s="2" t="s">
        <v>109</v>
      </c>
      <c r="AD74" s="2" t="s">
        <v>104</v>
      </c>
      <c r="AE74" s="2"/>
      <c r="AF74" s="2"/>
      <c r="AG74" s="2"/>
      <c r="AH74" s="2" t="s">
        <v>103</v>
      </c>
      <c r="AI74" s="2"/>
      <c r="AJ74" s="2" t="s">
        <v>133</v>
      </c>
      <c r="AK74" s="2" t="s">
        <v>126</v>
      </c>
      <c r="AL74" s="2" t="s">
        <v>103</v>
      </c>
      <c r="AM74" s="2"/>
      <c r="AN74" s="2" t="s">
        <v>103</v>
      </c>
      <c r="AO74" s="2"/>
      <c r="AP74" s="2"/>
      <c r="AQ74" s="2"/>
      <c r="AR74" s="2"/>
      <c r="AS74" s="2"/>
      <c r="AT74" s="2" t="s">
        <v>103</v>
      </c>
      <c r="AU74" s="4">
        <f>9 + (1/2)</f>
        <v>9.5</v>
      </c>
      <c r="AV74" s="2" t="s">
        <v>109</v>
      </c>
      <c r="AW74" s="2" t="s">
        <v>111</v>
      </c>
      <c r="AX74" s="2" t="s">
        <v>104</v>
      </c>
      <c r="AY74" s="2" t="s">
        <v>105</v>
      </c>
      <c r="AZ74" s="2"/>
      <c r="BA74" s="2"/>
      <c r="BB74" s="2"/>
      <c r="BC74" s="2"/>
      <c r="BD74" s="2" t="s">
        <v>103</v>
      </c>
      <c r="BE74" s="2" t="s">
        <v>119</v>
      </c>
      <c r="BF74" s="2"/>
      <c r="BG74" s="2"/>
      <c r="BH74" s="2"/>
      <c r="BI74" s="2"/>
      <c r="BJ74" s="2"/>
      <c r="BK74" s="2"/>
      <c r="BL74" s="2"/>
      <c r="BM74" s="2" t="s">
        <v>113</v>
      </c>
      <c r="BN74" s="2"/>
      <c r="BO74" s="2"/>
      <c r="BP74" s="2"/>
      <c r="BQ74" s="2"/>
      <c r="BR74" s="2"/>
      <c r="BS74" s="2"/>
      <c r="BT74" s="2"/>
      <c r="BU74" s="2"/>
      <c r="BV74" s="2"/>
      <c r="BW74" s="2" t="s">
        <v>138</v>
      </c>
      <c r="BX74" s="2"/>
      <c r="BY74" s="2"/>
      <c r="BZ74" s="2"/>
      <c r="CA74" s="2"/>
      <c r="CB74" s="2"/>
      <c r="CC74" s="2">
        <f t="shared" si="6"/>
        <v>0.5</v>
      </c>
      <c r="CD74" s="2" t="s">
        <v>116</v>
      </c>
      <c r="CE74" s="2"/>
      <c r="CF74" s="2"/>
      <c r="CG74" s="2"/>
      <c r="CH74" s="2"/>
      <c r="CI74" s="2">
        <f>1/2</f>
        <v>0.5</v>
      </c>
      <c r="CJ74" s="2" t="s">
        <v>119</v>
      </c>
      <c r="CK74" s="2" t="s">
        <v>116</v>
      </c>
      <c r="CL74" s="2"/>
      <c r="CM74" s="2"/>
      <c r="CN74" s="2"/>
      <c r="CO74" s="2" t="s">
        <v>136</v>
      </c>
      <c r="CP74" s="2"/>
      <c r="CQ74" s="2"/>
      <c r="CR74" s="2"/>
      <c r="CS74" s="2"/>
      <c r="CT74" s="2"/>
      <c r="CU74" s="2"/>
      <c r="CV74" s="2"/>
      <c r="CW74" s="2"/>
      <c r="CX74" s="2" t="s">
        <v>108</v>
      </c>
      <c r="CY74" s="2" t="s">
        <v>195</v>
      </c>
    </row>
    <row r="75" spans="1:103" ht="15.75" customHeight="1" x14ac:dyDescent="0.2">
      <c r="A75" s="2" t="s">
        <v>113</v>
      </c>
      <c r="B75" s="2" t="s">
        <v>147</v>
      </c>
      <c r="C75" s="6" t="s">
        <v>263</v>
      </c>
      <c r="D75" s="3"/>
      <c r="E75" s="2" t="s">
        <v>103</v>
      </c>
      <c r="F75" s="2"/>
      <c r="G75" s="2"/>
      <c r="H75" s="2" t="s">
        <v>116</v>
      </c>
      <c r="I75" s="2" t="s">
        <v>116</v>
      </c>
      <c r="J75" s="2" t="s">
        <v>110</v>
      </c>
      <c r="K75" s="2"/>
      <c r="L75" s="2" t="s">
        <v>135</v>
      </c>
      <c r="M75" s="2" t="s">
        <v>105</v>
      </c>
      <c r="N75" s="2" t="s">
        <v>236</v>
      </c>
      <c r="O75" s="2" t="s">
        <v>170</v>
      </c>
      <c r="P75" s="2"/>
      <c r="Q75" s="2" t="s">
        <v>118</v>
      </c>
      <c r="R75" s="2" t="s">
        <v>109</v>
      </c>
      <c r="S75" s="2" t="s">
        <v>235</v>
      </c>
      <c r="T75" s="2" t="s">
        <v>200</v>
      </c>
      <c r="U75" s="2" t="s">
        <v>147</v>
      </c>
      <c r="V75" s="2" t="s">
        <v>124</v>
      </c>
      <c r="W75" s="2"/>
      <c r="X75" s="2"/>
      <c r="Y75" s="2" t="s">
        <v>103</v>
      </c>
      <c r="Z75" s="2"/>
      <c r="AA75" s="2" t="s">
        <v>109</v>
      </c>
      <c r="AB75" s="2" t="s">
        <v>109</v>
      </c>
      <c r="AC75" s="2"/>
      <c r="AD75" s="2"/>
      <c r="AE75" s="2"/>
      <c r="AF75" s="2"/>
      <c r="AG75" s="2" t="s">
        <v>109</v>
      </c>
      <c r="AH75" s="2"/>
      <c r="AI75" s="2"/>
      <c r="AJ75" s="2" t="s">
        <v>110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 t="s">
        <v>109</v>
      </c>
      <c r="AW75" s="2" t="s">
        <v>115</v>
      </c>
      <c r="AX75" s="2" t="s">
        <v>104</v>
      </c>
      <c r="AY75" s="2" t="s">
        <v>105</v>
      </c>
      <c r="AZ75" s="2"/>
      <c r="BA75" s="2"/>
      <c r="BB75" s="2"/>
      <c r="BC75" s="2"/>
      <c r="BD75" s="2">
        <f>3/4</f>
        <v>0.75</v>
      </c>
      <c r="BE75" s="2" t="s">
        <v>119</v>
      </c>
      <c r="BF75" s="2">
        <f>1/2</f>
        <v>0.5</v>
      </c>
      <c r="BG75" s="2" t="s">
        <v>159</v>
      </c>
      <c r="BH75" s="2"/>
      <c r="BI75" s="2"/>
      <c r="BJ75" s="2">
        <f>3/4</f>
        <v>0.75</v>
      </c>
      <c r="BK75" s="2" t="s">
        <v>142</v>
      </c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 t="s">
        <v>151</v>
      </c>
      <c r="BX75" s="2"/>
      <c r="BY75" s="2"/>
      <c r="BZ75" s="2"/>
      <c r="CA75" s="2"/>
      <c r="CB75" s="2"/>
      <c r="CC75" s="2" t="s">
        <v>103</v>
      </c>
      <c r="CD75" s="2" t="s">
        <v>129</v>
      </c>
      <c r="CE75" s="2"/>
      <c r="CF75" s="2"/>
      <c r="CG75" s="2"/>
      <c r="CH75" s="2"/>
      <c r="CI75" s="2" t="s">
        <v>103</v>
      </c>
      <c r="CJ75" s="2" t="s">
        <v>114</v>
      </c>
      <c r="CK75" s="2" t="s">
        <v>128</v>
      </c>
      <c r="CL75" s="2"/>
      <c r="CM75" s="2"/>
      <c r="CN75" s="2"/>
      <c r="CO75" s="2" t="s">
        <v>144</v>
      </c>
      <c r="CP75" s="2"/>
      <c r="CQ75" s="2"/>
      <c r="CR75" s="2"/>
      <c r="CS75" s="2"/>
      <c r="CT75" s="2"/>
      <c r="CU75" s="2"/>
      <c r="CV75" s="2"/>
      <c r="CW75" s="2"/>
      <c r="CX75" s="2" t="s">
        <v>108</v>
      </c>
      <c r="CY75" s="2" t="s">
        <v>116</v>
      </c>
    </row>
    <row r="76" spans="1:103" ht="15.75" customHeight="1" x14ac:dyDescent="0.2">
      <c r="A76" s="2" t="s">
        <v>112</v>
      </c>
      <c r="B76" s="2" t="s">
        <v>147</v>
      </c>
      <c r="C76" s="6" t="s">
        <v>263</v>
      </c>
      <c r="D76" s="3"/>
      <c r="E76" s="2"/>
      <c r="F76" s="2"/>
      <c r="G76" s="2" t="s">
        <v>103</v>
      </c>
      <c r="H76" s="4" t="s">
        <v>228</v>
      </c>
      <c r="I76" s="2" t="s">
        <v>228</v>
      </c>
      <c r="J76" s="2" t="s">
        <v>112</v>
      </c>
      <c r="K76" s="2"/>
      <c r="L76" s="2" t="s">
        <v>237</v>
      </c>
      <c r="M76" s="2" t="s">
        <v>115</v>
      </c>
      <c r="N76" s="2" t="s">
        <v>238</v>
      </c>
      <c r="O76" s="2" t="s">
        <v>170</v>
      </c>
      <c r="P76" s="2"/>
      <c r="Q76" s="2" t="s">
        <v>201</v>
      </c>
      <c r="R76" s="2" t="s">
        <v>142</v>
      </c>
      <c r="S76" s="2" t="s">
        <v>239</v>
      </c>
      <c r="T76" s="2" t="s">
        <v>128</v>
      </c>
      <c r="U76" s="2" t="s">
        <v>131</v>
      </c>
      <c r="V76" s="2" t="s">
        <v>108</v>
      </c>
      <c r="W76" s="2"/>
      <c r="X76" s="2"/>
      <c r="Y76" s="2" t="s">
        <v>103</v>
      </c>
      <c r="Z76" s="2"/>
      <c r="AA76" s="2" t="s">
        <v>109</v>
      </c>
      <c r="AB76" s="2" t="s">
        <v>109</v>
      </c>
      <c r="AC76" s="2" t="s">
        <v>104</v>
      </c>
      <c r="AD76" s="2" t="s">
        <v>109</v>
      </c>
      <c r="AE76" s="2"/>
      <c r="AF76" s="2" t="s">
        <v>103</v>
      </c>
      <c r="AG76" s="2"/>
      <c r="AH76" s="2"/>
      <c r="AI76" s="2"/>
      <c r="AJ76" s="2" t="s">
        <v>138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 t="s">
        <v>142</v>
      </c>
      <c r="AX76" s="2" t="s">
        <v>113</v>
      </c>
      <c r="AY76" s="2" t="s">
        <v>126</v>
      </c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>
        <f t="shared" ref="CC76:CC77" si="7">1/2</f>
        <v>0.5</v>
      </c>
      <c r="CD76" s="2" t="s">
        <v>120</v>
      </c>
      <c r="CE76" s="2"/>
      <c r="CF76" s="2"/>
      <c r="CG76" s="2"/>
      <c r="CH76" s="2"/>
      <c r="CI76" s="2" t="s">
        <v>109</v>
      </c>
      <c r="CJ76" s="2" t="s">
        <v>120</v>
      </c>
      <c r="CK76" s="2" t="s">
        <v>116</v>
      </c>
      <c r="CL76" s="2"/>
      <c r="CM76" s="2"/>
      <c r="CN76" s="2"/>
      <c r="CO76" s="2" t="s">
        <v>136</v>
      </c>
      <c r="CP76" s="2"/>
      <c r="CQ76" s="2"/>
      <c r="CR76" s="2"/>
      <c r="CS76" s="2"/>
      <c r="CT76" s="2"/>
      <c r="CU76" s="2"/>
      <c r="CV76" s="2"/>
      <c r="CW76" s="2"/>
      <c r="CX76" s="2" t="s">
        <v>108</v>
      </c>
      <c r="CY76" s="2" t="s">
        <v>108</v>
      </c>
    </row>
    <row r="77" spans="1:103" ht="15.75" customHeight="1" x14ac:dyDescent="0.2">
      <c r="A77" s="2" t="s">
        <v>142</v>
      </c>
      <c r="B77" s="2" t="s">
        <v>147</v>
      </c>
      <c r="C77" s="6" t="s">
        <v>263</v>
      </c>
      <c r="D77" s="3"/>
      <c r="E77" s="2"/>
      <c r="F77" s="2"/>
      <c r="G77" s="2" t="s">
        <v>103</v>
      </c>
      <c r="H77" s="2" t="s">
        <v>116</v>
      </c>
      <c r="I77" s="2" t="s">
        <v>116</v>
      </c>
      <c r="J77" s="2" t="s">
        <v>120</v>
      </c>
      <c r="K77" s="2"/>
      <c r="L77" s="2" t="s">
        <v>237</v>
      </c>
      <c r="M77" s="2"/>
      <c r="N77" s="2" t="s">
        <v>162</v>
      </c>
      <c r="O77" s="2" t="s">
        <v>195</v>
      </c>
      <c r="P77" s="2"/>
      <c r="Q77" s="2"/>
      <c r="R77" s="2"/>
      <c r="S77" s="2" t="s">
        <v>240</v>
      </c>
      <c r="T77" s="2" t="s">
        <v>150</v>
      </c>
      <c r="U77" s="2" t="s">
        <v>108</v>
      </c>
      <c r="V77" s="2" t="s">
        <v>120</v>
      </c>
      <c r="W77" s="2"/>
      <c r="X77" s="2"/>
      <c r="Y77" s="2"/>
      <c r="Z77" s="2"/>
      <c r="AA77" s="2"/>
      <c r="AB77" s="2" t="s">
        <v>103</v>
      </c>
      <c r="AC77" s="2" t="s">
        <v>109</v>
      </c>
      <c r="AD77" s="2" t="s">
        <v>103</v>
      </c>
      <c r="AE77" s="2"/>
      <c r="AF77" s="2"/>
      <c r="AG77" s="2"/>
      <c r="AH77" s="2" t="s">
        <v>103</v>
      </c>
      <c r="AI77" s="2"/>
      <c r="AJ77" s="2" t="s">
        <v>116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>
        <f t="shared" si="7"/>
        <v>0.5</v>
      </c>
      <c r="CD77" s="2" t="s">
        <v>119</v>
      </c>
      <c r="CE77" s="2"/>
      <c r="CF77" s="2"/>
      <c r="CG77" s="2"/>
      <c r="CH77" s="2"/>
      <c r="CI77" s="2" t="s">
        <v>103</v>
      </c>
      <c r="CJ77" s="2" t="s">
        <v>114</v>
      </c>
      <c r="CK77" s="2" t="s">
        <v>114</v>
      </c>
      <c r="CL77" s="2"/>
      <c r="CM77" s="2"/>
      <c r="CN77" s="2"/>
      <c r="CO77" s="2" t="s">
        <v>144</v>
      </c>
      <c r="CP77" s="2"/>
      <c r="CQ77" s="2"/>
      <c r="CR77" s="2"/>
      <c r="CS77" s="2"/>
      <c r="CT77" s="2"/>
      <c r="CU77" s="2"/>
      <c r="CV77" s="2"/>
      <c r="CW77" s="2"/>
      <c r="CX77" s="4" t="s">
        <v>115</v>
      </c>
      <c r="CY77" s="4" t="s">
        <v>115</v>
      </c>
    </row>
    <row r="78" spans="1:103" ht="15.75" customHeight="1" x14ac:dyDescent="0.2">
      <c r="A78" s="2" t="s">
        <v>125</v>
      </c>
      <c r="B78" s="2" t="s">
        <v>147</v>
      </c>
      <c r="C78" s="6" t="s">
        <v>263</v>
      </c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3"/>
      <c r="CY78" s="3"/>
    </row>
    <row r="79" spans="1:103" ht="15.75" customHeight="1" x14ac:dyDescent="0.2">
      <c r="A79" s="2" t="s">
        <v>147</v>
      </c>
      <c r="B79" s="2" t="s">
        <v>147</v>
      </c>
      <c r="C79" s="6" t="s">
        <v>263</v>
      </c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3"/>
      <c r="CY79" s="3"/>
    </row>
    <row r="80" spans="1:103" ht="15.75" customHeight="1" x14ac:dyDescent="0.2">
      <c r="A80" s="2" t="s">
        <v>111</v>
      </c>
      <c r="B80" s="2" t="s">
        <v>147</v>
      </c>
      <c r="C80" s="6" t="s">
        <v>263</v>
      </c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3"/>
      <c r="CY80" s="3"/>
    </row>
    <row r="81" spans="1:103" ht="15.75" customHeight="1" x14ac:dyDescent="0.2">
      <c r="A81" s="2" t="s">
        <v>115</v>
      </c>
      <c r="B81" s="2" t="s">
        <v>147</v>
      </c>
      <c r="C81" s="6" t="s">
        <v>263</v>
      </c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3"/>
      <c r="CY81" s="3"/>
    </row>
    <row r="82" spans="1:103" ht="15.75" customHeight="1" x14ac:dyDescent="0.2">
      <c r="A82" s="2" t="s">
        <v>103</v>
      </c>
      <c r="B82" s="2" t="s">
        <v>111</v>
      </c>
      <c r="C82" s="6" t="s">
        <v>263</v>
      </c>
      <c r="D82" s="3"/>
      <c r="E82" s="2"/>
      <c r="F82" s="2"/>
      <c r="G82" s="2" t="s">
        <v>103</v>
      </c>
      <c r="H82" s="2" t="s">
        <v>169</v>
      </c>
      <c r="I82" s="2" t="s">
        <v>169</v>
      </c>
      <c r="J82" s="2" t="s">
        <v>169</v>
      </c>
      <c r="K82" s="2"/>
      <c r="L82" s="2" t="s">
        <v>220</v>
      </c>
      <c r="M82" s="2" t="s">
        <v>192</v>
      </c>
      <c r="N82" s="2" t="s">
        <v>236</v>
      </c>
      <c r="O82" s="2" t="s">
        <v>185</v>
      </c>
      <c r="P82" s="2"/>
      <c r="Q82" s="2" t="s">
        <v>115</v>
      </c>
      <c r="R82" s="2" t="s">
        <v>103</v>
      </c>
      <c r="S82" s="2" t="s">
        <v>239</v>
      </c>
      <c r="T82" s="2" t="s">
        <v>128</v>
      </c>
      <c r="U82" s="2" t="s">
        <v>224</v>
      </c>
      <c r="V82" s="2" t="s">
        <v>108</v>
      </c>
      <c r="W82" s="2"/>
      <c r="X82" s="2"/>
      <c r="Y82" s="2" t="s">
        <v>109</v>
      </c>
      <c r="Z82" s="2"/>
      <c r="AA82" s="2"/>
      <c r="AB82" s="2" t="s">
        <v>113</v>
      </c>
      <c r="AC82" s="2"/>
      <c r="AD82" s="2" t="s">
        <v>112</v>
      </c>
      <c r="AE82" s="2"/>
      <c r="AF82" s="2" t="s">
        <v>109</v>
      </c>
      <c r="AG82" s="2" t="s">
        <v>103</v>
      </c>
      <c r="AH82" s="2" t="s">
        <v>103</v>
      </c>
      <c r="AI82" s="2"/>
      <c r="AJ82" s="2" t="s">
        <v>237</v>
      </c>
      <c r="AK82" s="2" t="s">
        <v>128</v>
      </c>
      <c r="AL82" s="2" t="s">
        <v>103</v>
      </c>
      <c r="AM82" s="2"/>
      <c r="AN82" s="2"/>
      <c r="AO82" s="2"/>
      <c r="AP82" s="2"/>
      <c r="AQ82" s="2"/>
      <c r="AR82" s="2"/>
      <c r="AS82" s="2"/>
      <c r="AT82" s="2" t="s">
        <v>103</v>
      </c>
      <c r="AU82" s="2" t="s">
        <v>156</v>
      </c>
      <c r="AV82" s="2" t="s">
        <v>109</v>
      </c>
      <c r="AW82" s="2" t="s">
        <v>130</v>
      </c>
      <c r="AX82" s="2"/>
      <c r="AY82" s="2" t="s">
        <v>161</v>
      </c>
      <c r="AZ82" s="2"/>
      <c r="BA82" s="2"/>
      <c r="BB82" s="2"/>
      <c r="BC82" s="2"/>
      <c r="BD82" s="2">
        <f>1/2</f>
        <v>0.5</v>
      </c>
      <c r="BE82" s="2" t="s">
        <v>116</v>
      </c>
      <c r="BF82" s="2"/>
      <c r="BG82" s="2"/>
      <c r="BH82" s="2"/>
      <c r="BI82" s="2"/>
      <c r="BJ82" s="2"/>
      <c r="BK82" s="2"/>
      <c r="BL82" s="2" t="s">
        <v>112</v>
      </c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 t="s">
        <v>138</v>
      </c>
      <c r="BX82" s="2"/>
      <c r="BY82" s="2"/>
      <c r="BZ82" s="2"/>
      <c r="CA82" s="2"/>
      <c r="CB82" s="2"/>
      <c r="CC82" s="2">
        <f>1/2</f>
        <v>0.5</v>
      </c>
      <c r="CD82" s="2" t="s">
        <v>169</v>
      </c>
      <c r="CE82" s="2"/>
      <c r="CF82" s="2"/>
      <c r="CG82" s="2"/>
      <c r="CH82" s="2" t="s">
        <v>119</v>
      </c>
      <c r="CI82" s="2" t="s">
        <v>103</v>
      </c>
      <c r="CJ82" s="2" t="s">
        <v>114</v>
      </c>
      <c r="CK82" s="2" t="s">
        <v>147</v>
      </c>
      <c r="CL82" s="2"/>
      <c r="CM82" s="2"/>
      <c r="CN82" s="2"/>
      <c r="CO82" s="2" t="s">
        <v>110</v>
      </c>
      <c r="CP82" s="2"/>
      <c r="CQ82" s="2"/>
      <c r="CR82" s="2"/>
      <c r="CS82" s="2"/>
      <c r="CT82" s="2"/>
      <c r="CU82" s="2"/>
      <c r="CV82" s="2"/>
      <c r="CW82" s="2"/>
      <c r="CX82" s="2" t="s">
        <v>108</v>
      </c>
      <c r="CY82" s="2" t="s">
        <v>195</v>
      </c>
    </row>
    <row r="83" spans="1:103" ht="15.75" customHeight="1" x14ac:dyDescent="0.2">
      <c r="A83" s="2" t="s">
        <v>109</v>
      </c>
      <c r="B83" s="2" t="s">
        <v>111</v>
      </c>
      <c r="C83" s="6" t="s">
        <v>263</v>
      </c>
      <c r="D83" s="3"/>
      <c r="E83" s="2" t="s">
        <v>103</v>
      </c>
      <c r="F83" s="2"/>
      <c r="G83" s="2"/>
      <c r="H83" s="2" t="s">
        <v>116</v>
      </c>
      <c r="I83" s="2" t="s">
        <v>116</v>
      </c>
      <c r="J83" s="2" t="s">
        <v>116</v>
      </c>
      <c r="K83" s="2"/>
      <c r="L83" s="2" t="s">
        <v>220</v>
      </c>
      <c r="M83" s="2" t="s">
        <v>138</v>
      </c>
      <c r="N83" s="2" t="s">
        <v>241</v>
      </c>
      <c r="O83" s="2"/>
      <c r="P83" s="2"/>
      <c r="Q83" s="2"/>
      <c r="R83" s="2"/>
      <c r="S83" s="2" t="s">
        <v>242</v>
      </c>
      <c r="T83" s="2" t="s">
        <v>128</v>
      </c>
      <c r="U83" s="2" t="s">
        <v>128</v>
      </c>
      <c r="V83" s="2" t="s">
        <v>119</v>
      </c>
      <c r="W83" s="2"/>
      <c r="X83" s="2"/>
      <c r="Y83" s="2" t="s">
        <v>109</v>
      </c>
      <c r="Z83" s="2"/>
      <c r="AA83" s="2"/>
      <c r="AB83" s="2" t="s">
        <v>109</v>
      </c>
      <c r="AC83" s="2" t="s">
        <v>112</v>
      </c>
      <c r="AD83" s="2" t="s">
        <v>109</v>
      </c>
      <c r="AE83" s="2" t="s">
        <v>103</v>
      </c>
      <c r="AF83" s="2"/>
      <c r="AG83" s="2" t="s">
        <v>103</v>
      </c>
      <c r="AH83" s="2"/>
      <c r="AI83" s="2"/>
      <c r="AJ83" s="2"/>
      <c r="AK83" s="2"/>
      <c r="AL83" s="2" t="s">
        <v>150</v>
      </c>
      <c r="AM83" s="2" t="s">
        <v>147</v>
      </c>
      <c r="AN83" s="2"/>
      <c r="AO83" s="2"/>
      <c r="AP83" s="2"/>
      <c r="AQ83" s="2"/>
      <c r="AR83" s="2"/>
      <c r="AS83" s="2" t="s">
        <v>109</v>
      </c>
      <c r="AT83" s="2" t="s">
        <v>150</v>
      </c>
      <c r="AU83" s="2" t="s">
        <v>127</v>
      </c>
      <c r="AV83" s="2"/>
      <c r="AW83" s="2"/>
      <c r="AX83" s="2"/>
      <c r="AY83" s="2"/>
      <c r="AZ83" s="2"/>
      <c r="BA83" s="2"/>
      <c r="BB83" s="2"/>
      <c r="BC83" s="2"/>
      <c r="BD83" s="2" t="s">
        <v>109</v>
      </c>
      <c r="BE83" s="2" t="s">
        <v>116</v>
      </c>
      <c r="BF83" s="2">
        <f>1/2</f>
        <v>0.5</v>
      </c>
      <c r="BG83" s="2" t="s">
        <v>129</v>
      </c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 t="s">
        <v>136</v>
      </c>
      <c r="BX83" s="2"/>
      <c r="BY83" s="2"/>
      <c r="BZ83" s="2"/>
      <c r="CA83" s="2"/>
      <c r="CB83" s="2"/>
      <c r="CC83" s="2">
        <f>3/4</f>
        <v>0.75</v>
      </c>
      <c r="CD83" s="2" t="s">
        <v>180</v>
      </c>
      <c r="CE83" s="2"/>
      <c r="CF83" s="2"/>
      <c r="CG83" s="2"/>
      <c r="CH83" s="2"/>
      <c r="CI83" s="2" t="s">
        <v>103</v>
      </c>
      <c r="CJ83" s="2" t="s">
        <v>150</v>
      </c>
      <c r="CK83" s="2" t="s">
        <v>116</v>
      </c>
      <c r="CL83" s="2"/>
      <c r="CM83" s="2"/>
      <c r="CN83" s="2"/>
      <c r="CO83" s="2" t="s">
        <v>136</v>
      </c>
      <c r="CP83" s="2"/>
      <c r="CQ83" s="2"/>
      <c r="CR83" s="2"/>
      <c r="CS83" s="2"/>
      <c r="CT83" s="2"/>
      <c r="CU83" s="2"/>
      <c r="CV83" s="2"/>
      <c r="CW83" s="2"/>
      <c r="CX83" s="2" t="s">
        <v>119</v>
      </c>
      <c r="CY83" s="2" t="s">
        <v>170</v>
      </c>
    </row>
    <row r="84" spans="1:103" ht="15.75" customHeight="1" x14ac:dyDescent="0.2">
      <c r="A84" s="2" t="s">
        <v>104</v>
      </c>
      <c r="B84" s="2" t="s">
        <v>111</v>
      </c>
      <c r="C84" s="6" t="s">
        <v>263</v>
      </c>
      <c r="D84" s="3"/>
      <c r="E84" s="2" t="s">
        <v>103</v>
      </c>
      <c r="F84" s="2"/>
      <c r="G84" s="2"/>
      <c r="H84" s="2" t="s">
        <v>147</v>
      </c>
      <c r="I84" s="2" t="s">
        <v>147</v>
      </c>
      <c r="J84" s="2" t="s">
        <v>109</v>
      </c>
      <c r="K84" s="2"/>
      <c r="L84" s="2" t="s">
        <v>231</v>
      </c>
      <c r="M84" s="2"/>
      <c r="N84" s="2" t="s">
        <v>243</v>
      </c>
      <c r="O84" s="2" t="s">
        <v>109</v>
      </c>
      <c r="P84" s="2"/>
      <c r="Q84" s="2"/>
      <c r="R84" s="2"/>
      <c r="S84" s="2" t="s">
        <v>192</v>
      </c>
      <c r="T84" s="2" t="s">
        <v>103</v>
      </c>
      <c r="U84" s="2" t="s">
        <v>125</v>
      </c>
      <c r="V84" s="2" t="s">
        <v>103</v>
      </c>
      <c r="W84" s="2"/>
      <c r="X84" s="2"/>
      <c r="Y84" s="2"/>
      <c r="Z84" s="2"/>
      <c r="AA84" s="2"/>
      <c r="AB84" s="2" t="s">
        <v>103</v>
      </c>
      <c r="AC84" s="2"/>
      <c r="AD84" s="2" t="s">
        <v>103</v>
      </c>
      <c r="AE84" s="2"/>
      <c r="AF84" s="2"/>
      <c r="AG84" s="2" t="s">
        <v>103</v>
      </c>
      <c r="AH84" s="2"/>
      <c r="AI84" s="2"/>
      <c r="AJ84" s="2" t="s">
        <v>116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 t="s">
        <v>130</v>
      </c>
      <c r="AX84" s="2"/>
      <c r="AY84" s="2" t="s">
        <v>161</v>
      </c>
      <c r="AZ84" s="2"/>
      <c r="BA84" s="2"/>
      <c r="BB84" s="2"/>
      <c r="BC84" s="2"/>
      <c r="BD84" s="2">
        <f>1/2</f>
        <v>0.5</v>
      </c>
      <c r="BE84" s="2" t="s">
        <v>115</v>
      </c>
      <c r="BF84" s="2"/>
      <c r="BG84" s="2"/>
      <c r="BH84" s="2" t="s">
        <v>103</v>
      </c>
      <c r="BI84" s="2" t="s">
        <v>142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 t="s">
        <v>127</v>
      </c>
      <c r="BX84" s="2"/>
      <c r="BY84" s="2"/>
      <c r="BZ84" s="2"/>
      <c r="CA84" s="2"/>
      <c r="CB84" s="2"/>
      <c r="CC84" s="2">
        <f>1/2</f>
        <v>0.5</v>
      </c>
      <c r="CD84" s="2" t="s">
        <v>196</v>
      </c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3"/>
      <c r="CY84" s="3"/>
    </row>
    <row r="85" spans="1:103" ht="15.75" customHeight="1" x14ac:dyDescent="0.2">
      <c r="A85" s="2" t="s">
        <v>113</v>
      </c>
      <c r="B85" s="2" t="s">
        <v>111</v>
      </c>
      <c r="C85" s="6" t="s">
        <v>263</v>
      </c>
      <c r="D85" s="3"/>
      <c r="E85" s="2" t="s">
        <v>103</v>
      </c>
      <c r="F85" s="2"/>
      <c r="G85" s="2"/>
      <c r="H85" s="2" t="s">
        <v>113</v>
      </c>
      <c r="I85" s="2" t="s">
        <v>113</v>
      </c>
      <c r="J85" s="2"/>
      <c r="K85" s="2"/>
      <c r="L85" s="2" t="s">
        <v>121</v>
      </c>
      <c r="M85" s="2"/>
      <c r="N85" s="2" t="s">
        <v>244</v>
      </c>
      <c r="O85" s="2"/>
      <c r="P85" s="2"/>
      <c r="Q85" s="2"/>
      <c r="R85" s="2"/>
      <c r="S85" s="2" t="s">
        <v>114</v>
      </c>
      <c r="T85" s="2" t="s">
        <v>104</v>
      </c>
      <c r="U85" s="2" t="s">
        <v>103</v>
      </c>
      <c r="V85" s="4">
        <f>2 + (1/2)</f>
        <v>2.5</v>
      </c>
      <c r="W85" s="2"/>
      <c r="X85" s="2"/>
      <c r="Y85" s="2" t="s">
        <v>103</v>
      </c>
      <c r="Z85" s="2"/>
      <c r="AA85" s="2"/>
      <c r="AB85" s="2" t="s">
        <v>103</v>
      </c>
      <c r="AC85" s="2"/>
      <c r="AD85" s="2" t="s">
        <v>103</v>
      </c>
      <c r="AE85" s="2" t="s">
        <v>103</v>
      </c>
      <c r="AF85" s="2" t="s">
        <v>103</v>
      </c>
      <c r="AG85" s="2"/>
      <c r="AH85" s="2"/>
      <c r="AI85" s="2"/>
      <c r="AJ85" s="2" t="s">
        <v>238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 t="s">
        <v>125</v>
      </c>
      <c r="AX85" s="2"/>
      <c r="AY85" s="2" t="s">
        <v>128</v>
      </c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 t="s">
        <v>125</v>
      </c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3"/>
      <c r="CY85" s="3"/>
    </row>
    <row r="86" spans="1:103" ht="15.75" customHeight="1" x14ac:dyDescent="0.2">
      <c r="A86" s="2" t="s">
        <v>112</v>
      </c>
      <c r="B86" s="2" t="s">
        <v>111</v>
      </c>
      <c r="C86" s="6" t="s">
        <v>263</v>
      </c>
      <c r="D86" s="3"/>
      <c r="E86" s="2"/>
      <c r="F86" s="2" t="s">
        <v>103</v>
      </c>
      <c r="G86" s="2"/>
      <c r="H86" s="2" t="s">
        <v>194</v>
      </c>
      <c r="I86" s="2" t="s">
        <v>194</v>
      </c>
      <c r="J86" s="2" t="s">
        <v>109</v>
      </c>
      <c r="K86" s="2"/>
      <c r="L86" s="2" t="s">
        <v>220</v>
      </c>
      <c r="M86" s="2" t="s">
        <v>195</v>
      </c>
      <c r="N86" s="2" t="s">
        <v>245</v>
      </c>
      <c r="O86" s="2"/>
      <c r="P86" s="2"/>
      <c r="Q86" s="2" t="s">
        <v>170</v>
      </c>
      <c r="R86" s="2" t="s">
        <v>109</v>
      </c>
      <c r="S86" s="2" t="s">
        <v>242</v>
      </c>
      <c r="T86" s="2" t="s">
        <v>141</v>
      </c>
      <c r="U86" s="2" t="s">
        <v>141</v>
      </c>
      <c r="V86" s="2" t="s">
        <v>115</v>
      </c>
      <c r="W86" s="2"/>
      <c r="X86" s="2"/>
      <c r="Y86" s="2" t="s">
        <v>103</v>
      </c>
      <c r="Z86" s="2"/>
      <c r="AA86" s="2"/>
      <c r="AB86" s="2" t="s">
        <v>109</v>
      </c>
      <c r="AC86" s="2"/>
      <c r="AD86" s="2" t="s">
        <v>125</v>
      </c>
      <c r="AE86" s="2"/>
      <c r="AF86" s="2" t="s">
        <v>125</v>
      </c>
      <c r="AG86" s="2"/>
      <c r="AH86" s="2"/>
      <c r="AI86" s="2"/>
      <c r="AJ86" s="2" t="s">
        <v>132</v>
      </c>
      <c r="AK86" s="2"/>
      <c r="AL86" s="2" t="s">
        <v>104</v>
      </c>
      <c r="AM86" s="2" t="s">
        <v>109</v>
      </c>
      <c r="AN86" s="2"/>
      <c r="AO86" s="2"/>
      <c r="AP86" s="2"/>
      <c r="AQ86" s="2"/>
      <c r="AR86" s="2"/>
      <c r="AS86" s="2"/>
      <c r="AT86" s="2" t="s">
        <v>104</v>
      </c>
      <c r="AU86" s="2" t="s">
        <v>114</v>
      </c>
      <c r="AV86" s="2" t="s">
        <v>103</v>
      </c>
      <c r="AW86" s="2" t="s">
        <v>160</v>
      </c>
      <c r="AX86" s="2"/>
      <c r="AY86" s="2" t="s">
        <v>138</v>
      </c>
      <c r="AZ86" s="2"/>
      <c r="BA86" s="2"/>
      <c r="BB86" s="2"/>
      <c r="BC86" s="2"/>
      <c r="BD86" s="2" t="s">
        <v>103</v>
      </c>
      <c r="BE86" s="2" t="s">
        <v>116</v>
      </c>
      <c r="BF86" s="2" t="s">
        <v>109</v>
      </c>
      <c r="BG86" s="2" t="s">
        <v>246</v>
      </c>
      <c r="BH86" s="2"/>
      <c r="BI86" s="2"/>
      <c r="BJ86" s="2"/>
      <c r="BK86" s="2"/>
      <c r="BL86" s="4">
        <f>3 + (1/2)</f>
        <v>3.5</v>
      </c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 t="s">
        <v>144</v>
      </c>
      <c r="BX86" s="2"/>
      <c r="BY86" s="2"/>
      <c r="BZ86" s="2"/>
      <c r="CA86" s="2"/>
      <c r="CB86" s="2"/>
      <c r="CC86" s="2">
        <f t="shared" ref="CC86:CC87" si="8">1/2</f>
        <v>0.5</v>
      </c>
      <c r="CD86" s="2" t="s">
        <v>116</v>
      </c>
      <c r="CE86" s="2"/>
      <c r="CF86" s="2"/>
      <c r="CG86" s="2"/>
      <c r="CH86" s="2"/>
      <c r="CI86" s="2"/>
      <c r="CJ86" s="2" t="s">
        <v>142</v>
      </c>
      <c r="CK86" s="2" t="s">
        <v>108</v>
      </c>
      <c r="CL86" s="2"/>
      <c r="CM86" s="2"/>
      <c r="CN86" s="2"/>
      <c r="CO86" s="2" t="s">
        <v>247</v>
      </c>
      <c r="CP86" s="2"/>
      <c r="CQ86" s="2"/>
      <c r="CR86" s="2"/>
      <c r="CS86" s="2"/>
      <c r="CT86" s="2"/>
      <c r="CU86" s="2"/>
      <c r="CV86" s="2"/>
      <c r="CW86" s="2"/>
      <c r="CX86" s="2" t="s">
        <v>115</v>
      </c>
      <c r="CY86" s="2" t="s">
        <v>170</v>
      </c>
    </row>
    <row r="87" spans="1:103" ht="15.75" customHeight="1" x14ac:dyDescent="0.2">
      <c r="A87" s="2" t="s">
        <v>142</v>
      </c>
      <c r="B87" s="2" t="s">
        <v>111</v>
      </c>
      <c r="C87" s="6" t="s">
        <v>263</v>
      </c>
      <c r="D87" s="3"/>
      <c r="E87" s="2"/>
      <c r="F87" s="2"/>
      <c r="G87" s="2" t="s">
        <v>103</v>
      </c>
      <c r="H87" s="2" t="s">
        <v>141</v>
      </c>
      <c r="I87" s="2" t="s">
        <v>141</v>
      </c>
      <c r="J87" s="2"/>
      <c r="K87" s="2"/>
      <c r="L87" s="2" t="s">
        <v>216</v>
      </c>
      <c r="M87" s="2"/>
      <c r="N87" s="2" t="s">
        <v>234</v>
      </c>
      <c r="O87" s="2"/>
      <c r="P87" s="2"/>
      <c r="Q87" s="2"/>
      <c r="R87" s="2"/>
      <c r="S87" s="2" t="s">
        <v>248</v>
      </c>
      <c r="T87" s="2" t="s">
        <v>115</v>
      </c>
      <c r="U87" s="2" t="s">
        <v>113</v>
      </c>
      <c r="V87" s="2" t="s">
        <v>115</v>
      </c>
      <c r="W87" s="2"/>
      <c r="X87" s="2"/>
      <c r="Y87" s="2" t="s">
        <v>109</v>
      </c>
      <c r="Z87" s="2"/>
      <c r="AA87" s="2"/>
      <c r="AB87" s="2" t="s">
        <v>104</v>
      </c>
      <c r="AC87" s="2" t="s">
        <v>103</v>
      </c>
      <c r="AD87" s="2" t="s">
        <v>109</v>
      </c>
      <c r="AE87" s="2"/>
      <c r="AF87" s="2"/>
      <c r="AG87" s="2"/>
      <c r="AH87" s="2"/>
      <c r="AI87" s="2"/>
      <c r="AJ87" s="2" t="s">
        <v>238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 t="s">
        <v>103</v>
      </c>
      <c r="AW87" s="2" t="s">
        <v>142</v>
      </c>
      <c r="AX87" s="2"/>
      <c r="AY87" s="2" t="s">
        <v>126</v>
      </c>
      <c r="AZ87" s="2"/>
      <c r="BA87" s="2"/>
      <c r="BB87" s="2"/>
      <c r="BC87" s="2"/>
      <c r="BD87" s="4">
        <f t="shared" ref="BD87:BD88" si="9">1 + (1/2)</f>
        <v>1.5</v>
      </c>
      <c r="BE87" s="2" t="s">
        <v>116</v>
      </c>
      <c r="BF87" s="4">
        <f>1 + (1/2)</f>
        <v>1.5</v>
      </c>
      <c r="BG87" s="2" t="s">
        <v>169</v>
      </c>
      <c r="BH87" s="2"/>
      <c r="BI87" s="2"/>
      <c r="BJ87" s="2"/>
      <c r="BK87" s="2"/>
      <c r="BL87" s="2" t="s">
        <v>112</v>
      </c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 t="s">
        <v>105</v>
      </c>
      <c r="BX87" s="2"/>
      <c r="BY87" s="2"/>
      <c r="BZ87" s="2"/>
      <c r="CA87" s="2"/>
      <c r="CB87" s="2"/>
      <c r="CC87" s="2">
        <f t="shared" si="8"/>
        <v>0.5</v>
      </c>
      <c r="CD87" s="2" t="s">
        <v>116</v>
      </c>
      <c r="CE87" s="2"/>
      <c r="CF87" s="2"/>
      <c r="CG87" s="2"/>
      <c r="CH87" s="2"/>
      <c r="CI87" s="2" t="s">
        <v>103</v>
      </c>
      <c r="CJ87" s="2" t="s">
        <v>119</v>
      </c>
      <c r="CK87" s="2" t="s">
        <v>115</v>
      </c>
      <c r="CL87" s="2"/>
      <c r="CM87" s="2"/>
      <c r="CN87" s="2"/>
      <c r="CO87" s="2" t="s">
        <v>144</v>
      </c>
      <c r="CP87" s="2"/>
      <c r="CQ87" s="2"/>
      <c r="CR87" s="2"/>
      <c r="CS87" s="2"/>
      <c r="CT87" s="2"/>
      <c r="CU87" s="2"/>
      <c r="CV87" s="2"/>
      <c r="CW87" s="2"/>
      <c r="CX87" s="3"/>
      <c r="CY87" s="3"/>
    </row>
    <row r="88" spans="1:103" ht="15.75" customHeight="1" x14ac:dyDescent="0.2">
      <c r="A88" s="2" t="s">
        <v>125</v>
      </c>
      <c r="B88" s="2" t="s">
        <v>111</v>
      </c>
      <c r="C88" s="6" t="s">
        <v>263</v>
      </c>
      <c r="D88" s="3"/>
      <c r="E88" s="2" t="s">
        <v>103</v>
      </c>
      <c r="F88" s="2"/>
      <c r="G88" s="2"/>
      <c r="H88" s="2" t="s">
        <v>161</v>
      </c>
      <c r="I88" s="2" t="s">
        <v>161</v>
      </c>
      <c r="J88" s="2" t="s">
        <v>176</v>
      </c>
      <c r="K88" s="2"/>
      <c r="L88" s="2" t="s">
        <v>249</v>
      </c>
      <c r="M88" s="2" t="s">
        <v>244</v>
      </c>
      <c r="N88" s="2" t="s">
        <v>250</v>
      </c>
      <c r="O88" s="2"/>
      <c r="P88" s="2"/>
      <c r="Q88" s="2" t="s">
        <v>236</v>
      </c>
      <c r="R88" s="2" t="s">
        <v>129</v>
      </c>
      <c r="S88" s="2" t="s">
        <v>238</v>
      </c>
      <c r="T88" s="2" t="s">
        <v>131</v>
      </c>
      <c r="U88" s="2" t="s">
        <v>251</v>
      </c>
      <c r="V88" s="2" t="s">
        <v>181</v>
      </c>
      <c r="W88" s="2"/>
      <c r="X88" s="2"/>
      <c r="Y88" s="2" t="s">
        <v>112</v>
      </c>
      <c r="Z88" s="2"/>
      <c r="AA88" s="2" t="s">
        <v>109</v>
      </c>
      <c r="AB88" s="2" t="s">
        <v>109</v>
      </c>
      <c r="AC88" s="2" t="s">
        <v>116</v>
      </c>
      <c r="AD88" s="2" t="s">
        <v>109</v>
      </c>
      <c r="AE88" s="2" t="s">
        <v>130</v>
      </c>
      <c r="AF88" s="2" t="s">
        <v>115</v>
      </c>
      <c r="AG88" s="2"/>
      <c r="AH88" s="2"/>
      <c r="AI88" s="2"/>
      <c r="AJ88" s="2"/>
      <c r="AK88" s="2"/>
      <c r="AL88" s="2" t="s">
        <v>161</v>
      </c>
      <c r="AM88" s="2" t="s">
        <v>128</v>
      </c>
      <c r="AN88" s="2"/>
      <c r="AO88" s="2" t="s">
        <v>116</v>
      </c>
      <c r="AP88" s="2"/>
      <c r="AQ88" s="2" t="s">
        <v>142</v>
      </c>
      <c r="AR88" s="2" t="s">
        <v>104</v>
      </c>
      <c r="AS88" s="2"/>
      <c r="AT88" s="2" t="s">
        <v>161</v>
      </c>
      <c r="AU88" s="2" t="s">
        <v>185</v>
      </c>
      <c r="AV88" s="2"/>
      <c r="AW88" s="2" t="s">
        <v>125</v>
      </c>
      <c r="AX88" s="2"/>
      <c r="AY88" s="2" t="s">
        <v>120</v>
      </c>
      <c r="AZ88" s="2"/>
      <c r="BA88" s="2"/>
      <c r="BB88" s="2"/>
      <c r="BC88" s="2"/>
      <c r="BD88" s="4">
        <f t="shared" si="9"/>
        <v>1.5</v>
      </c>
      <c r="BE88" s="2" t="s">
        <v>208</v>
      </c>
      <c r="BF88" s="2" t="s">
        <v>113</v>
      </c>
      <c r="BG88" s="2" t="s">
        <v>110</v>
      </c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 t="s">
        <v>185</v>
      </c>
      <c r="BX88" s="2"/>
      <c r="BY88" s="2"/>
      <c r="BZ88" s="2"/>
      <c r="CA88" s="2"/>
      <c r="CB88" s="2"/>
      <c r="CC88" s="2" t="s">
        <v>104</v>
      </c>
      <c r="CD88" s="2" t="s">
        <v>136</v>
      </c>
      <c r="CE88" s="2"/>
      <c r="CF88" s="2"/>
      <c r="CG88" s="2"/>
      <c r="CH88" s="2"/>
      <c r="CI88" s="2" t="s">
        <v>103</v>
      </c>
      <c r="CJ88" s="2" t="s">
        <v>119</v>
      </c>
      <c r="CK88" s="2" t="s">
        <v>119</v>
      </c>
      <c r="CL88" s="2"/>
      <c r="CM88" s="2"/>
      <c r="CN88" s="2"/>
      <c r="CO88" s="2" t="s">
        <v>110</v>
      </c>
      <c r="CP88" s="2"/>
      <c r="CQ88" s="2"/>
      <c r="CR88" s="2"/>
      <c r="CS88" s="2"/>
      <c r="CT88" s="2"/>
      <c r="CU88" s="2"/>
      <c r="CV88" s="2"/>
      <c r="CW88" s="2"/>
      <c r="CX88" s="3"/>
      <c r="CY88" s="2" t="s">
        <v>170</v>
      </c>
    </row>
    <row r="89" spans="1:103" ht="15.75" customHeight="1" x14ac:dyDescent="0.2">
      <c r="A89" s="2" t="s">
        <v>147</v>
      </c>
      <c r="B89" s="2" t="s">
        <v>111</v>
      </c>
      <c r="C89" s="6" t="s">
        <v>263</v>
      </c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3"/>
      <c r="CY89" s="3"/>
    </row>
    <row r="90" spans="1:103" ht="15.75" customHeight="1" x14ac:dyDescent="0.2">
      <c r="A90" s="2" t="s">
        <v>111</v>
      </c>
      <c r="B90" s="2" t="s">
        <v>111</v>
      </c>
      <c r="C90" s="6" t="s">
        <v>263</v>
      </c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3"/>
      <c r="CY90" s="3"/>
    </row>
    <row r="91" spans="1:103" ht="15.75" customHeight="1" x14ac:dyDescent="0.2">
      <c r="A91" s="2" t="s">
        <v>115</v>
      </c>
      <c r="B91" s="2" t="s">
        <v>111</v>
      </c>
      <c r="C91" s="6" t="s">
        <v>263</v>
      </c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3"/>
      <c r="CY91" s="3"/>
    </row>
    <row r="92" spans="1:103" ht="15.75" customHeight="1" x14ac:dyDescent="0.2">
      <c r="A92" s="2" t="s">
        <v>103</v>
      </c>
      <c r="B92" s="2" t="s">
        <v>115</v>
      </c>
      <c r="C92" s="6" t="s">
        <v>263</v>
      </c>
      <c r="D92" s="3"/>
      <c r="E92" s="2" t="s">
        <v>103</v>
      </c>
      <c r="F92" s="2"/>
      <c r="G92" s="2"/>
      <c r="H92" s="2" t="s">
        <v>150</v>
      </c>
      <c r="I92" s="2" t="s">
        <v>150</v>
      </c>
      <c r="J92" s="2" t="s">
        <v>224</v>
      </c>
      <c r="K92" s="2"/>
      <c r="L92" s="2" t="s">
        <v>145</v>
      </c>
      <c r="M92" s="2" t="s">
        <v>115</v>
      </c>
      <c r="N92" s="2" t="s">
        <v>238</v>
      </c>
      <c r="O92" s="2" t="s">
        <v>185</v>
      </c>
      <c r="P92" s="2"/>
      <c r="Q92" s="2" t="s">
        <v>252</v>
      </c>
      <c r="R92" s="2" t="s">
        <v>104</v>
      </c>
      <c r="S92" s="2" t="s">
        <v>238</v>
      </c>
      <c r="T92" s="2" t="s">
        <v>108</v>
      </c>
      <c r="U92" s="2" t="s">
        <v>119</v>
      </c>
      <c r="V92" s="2" t="s">
        <v>103</v>
      </c>
      <c r="W92" s="2"/>
      <c r="X92" s="2"/>
      <c r="Y92" s="2" t="s">
        <v>103</v>
      </c>
      <c r="Z92" s="2"/>
      <c r="AA92" s="2"/>
      <c r="AB92" s="2" t="s">
        <v>109</v>
      </c>
      <c r="AC92" s="2" t="s">
        <v>104</v>
      </c>
      <c r="AD92" s="2" t="s">
        <v>103</v>
      </c>
      <c r="AE92" s="2" t="s">
        <v>103</v>
      </c>
      <c r="AF92" s="2"/>
      <c r="AG92" s="2"/>
      <c r="AH92" s="2"/>
      <c r="AI92" s="2"/>
      <c r="AJ92" s="2" t="s">
        <v>105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 t="s">
        <v>111</v>
      </c>
      <c r="AX92" s="2"/>
      <c r="AY92" s="2" t="s">
        <v>115</v>
      </c>
      <c r="AZ92" s="2"/>
      <c r="BA92" s="2"/>
      <c r="BB92" s="2"/>
      <c r="BC92" s="2"/>
      <c r="BD92" s="4">
        <f>1 + (1/2)</f>
        <v>1.5</v>
      </c>
      <c r="BE92" s="2" t="s">
        <v>109</v>
      </c>
      <c r="BF92" s="2" t="s">
        <v>103</v>
      </c>
      <c r="BG92" s="2" t="s">
        <v>114</v>
      </c>
      <c r="BH92" s="2"/>
      <c r="BI92" s="2"/>
      <c r="BJ92" s="2">
        <f>3/4</f>
        <v>0.75</v>
      </c>
      <c r="BK92" s="4">
        <f>8 + (1/2)</f>
        <v>8.5</v>
      </c>
      <c r="BL92" s="2"/>
      <c r="BM92" s="4">
        <f>1 + (1/2)</f>
        <v>1.5</v>
      </c>
      <c r="BN92" s="2"/>
      <c r="BO92" s="2"/>
      <c r="BP92" s="2"/>
      <c r="BQ92" s="2"/>
      <c r="BR92" s="2"/>
      <c r="BS92" s="2"/>
      <c r="BT92" s="2"/>
      <c r="BU92" s="2"/>
      <c r="BV92" s="2"/>
      <c r="BW92" s="2" t="s">
        <v>138</v>
      </c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 t="s">
        <v>103</v>
      </c>
      <c r="CJ92" s="2" t="s">
        <v>119</v>
      </c>
      <c r="CK92" s="2" t="s">
        <v>112</v>
      </c>
      <c r="CL92" s="2"/>
      <c r="CM92" s="2"/>
      <c r="CN92" s="2"/>
      <c r="CO92" s="2" t="s">
        <v>161</v>
      </c>
      <c r="CP92" s="2"/>
      <c r="CQ92" s="2"/>
      <c r="CR92" s="2"/>
      <c r="CS92" s="2"/>
      <c r="CT92" s="2"/>
      <c r="CU92" s="2"/>
      <c r="CV92" s="2"/>
      <c r="CW92" s="2"/>
      <c r="CX92" s="3"/>
      <c r="CY92" s="3"/>
    </row>
    <row r="93" spans="1:103" ht="15.75" customHeight="1" x14ac:dyDescent="0.2">
      <c r="A93" s="2" t="s">
        <v>109</v>
      </c>
      <c r="B93" s="2" t="s">
        <v>115</v>
      </c>
      <c r="C93" s="6" t="s">
        <v>263</v>
      </c>
      <c r="D93" s="3"/>
      <c r="E93" s="2"/>
      <c r="F93" s="2" t="s">
        <v>103</v>
      </c>
      <c r="G93" s="2"/>
      <c r="H93" s="2" t="s">
        <v>131</v>
      </c>
      <c r="I93" s="2" t="s">
        <v>131</v>
      </c>
      <c r="J93" s="2" t="s">
        <v>253</v>
      </c>
      <c r="K93" s="2"/>
      <c r="L93" s="2" t="s">
        <v>106</v>
      </c>
      <c r="M93" s="2" t="s">
        <v>105</v>
      </c>
      <c r="N93" s="2" t="s">
        <v>244</v>
      </c>
      <c r="O93" s="2" t="s">
        <v>136</v>
      </c>
      <c r="P93" s="2"/>
      <c r="Q93" s="2" t="s">
        <v>192</v>
      </c>
      <c r="R93" s="2" t="s">
        <v>103</v>
      </c>
      <c r="S93" s="2" t="s">
        <v>235</v>
      </c>
      <c r="T93" s="2" t="s">
        <v>130</v>
      </c>
      <c r="U93" s="2" t="s">
        <v>116</v>
      </c>
      <c r="V93" s="2" t="s">
        <v>108</v>
      </c>
      <c r="W93" s="2"/>
      <c r="X93" s="2"/>
      <c r="Y93" s="2" t="s">
        <v>103</v>
      </c>
      <c r="Z93" s="2"/>
      <c r="AA93" s="2"/>
      <c r="AB93" s="2"/>
      <c r="AC93" s="2"/>
      <c r="AD93" s="2" t="s">
        <v>103</v>
      </c>
      <c r="AE93" s="2"/>
      <c r="AF93" s="2" t="s">
        <v>103</v>
      </c>
      <c r="AG93" s="2"/>
      <c r="AH93" s="2"/>
      <c r="AI93" s="2"/>
      <c r="AJ93" s="2" t="s">
        <v>144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 t="s">
        <v>103</v>
      </c>
      <c r="BE93" s="2" t="s">
        <v>114</v>
      </c>
      <c r="BF93" s="2" t="s">
        <v>113</v>
      </c>
      <c r="BG93" s="2" t="s">
        <v>215</v>
      </c>
      <c r="BH93" s="2"/>
      <c r="BI93" s="2"/>
      <c r="BJ93" s="2"/>
      <c r="BK93" s="2"/>
      <c r="BL93" s="2"/>
      <c r="BM93" s="2" t="s">
        <v>109</v>
      </c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 t="s">
        <v>103</v>
      </c>
      <c r="CD93" s="2" t="s">
        <v>105</v>
      </c>
      <c r="CE93" s="2"/>
      <c r="CF93" s="2"/>
      <c r="CG93" s="2"/>
      <c r="CH93" s="2"/>
      <c r="CI93" s="2" t="s">
        <v>103</v>
      </c>
      <c r="CJ93" s="2" t="s">
        <v>129</v>
      </c>
      <c r="CK93" s="2" t="s">
        <v>128</v>
      </c>
      <c r="CL93" s="2"/>
      <c r="CM93" s="2"/>
      <c r="CN93" s="2"/>
      <c r="CO93" s="2" t="s">
        <v>107</v>
      </c>
      <c r="CP93" s="2"/>
      <c r="CQ93" s="2"/>
      <c r="CR93" s="2"/>
      <c r="CS93" s="2"/>
      <c r="CT93" s="2"/>
      <c r="CU93" s="2"/>
      <c r="CV93" s="2"/>
      <c r="CW93" s="2"/>
      <c r="CX93" s="3"/>
      <c r="CY93" s="3"/>
    </row>
    <row r="94" spans="1:103" ht="15.75" customHeight="1" x14ac:dyDescent="0.2">
      <c r="A94" s="2" t="s">
        <v>104</v>
      </c>
      <c r="B94" s="2" t="s">
        <v>115</v>
      </c>
      <c r="C94" s="6" t="s">
        <v>263</v>
      </c>
      <c r="D94" s="3"/>
      <c r="E94" s="2" t="s">
        <v>103</v>
      </c>
      <c r="F94" s="2"/>
      <c r="G94" s="2"/>
      <c r="H94" s="2" t="s">
        <v>159</v>
      </c>
      <c r="I94" s="2" t="s">
        <v>159</v>
      </c>
      <c r="J94" s="2" t="s">
        <v>181</v>
      </c>
      <c r="K94" s="2"/>
      <c r="L94" s="2" t="s">
        <v>234</v>
      </c>
      <c r="M94" s="2" t="s">
        <v>248</v>
      </c>
      <c r="N94" s="2" t="s">
        <v>245</v>
      </c>
      <c r="O94" s="2"/>
      <c r="P94" s="2"/>
      <c r="Q94" s="2" t="s">
        <v>192</v>
      </c>
      <c r="R94" s="2" t="s">
        <v>104</v>
      </c>
      <c r="S94" s="2" t="s">
        <v>254</v>
      </c>
      <c r="T94" s="2" t="s">
        <v>108</v>
      </c>
      <c r="U94" s="2"/>
      <c r="V94" s="2" t="s">
        <v>130</v>
      </c>
      <c r="W94" s="2"/>
      <c r="X94" s="2"/>
      <c r="Y94" s="2" t="s">
        <v>113</v>
      </c>
      <c r="Z94" s="2"/>
      <c r="AA94" s="2"/>
      <c r="AB94" s="2"/>
      <c r="AC94" s="2"/>
      <c r="AD94" s="2"/>
      <c r="AE94" s="2" t="s">
        <v>109</v>
      </c>
      <c r="AF94" s="2" t="s">
        <v>103</v>
      </c>
      <c r="AG94" s="2" t="s">
        <v>103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 t="s">
        <v>104</v>
      </c>
      <c r="AW94" s="2" t="s">
        <v>114</v>
      </c>
      <c r="AX94" s="2"/>
      <c r="AY94" s="2" t="s">
        <v>129</v>
      </c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4">
        <f>1 + (1/2)</f>
        <v>1.5</v>
      </c>
      <c r="CJ94" s="2" t="s">
        <v>120</v>
      </c>
      <c r="CK94" s="2" t="s">
        <v>108</v>
      </c>
      <c r="CL94" s="2"/>
      <c r="CM94" s="2"/>
      <c r="CN94" s="2"/>
      <c r="CO94" s="2" t="s">
        <v>138</v>
      </c>
      <c r="CP94" s="2"/>
      <c r="CQ94" s="2"/>
      <c r="CR94" s="2"/>
      <c r="CS94" s="2"/>
      <c r="CT94" s="2"/>
      <c r="CU94" s="2"/>
      <c r="CV94" s="2"/>
      <c r="CW94" s="2"/>
      <c r="CX94" s="3"/>
      <c r="CY94" s="3"/>
    </row>
    <row r="95" spans="1:103" ht="15.75" customHeight="1" x14ac:dyDescent="0.2">
      <c r="A95" s="2" t="s">
        <v>113</v>
      </c>
      <c r="B95" s="2" t="s">
        <v>115</v>
      </c>
      <c r="C95" s="6" t="s">
        <v>263</v>
      </c>
      <c r="D95" s="3"/>
      <c r="E95" s="2" t="s">
        <v>103</v>
      </c>
      <c r="F95" s="2"/>
      <c r="G95" s="2"/>
      <c r="H95" s="2" t="s">
        <v>116</v>
      </c>
      <c r="I95" s="2" t="s">
        <v>116</v>
      </c>
      <c r="J95" s="2" t="s">
        <v>138</v>
      </c>
      <c r="K95" s="2"/>
      <c r="L95" s="2" t="s">
        <v>218</v>
      </c>
      <c r="M95" s="2"/>
      <c r="N95" s="2" t="s">
        <v>237</v>
      </c>
      <c r="O95" s="2"/>
      <c r="P95" s="2"/>
      <c r="Q95" s="2"/>
      <c r="R95" s="2"/>
      <c r="S95" s="2" t="s">
        <v>254</v>
      </c>
      <c r="T95" s="2" t="s">
        <v>119</v>
      </c>
      <c r="U95" s="2" t="s">
        <v>114</v>
      </c>
      <c r="V95" s="2" t="s">
        <v>141</v>
      </c>
      <c r="W95" s="2"/>
      <c r="X95" s="2"/>
      <c r="Y95" s="2" t="s">
        <v>113</v>
      </c>
      <c r="Z95" s="2"/>
      <c r="AA95" s="2"/>
      <c r="AB95" s="2"/>
      <c r="AC95" s="2" t="s">
        <v>123</v>
      </c>
      <c r="AD95" s="2" t="s">
        <v>113</v>
      </c>
      <c r="AE95" s="2"/>
      <c r="AF95" s="2" t="s">
        <v>125</v>
      </c>
      <c r="AG95" s="2"/>
      <c r="AH95" s="2" t="s">
        <v>103</v>
      </c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 t="s">
        <v>103</v>
      </c>
      <c r="BE95" s="2" t="s">
        <v>120</v>
      </c>
      <c r="BF95" s="2" t="s">
        <v>103</v>
      </c>
      <c r="BG95" s="2" t="s">
        <v>116</v>
      </c>
      <c r="BH95" s="2"/>
      <c r="BI95" s="2"/>
      <c r="BJ95" s="2"/>
      <c r="BK95" s="2"/>
      <c r="BL95" s="2"/>
      <c r="BM95" s="2" t="s">
        <v>112</v>
      </c>
      <c r="BN95" s="2"/>
      <c r="BO95" s="2"/>
      <c r="BP95" s="2"/>
      <c r="BQ95" s="2"/>
      <c r="BR95" s="2"/>
      <c r="BS95" s="2"/>
      <c r="BT95" s="2"/>
      <c r="BU95" s="2"/>
      <c r="BV95" s="2"/>
      <c r="BW95" s="2" t="s">
        <v>133</v>
      </c>
      <c r="BX95" s="2"/>
      <c r="BY95" s="2"/>
      <c r="BZ95" s="2"/>
      <c r="CA95" s="2"/>
      <c r="CB95" s="2"/>
      <c r="CC95" s="2">
        <f>3/4</f>
        <v>0.75</v>
      </c>
      <c r="CD95" s="2" t="s">
        <v>105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 t="s">
        <v>147</v>
      </c>
      <c r="CY95" s="2" t="s">
        <v>105</v>
      </c>
    </row>
    <row r="96" spans="1:103" ht="15.75" customHeight="1" x14ac:dyDescent="0.2">
      <c r="A96" s="2" t="s">
        <v>112</v>
      </c>
      <c r="B96" s="2" t="s">
        <v>115</v>
      </c>
      <c r="C96" s="6" t="s">
        <v>263</v>
      </c>
      <c r="D96" s="3"/>
      <c r="E96" s="2" t="s">
        <v>103</v>
      </c>
      <c r="F96" s="2"/>
      <c r="G96" s="2"/>
      <c r="H96" s="2" t="s">
        <v>105</v>
      </c>
      <c r="I96" s="2" t="s">
        <v>105</v>
      </c>
      <c r="J96" s="2" t="s">
        <v>181</v>
      </c>
      <c r="K96" s="2"/>
      <c r="L96" s="2" t="s">
        <v>106</v>
      </c>
      <c r="M96" s="2" t="s">
        <v>110</v>
      </c>
      <c r="N96" s="2" t="s">
        <v>237</v>
      </c>
      <c r="O96" s="2" t="s">
        <v>185</v>
      </c>
      <c r="P96" s="2"/>
      <c r="Q96" s="2" t="s">
        <v>192</v>
      </c>
      <c r="R96" s="2" t="s">
        <v>142</v>
      </c>
      <c r="S96" s="2" t="s">
        <v>132</v>
      </c>
      <c r="T96" s="2" t="s">
        <v>120</v>
      </c>
      <c r="U96" s="2" t="s">
        <v>126</v>
      </c>
      <c r="V96" s="2" t="s">
        <v>150</v>
      </c>
      <c r="W96" s="2"/>
      <c r="X96" s="2" t="s">
        <v>103</v>
      </c>
      <c r="Y96" s="2" t="s">
        <v>104</v>
      </c>
      <c r="Z96" s="2"/>
      <c r="AA96" s="2" t="s">
        <v>109</v>
      </c>
      <c r="AB96" s="2" t="s">
        <v>104</v>
      </c>
      <c r="AC96" s="2" t="s">
        <v>113</v>
      </c>
      <c r="AD96" s="2" t="s">
        <v>109</v>
      </c>
      <c r="AE96" s="2" t="s">
        <v>113</v>
      </c>
      <c r="AF96" s="2" t="s">
        <v>142</v>
      </c>
      <c r="AG96" s="2"/>
      <c r="AH96" s="2"/>
      <c r="AI96" s="2"/>
      <c r="AJ96" s="2" t="s">
        <v>144</v>
      </c>
      <c r="AK96" s="2"/>
      <c r="AL96" s="2" t="s">
        <v>117</v>
      </c>
      <c r="AM96" s="2" t="s">
        <v>128</v>
      </c>
      <c r="AN96" s="2" t="s">
        <v>130</v>
      </c>
      <c r="AO96" s="2" t="s">
        <v>108</v>
      </c>
      <c r="AP96" s="2" t="s">
        <v>103</v>
      </c>
      <c r="AQ96" s="2"/>
      <c r="AR96" s="2"/>
      <c r="AS96" s="2"/>
      <c r="AT96" s="2" t="s">
        <v>117</v>
      </c>
      <c r="AU96" s="2" t="s">
        <v>255</v>
      </c>
      <c r="AV96" s="2" t="s">
        <v>103</v>
      </c>
      <c r="AW96" s="2" t="s">
        <v>142</v>
      </c>
      <c r="AX96" s="2" t="s">
        <v>142</v>
      </c>
      <c r="AY96" s="2" t="s">
        <v>256</v>
      </c>
      <c r="AZ96" s="2"/>
      <c r="BA96" s="2"/>
      <c r="BB96" s="2"/>
      <c r="BC96" s="2"/>
      <c r="BD96" s="2" t="s">
        <v>103</v>
      </c>
      <c r="BE96" s="2" t="s">
        <v>117</v>
      </c>
      <c r="BF96" s="2" t="s">
        <v>103</v>
      </c>
      <c r="BG96" s="2" t="s">
        <v>200</v>
      </c>
      <c r="BH96" s="2"/>
      <c r="BI96" s="2"/>
      <c r="BJ96" s="2" t="s">
        <v>109</v>
      </c>
      <c r="BK96" s="2" t="s">
        <v>128</v>
      </c>
      <c r="BL96" s="2"/>
      <c r="BM96" s="2" t="s">
        <v>113</v>
      </c>
      <c r="BN96" s="2"/>
      <c r="BO96" s="2"/>
      <c r="BP96" s="2"/>
      <c r="BQ96" s="2"/>
      <c r="BR96" s="2"/>
      <c r="BS96" s="2"/>
      <c r="BT96" s="2"/>
      <c r="BU96" s="2"/>
      <c r="BV96" s="2"/>
      <c r="BW96" s="2" t="s">
        <v>136</v>
      </c>
      <c r="BX96" s="2" t="s">
        <v>142</v>
      </c>
      <c r="BY96" s="2"/>
      <c r="BZ96" s="2"/>
      <c r="CA96" s="2"/>
      <c r="CB96" s="2"/>
      <c r="CC96" s="2"/>
      <c r="CD96" s="2" t="s">
        <v>138</v>
      </c>
      <c r="CE96" s="2"/>
      <c r="CF96" s="2"/>
      <c r="CG96" s="2"/>
      <c r="CH96" s="2"/>
      <c r="CI96" s="2" t="s">
        <v>109</v>
      </c>
      <c r="CJ96" s="2" t="s">
        <v>105</v>
      </c>
      <c r="CK96" s="2" t="s">
        <v>126</v>
      </c>
      <c r="CL96" s="2"/>
      <c r="CM96" s="2"/>
      <c r="CN96" s="2"/>
      <c r="CO96" s="2" t="s">
        <v>185</v>
      </c>
      <c r="CP96" s="2"/>
      <c r="CQ96" s="2"/>
      <c r="CR96" s="2"/>
      <c r="CS96" s="2"/>
      <c r="CT96" s="2"/>
      <c r="CU96" s="2"/>
      <c r="CV96" s="2"/>
      <c r="CW96" s="2"/>
      <c r="CX96" s="2" t="s">
        <v>108</v>
      </c>
      <c r="CY96" s="2" t="s">
        <v>124</v>
      </c>
    </row>
    <row r="97" spans="1:103" ht="15.75" customHeight="1" x14ac:dyDescent="0.2">
      <c r="A97" s="2" t="s">
        <v>142</v>
      </c>
      <c r="B97" s="2" t="s">
        <v>115</v>
      </c>
      <c r="C97" s="6" t="s">
        <v>263</v>
      </c>
      <c r="D97" s="3"/>
      <c r="E97" s="2"/>
      <c r="F97" s="2"/>
      <c r="G97" s="2" t="s">
        <v>103</v>
      </c>
      <c r="H97" s="2" t="s">
        <v>105</v>
      </c>
      <c r="I97" s="2" t="s">
        <v>105</v>
      </c>
      <c r="J97" s="2" t="s">
        <v>131</v>
      </c>
      <c r="K97" s="2"/>
      <c r="L97" s="2" t="s">
        <v>257</v>
      </c>
      <c r="M97" s="2" t="s">
        <v>116</v>
      </c>
      <c r="N97" s="2" t="s">
        <v>258</v>
      </c>
      <c r="O97" s="2" t="s">
        <v>177</v>
      </c>
      <c r="P97" s="2"/>
      <c r="Q97" s="2"/>
      <c r="R97" s="2"/>
      <c r="S97" s="2" t="s">
        <v>234</v>
      </c>
      <c r="T97" s="2" t="s">
        <v>128</v>
      </c>
      <c r="U97" s="2" t="s">
        <v>211</v>
      </c>
      <c r="V97" s="2" t="s">
        <v>128</v>
      </c>
      <c r="W97" s="2"/>
      <c r="X97" s="2"/>
      <c r="Y97" s="2" t="s">
        <v>109</v>
      </c>
      <c r="Z97" s="2"/>
      <c r="AA97" s="2"/>
      <c r="AB97" s="2" t="s">
        <v>160</v>
      </c>
      <c r="AC97" s="2" t="s">
        <v>115</v>
      </c>
      <c r="AD97" s="2" t="s">
        <v>113</v>
      </c>
      <c r="AE97" s="2"/>
      <c r="AF97" s="2"/>
      <c r="AG97" s="2"/>
      <c r="AH97" s="2"/>
      <c r="AI97" s="2"/>
      <c r="AJ97" s="2" t="s">
        <v>136</v>
      </c>
      <c r="AK97" s="2"/>
      <c r="AL97" s="2" t="s">
        <v>104</v>
      </c>
      <c r="AM97" s="2" t="s">
        <v>103</v>
      </c>
      <c r="AN97" s="2"/>
      <c r="AO97" s="2"/>
      <c r="AP97" s="2"/>
      <c r="AQ97" s="2"/>
      <c r="AR97" s="2"/>
      <c r="AS97" s="2"/>
      <c r="AT97" s="2" t="s">
        <v>104</v>
      </c>
      <c r="AU97" s="2" t="s">
        <v>171</v>
      </c>
      <c r="AV97" s="2" t="s">
        <v>109</v>
      </c>
      <c r="AW97" s="2" t="s">
        <v>108</v>
      </c>
      <c r="AX97" s="2" t="s">
        <v>104</v>
      </c>
      <c r="AY97" s="2" t="s">
        <v>105</v>
      </c>
      <c r="AZ97" s="2"/>
      <c r="BA97" s="2"/>
      <c r="BB97" s="2">
        <f>1/2</f>
        <v>0.5</v>
      </c>
      <c r="BC97" s="2" t="s">
        <v>130</v>
      </c>
      <c r="BD97" s="2" t="s">
        <v>103</v>
      </c>
      <c r="BE97" s="2" t="s">
        <v>116</v>
      </c>
      <c r="BF97" s="2" t="s">
        <v>104</v>
      </c>
      <c r="BG97" s="2" t="s">
        <v>259</v>
      </c>
      <c r="BH97" s="2"/>
      <c r="BI97" s="2"/>
      <c r="BJ97" s="4">
        <f>1 +(1/4)</f>
        <v>1.25</v>
      </c>
      <c r="BK97" s="2" t="s">
        <v>171</v>
      </c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 t="s">
        <v>136</v>
      </c>
      <c r="BX97" s="2"/>
      <c r="BY97" s="2"/>
      <c r="BZ97" s="2"/>
      <c r="CA97" s="2"/>
      <c r="CB97" s="2"/>
      <c r="CC97" s="2">
        <f t="shared" ref="CC97:CC98" si="10">3/4</f>
        <v>0.75</v>
      </c>
      <c r="CD97" s="2" t="s">
        <v>116</v>
      </c>
      <c r="CE97" s="2"/>
      <c r="CF97" s="2"/>
      <c r="CG97" s="2"/>
      <c r="CH97" s="2"/>
      <c r="CI97" s="2" t="s">
        <v>109</v>
      </c>
      <c r="CJ97" s="2" t="s">
        <v>105</v>
      </c>
      <c r="CK97" s="2" t="s">
        <v>215</v>
      </c>
      <c r="CL97" s="2"/>
      <c r="CM97" s="2"/>
      <c r="CN97" s="2"/>
      <c r="CO97" s="2" t="s">
        <v>193</v>
      </c>
      <c r="CP97" s="2"/>
      <c r="CQ97" s="2"/>
      <c r="CR97" s="2"/>
      <c r="CS97" s="2"/>
      <c r="CT97" s="2"/>
      <c r="CU97" s="2"/>
      <c r="CV97" s="2"/>
      <c r="CW97" s="2"/>
      <c r="CX97" s="2" t="s">
        <v>142</v>
      </c>
      <c r="CY97" s="2" t="s">
        <v>228</v>
      </c>
    </row>
    <row r="98" spans="1:103" ht="15.75" customHeight="1" x14ac:dyDescent="0.2">
      <c r="A98" s="2" t="s">
        <v>125</v>
      </c>
      <c r="B98" s="2" t="s">
        <v>115</v>
      </c>
      <c r="C98" s="6" t="s">
        <v>263</v>
      </c>
      <c r="D98" s="3"/>
      <c r="E98" s="2" t="s">
        <v>103</v>
      </c>
      <c r="F98" s="2"/>
      <c r="G98" s="2"/>
      <c r="H98" s="2" t="s">
        <v>116</v>
      </c>
      <c r="I98" s="2" t="s">
        <v>116</v>
      </c>
      <c r="J98" s="2" t="s">
        <v>169</v>
      </c>
      <c r="K98" s="2"/>
      <c r="L98" s="2" t="s">
        <v>260</v>
      </c>
      <c r="M98" s="2" t="s">
        <v>105</v>
      </c>
      <c r="N98" s="2" t="s">
        <v>245</v>
      </c>
      <c r="O98" s="2" t="s">
        <v>170</v>
      </c>
      <c r="P98" s="2"/>
      <c r="Q98" s="2" t="s">
        <v>239</v>
      </c>
      <c r="R98" s="2" t="s">
        <v>172</v>
      </c>
      <c r="S98" s="2" t="s">
        <v>261</v>
      </c>
      <c r="T98" s="2" t="s">
        <v>119</v>
      </c>
      <c r="U98" s="2" t="s">
        <v>114</v>
      </c>
      <c r="V98" s="2" t="s">
        <v>167</v>
      </c>
      <c r="W98" s="2"/>
      <c r="X98" s="2"/>
      <c r="Y98" s="2" t="s">
        <v>109</v>
      </c>
      <c r="Z98" s="2"/>
      <c r="AA98" s="2"/>
      <c r="AB98" s="2" t="s">
        <v>112</v>
      </c>
      <c r="AC98" s="2" t="s">
        <v>111</v>
      </c>
      <c r="AD98" s="2" t="s">
        <v>125</v>
      </c>
      <c r="AE98" s="2" t="s">
        <v>103</v>
      </c>
      <c r="AF98" s="2" t="s">
        <v>103</v>
      </c>
      <c r="AG98" s="2" t="s">
        <v>109</v>
      </c>
      <c r="AH98" s="2"/>
      <c r="AI98" s="2"/>
      <c r="AJ98" s="2" t="s">
        <v>183</v>
      </c>
      <c r="AK98" s="2"/>
      <c r="AL98" s="2" t="s">
        <v>108</v>
      </c>
      <c r="AM98" s="2" t="s">
        <v>112</v>
      </c>
      <c r="AN98" s="2" t="s">
        <v>112</v>
      </c>
      <c r="AO98" s="2"/>
      <c r="AP98" s="2"/>
      <c r="AQ98" s="2"/>
      <c r="AR98" s="2" t="s">
        <v>109</v>
      </c>
      <c r="AS98" s="2"/>
      <c r="AT98" s="2" t="s">
        <v>108</v>
      </c>
      <c r="AU98" s="2" t="s">
        <v>129</v>
      </c>
      <c r="AV98" s="2" t="s">
        <v>109</v>
      </c>
      <c r="AW98" s="2" t="s">
        <v>123</v>
      </c>
      <c r="AX98" s="2" t="s">
        <v>112</v>
      </c>
      <c r="AY98" s="2" t="s">
        <v>138</v>
      </c>
      <c r="AZ98" s="2"/>
      <c r="BA98" s="2"/>
      <c r="BB98" s="2" t="s">
        <v>103</v>
      </c>
      <c r="BC98" s="2" t="s">
        <v>159</v>
      </c>
      <c r="BD98" s="4">
        <f>1 + (1/2)</f>
        <v>1.5</v>
      </c>
      <c r="BE98" s="2" t="s">
        <v>128</v>
      </c>
      <c r="BF98" s="2">
        <f>1/2</f>
        <v>0.5</v>
      </c>
      <c r="BG98" s="2" t="s">
        <v>128</v>
      </c>
      <c r="BH98" s="2"/>
      <c r="BI98" s="2"/>
      <c r="BJ98" s="2"/>
      <c r="BK98" s="2"/>
      <c r="BL98" s="2" t="s">
        <v>104</v>
      </c>
      <c r="BM98" s="2" t="s">
        <v>109</v>
      </c>
      <c r="BN98" s="2"/>
      <c r="BO98" s="2"/>
      <c r="BP98" s="2"/>
      <c r="BQ98" s="2"/>
      <c r="BR98" s="2"/>
      <c r="BS98" s="2"/>
      <c r="BT98" s="2"/>
      <c r="BU98" s="2"/>
      <c r="BV98" s="2"/>
      <c r="BW98" s="2" t="s">
        <v>136</v>
      </c>
      <c r="BX98" s="2" t="s">
        <v>112</v>
      </c>
      <c r="BY98" s="2"/>
      <c r="BZ98" s="2"/>
      <c r="CA98" s="2"/>
      <c r="CB98" s="2"/>
      <c r="CC98" s="2">
        <f t="shared" si="10"/>
        <v>0.75</v>
      </c>
      <c r="CD98" s="2" t="s">
        <v>105</v>
      </c>
      <c r="CE98" s="2"/>
      <c r="CF98" s="2"/>
      <c r="CG98" s="2"/>
      <c r="CH98" s="2"/>
      <c r="CI98" s="2" t="s">
        <v>103</v>
      </c>
      <c r="CJ98" s="2" t="s">
        <v>119</v>
      </c>
      <c r="CK98" s="2" t="s">
        <v>116</v>
      </c>
      <c r="CL98" s="2"/>
      <c r="CM98" s="2"/>
      <c r="CN98" s="2"/>
      <c r="CO98" s="2" t="s">
        <v>136</v>
      </c>
      <c r="CP98" s="2"/>
      <c r="CQ98" s="2"/>
      <c r="CR98" s="2"/>
      <c r="CS98" s="2"/>
      <c r="CT98" s="2"/>
      <c r="CU98" s="2"/>
      <c r="CV98" s="2"/>
      <c r="CW98" s="2"/>
      <c r="CX98" s="2" t="s">
        <v>119</v>
      </c>
      <c r="CY98" s="2" t="s">
        <v>116</v>
      </c>
    </row>
    <row r="99" spans="1:103" ht="15.75" customHeight="1" x14ac:dyDescent="0.2">
      <c r="A99" s="2" t="s">
        <v>147</v>
      </c>
      <c r="B99" s="2" t="s">
        <v>115</v>
      </c>
      <c r="C99" s="6" t="s">
        <v>263</v>
      </c>
      <c r="D99" s="3"/>
      <c r="E99" s="2" t="s">
        <v>103</v>
      </c>
      <c r="F99" s="2"/>
      <c r="G99" s="2"/>
      <c r="H99" s="2" t="s">
        <v>169</v>
      </c>
      <c r="I99" s="2" t="s">
        <v>169</v>
      </c>
      <c r="J99" s="2" t="s">
        <v>105</v>
      </c>
      <c r="K99" s="2"/>
      <c r="L99" s="2" t="s">
        <v>135</v>
      </c>
      <c r="M99" s="2"/>
      <c r="N99" s="2"/>
      <c r="O99" s="2" t="s">
        <v>185</v>
      </c>
      <c r="P99" s="2"/>
      <c r="Q99" s="2"/>
      <c r="R99" s="2"/>
      <c r="S99" s="2" t="s">
        <v>234</v>
      </c>
      <c r="T99" s="2" t="s">
        <v>128</v>
      </c>
      <c r="U99" s="2" t="s">
        <v>116</v>
      </c>
      <c r="V99" s="2" t="s">
        <v>128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 t="s">
        <v>110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 t="s">
        <v>109</v>
      </c>
      <c r="BG99" s="2" t="s">
        <v>129</v>
      </c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 t="s">
        <v>103</v>
      </c>
      <c r="CD99" s="2" t="s">
        <v>114</v>
      </c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3"/>
      <c r="CY99" s="3"/>
    </row>
    <row r="100" spans="1:103" ht="15.75" customHeight="1" x14ac:dyDescent="0.2">
      <c r="A100" s="2" t="s">
        <v>111</v>
      </c>
      <c r="B100" s="2" t="s">
        <v>115</v>
      </c>
      <c r="C100" s="6" t="s">
        <v>263</v>
      </c>
      <c r="D100" s="3"/>
      <c r="E100" s="2"/>
      <c r="F100" s="2"/>
      <c r="G100" s="2" t="s">
        <v>103</v>
      </c>
      <c r="H100" s="2" t="s">
        <v>116</v>
      </c>
      <c r="I100" s="2" t="s">
        <v>116</v>
      </c>
      <c r="J100" s="2" t="s">
        <v>215</v>
      </c>
      <c r="K100" s="2"/>
      <c r="L100" s="2" t="s">
        <v>237</v>
      </c>
      <c r="M100" s="2"/>
      <c r="N100" s="2"/>
      <c r="O100" s="2" t="s">
        <v>136</v>
      </c>
      <c r="P100" s="2"/>
      <c r="Q100" s="2"/>
      <c r="R100" s="2"/>
      <c r="S100" s="2" t="s">
        <v>239</v>
      </c>
      <c r="T100" s="2" t="s">
        <v>128</v>
      </c>
      <c r="U100" s="2" t="s">
        <v>128</v>
      </c>
      <c r="V100" s="2" t="s">
        <v>108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 t="s">
        <v>138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 t="s">
        <v>119</v>
      </c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3"/>
      <c r="CY100" s="3"/>
    </row>
    <row r="101" spans="1:103" ht="15.75" customHeight="1" x14ac:dyDescent="0.2">
      <c r="A101" s="2" t="s">
        <v>115</v>
      </c>
      <c r="B101" s="2" t="s">
        <v>115</v>
      </c>
      <c r="C101" s="6" t="s">
        <v>263</v>
      </c>
      <c r="D101" s="3"/>
      <c r="E101" s="2"/>
      <c r="F101" s="2"/>
      <c r="G101" s="2" t="s">
        <v>103</v>
      </c>
      <c r="H101" s="2" t="s">
        <v>113</v>
      </c>
      <c r="I101" s="2" t="s">
        <v>113</v>
      </c>
      <c r="J101" s="2" t="s">
        <v>109</v>
      </c>
      <c r="K101" s="2"/>
      <c r="L101" s="2" t="s">
        <v>121</v>
      </c>
      <c r="M101" s="2"/>
      <c r="N101" s="2" t="s">
        <v>116</v>
      </c>
      <c r="O101" s="2"/>
      <c r="P101" s="2"/>
      <c r="Q101" s="2"/>
      <c r="R101" s="2"/>
      <c r="S101" s="2" t="s">
        <v>238</v>
      </c>
      <c r="T101" s="2" t="s">
        <v>104</v>
      </c>
      <c r="U101" s="2" t="s">
        <v>103</v>
      </c>
      <c r="V101" s="2" t="s">
        <v>113</v>
      </c>
      <c r="W101" s="2"/>
      <c r="X101" s="2"/>
      <c r="Y101" s="2"/>
      <c r="Z101" s="2"/>
      <c r="AA101" s="2"/>
      <c r="AB101" s="2" t="s">
        <v>109</v>
      </c>
      <c r="AC101" s="2"/>
      <c r="AD101" s="2" t="s">
        <v>103</v>
      </c>
      <c r="AE101" s="2"/>
      <c r="AF101" s="2" t="s">
        <v>103</v>
      </c>
      <c r="AG101" s="2"/>
      <c r="AH101" s="2"/>
      <c r="AI101" s="2"/>
      <c r="AJ101" s="2" t="s">
        <v>239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 t="s">
        <v>103</v>
      </c>
      <c r="AX101" s="2"/>
      <c r="AY101" s="2"/>
      <c r="AZ101" s="2"/>
      <c r="BA101" s="2"/>
      <c r="BB101" s="2"/>
      <c r="BC101" s="2"/>
      <c r="BD101" s="2">
        <f>1/2</f>
        <v>0.5</v>
      </c>
      <c r="BE101" s="2" t="s">
        <v>128</v>
      </c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>
        <f t="shared" ref="CC101:CC102" si="11">1/4</f>
        <v>0.25</v>
      </c>
      <c r="CD101" s="2" t="s">
        <v>128</v>
      </c>
      <c r="CE101" s="2"/>
      <c r="CF101" s="2"/>
      <c r="CG101" s="2"/>
      <c r="CH101" s="2"/>
      <c r="CI101" s="2">
        <f>1/2</f>
        <v>0.5</v>
      </c>
      <c r="CJ101" s="2" t="s">
        <v>111</v>
      </c>
      <c r="CK101" s="2" t="s">
        <v>128</v>
      </c>
      <c r="CL101" s="2"/>
      <c r="CM101" s="2"/>
      <c r="CN101" s="2"/>
      <c r="CO101" s="2" t="s">
        <v>144</v>
      </c>
      <c r="CP101" s="2"/>
      <c r="CQ101" s="2"/>
      <c r="CR101" s="2"/>
      <c r="CS101" s="2"/>
      <c r="CT101" s="2"/>
      <c r="CU101" s="2"/>
      <c r="CV101" s="2"/>
      <c r="CW101" s="2"/>
      <c r="CX101" s="3"/>
      <c r="CY101" s="3"/>
    </row>
    <row r="102" spans="1:103" ht="15.75" customHeight="1" x14ac:dyDescent="0.2">
      <c r="A102" s="2" t="s">
        <v>103</v>
      </c>
      <c r="B102" s="2" t="s">
        <v>156</v>
      </c>
      <c r="C102" s="6" t="s">
        <v>263</v>
      </c>
      <c r="D102" s="3"/>
      <c r="E102" s="2" t="s">
        <v>103</v>
      </c>
      <c r="F102" s="2"/>
      <c r="G102" s="2"/>
      <c r="H102" s="2" t="s">
        <v>115</v>
      </c>
      <c r="I102" s="2" t="s">
        <v>115</v>
      </c>
      <c r="J102" s="2"/>
      <c r="K102" s="2"/>
      <c r="L102" s="2" t="s">
        <v>262</v>
      </c>
      <c r="M102" s="2"/>
      <c r="N102" s="2" t="s">
        <v>128</v>
      </c>
      <c r="O102" s="2"/>
      <c r="P102" s="2"/>
      <c r="Q102" s="2" t="s">
        <v>119</v>
      </c>
      <c r="R102" s="2" t="s">
        <v>104</v>
      </c>
      <c r="S102" s="2" t="s">
        <v>116</v>
      </c>
      <c r="T102" s="2" t="s">
        <v>109</v>
      </c>
      <c r="U102" s="2" t="s">
        <v>147</v>
      </c>
      <c r="V102" s="2" t="s">
        <v>109</v>
      </c>
      <c r="W102" s="2"/>
      <c r="X102" s="2"/>
      <c r="Y102" s="2"/>
      <c r="Z102" s="2"/>
      <c r="AA102" s="2"/>
      <c r="AB102" s="2" t="s">
        <v>103</v>
      </c>
      <c r="AC102" s="2"/>
      <c r="AD102" s="2" t="s">
        <v>103</v>
      </c>
      <c r="AE102" s="2"/>
      <c r="AF102" s="2" t="s">
        <v>103</v>
      </c>
      <c r="AG102" s="2"/>
      <c r="AH102" s="2"/>
      <c r="AI102" s="2"/>
      <c r="AJ102" s="2" t="s">
        <v>105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 t="s">
        <v>103</v>
      </c>
      <c r="AW102" s="2"/>
      <c r="AX102" s="2" t="s">
        <v>115</v>
      </c>
      <c r="AY102" s="2" t="s">
        <v>129</v>
      </c>
      <c r="AZ102" s="2"/>
      <c r="BA102" s="2"/>
      <c r="BB102" s="2"/>
      <c r="BC102" s="2"/>
      <c r="BD102" s="2">
        <f>4/8</f>
        <v>0.5</v>
      </c>
      <c r="BE102" s="2" t="s">
        <v>112</v>
      </c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>
        <f t="shared" si="11"/>
        <v>0.25</v>
      </c>
      <c r="CD102" s="2" t="s">
        <v>114</v>
      </c>
      <c r="CE102" s="2"/>
      <c r="CF102" s="2"/>
      <c r="CG102" s="2"/>
      <c r="CH102" s="2"/>
      <c r="CI102" s="2"/>
      <c r="CJ102" s="2" t="s">
        <v>147</v>
      </c>
      <c r="CK102" s="2" t="s">
        <v>114</v>
      </c>
      <c r="CL102" s="2"/>
      <c r="CM102" s="2"/>
      <c r="CN102" s="2"/>
      <c r="CO102" s="4" t="s">
        <v>144</v>
      </c>
      <c r="CP102" s="2"/>
      <c r="CQ102" s="2"/>
      <c r="CR102" s="2"/>
      <c r="CS102" s="2"/>
      <c r="CT102" s="2"/>
      <c r="CU102" s="2"/>
      <c r="CV102" s="2"/>
      <c r="CW102" s="2"/>
      <c r="CX102" s="3"/>
      <c r="CY102" s="3"/>
    </row>
    <row r="103" spans="1:103" ht="15.75" customHeight="1" x14ac:dyDescent="0.2">
      <c r="A103" s="2" t="s">
        <v>109</v>
      </c>
      <c r="B103" s="2" t="s">
        <v>156</v>
      </c>
      <c r="C103" s="6" t="s">
        <v>263</v>
      </c>
      <c r="D103" s="3"/>
      <c r="E103" s="2" t="s">
        <v>103</v>
      </c>
      <c r="F103" s="2"/>
      <c r="G103" s="2"/>
      <c r="H103" s="2" t="s">
        <v>181</v>
      </c>
      <c r="I103" s="2" t="s">
        <v>181</v>
      </c>
      <c r="J103" s="2" t="s">
        <v>122</v>
      </c>
      <c r="K103" s="2"/>
      <c r="L103" s="2" t="s">
        <v>121</v>
      </c>
      <c r="M103" s="2" t="s">
        <v>120</v>
      </c>
      <c r="N103" s="2" t="s">
        <v>127</v>
      </c>
      <c r="O103" s="2" t="s">
        <v>147</v>
      </c>
      <c r="P103" s="2"/>
      <c r="Q103" s="2" t="s">
        <v>120</v>
      </c>
      <c r="R103" s="2"/>
      <c r="S103" s="2" t="s">
        <v>110</v>
      </c>
      <c r="T103" s="2" t="s">
        <v>128</v>
      </c>
      <c r="U103" s="2" t="s">
        <v>219</v>
      </c>
      <c r="V103" s="2" t="s">
        <v>130</v>
      </c>
      <c r="W103" s="2"/>
      <c r="X103" s="2"/>
      <c r="Y103" s="2" t="s">
        <v>109</v>
      </c>
      <c r="Z103" s="2"/>
      <c r="AA103" s="2"/>
      <c r="AB103" s="2" t="s">
        <v>104</v>
      </c>
      <c r="AC103" s="2"/>
      <c r="AD103" s="2"/>
      <c r="AE103" s="2"/>
      <c r="AF103" s="2"/>
      <c r="AG103" s="2"/>
      <c r="AH103" s="2"/>
      <c r="AI103" s="2"/>
      <c r="AJ103" s="2" t="s">
        <v>107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 t="s">
        <v>103</v>
      </c>
      <c r="AW103" s="2"/>
      <c r="AX103" s="2" t="s">
        <v>147</v>
      </c>
      <c r="AY103" s="2" t="s">
        <v>126</v>
      </c>
      <c r="AZ103" s="2"/>
      <c r="BA103" s="2"/>
      <c r="BB103" s="2"/>
      <c r="BC103" s="2"/>
      <c r="BD103" s="2" t="s">
        <v>103</v>
      </c>
      <c r="BE103" s="2" t="s">
        <v>115</v>
      </c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>
        <f>3/4</f>
        <v>0.75</v>
      </c>
      <c r="CD103" s="2" t="s">
        <v>126</v>
      </c>
      <c r="CE103" s="2"/>
      <c r="CF103" s="2"/>
      <c r="CG103" s="2"/>
      <c r="CH103" s="2"/>
      <c r="CI103" s="2" t="s">
        <v>103</v>
      </c>
      <c r="CJ103" s="2" t="s">
        <v>128</v>
      </c>
      <c r="CK103" s="2" t="s">
        <v>126</v>
      </c>
      <c r="CL103" s="2"/>
      <c r="CM103" s="2"/>
      <c r="CN103" s="2"/>
      <c r="CO103" s="4" t="s">
        <v>151</v>
      </c>
      <c r="CP103" s="2"/>
      <c r="CQ103" s="2"/>
      <c r="CR103" s="2"/>
      <c r="CS103" s="2"/>
      <c r="CT103" s="2"/>
      <c r="CU103" s="2"/>
      <c r="CV103" s="2"/>
      <c r="CW103" s="2"/>
      <c r="CX103" s="2" t="s">
        <v>105</v>
      </c>
      <c r="CY103" s="2" t="s">
        <v>110</v>
      </c>
    </row>
    <row r="104" spans="1:103" ht="15.75" customHeight="1" x14ac:dyDescent="0.2">
      <c r="A104" s="2" t="s">
        <v>104</v>
      </c>
      <c r="B104" s="2" t="s">
        <v>156</v>
      </c>
      <c r="C104" s="6" t="s">
        <v>263</v>
      </c>
      <c r="D104" s="3"/>
      <c r="E104" s="2"/>
      <c r="F104" s="2"/>
      <c r="G104" s="2" t="s">
        <v>103</v>
      </c>
      <c r="H104" s="2" t="s">
        <v>128</v>
      </c>
      <c r="I104" s="2" t="s">
        <v>128</v>
      </c>
      <c r="J104" s="2" t="s">
        <v>116</v>
      </c>
      <c r="K104" s="2"/>
      <c r="L104" s="2" t="s">
        <v>242</v>
      </c>
      <c r="M104" s="2"/>
      <c r="N104" s="2"/>
      <c r="O104" s="2" t="s">
        <v>112</v>
      </c>
      <c r="P104" s="2"/>
      <c r="Q104" s="2"/>
      <c r="R104" s="2"/>
      <c r="S104" s="2" t="s">
        <v>116</v>
      </c>
      <c r="T104" s="2" t="s">
        <v>142</v>
      </c>
      <c r="U104" s="2" t="s">
        <v>188</v>
      </c>
      <c r="V104" s="2" t="s">
        <v>113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 t="s">
        <v>103</v>
      </c>
      <c r="BG104" s="2" t="s">
        <v>119</v>
      </c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 t="s">
        <v>103</v>
      </c>
      <c r="CJ104" s="2" t="s">
        <v>119</v>
      </c>
      <c r="CK104" s="2" t="s">
        <v>120</v>
      </c>
      <c r="CL104" s="2"/>
      <c r="CM104" s="2"/>
      <c r="CN104" s="2"/>
      <c r="CO104" s="4" t="s">
        <v>146</v>
      </c>
      <c r="CP104" s="2"/>
      <c r="CQ104" s="2"/>
      <c r="CR104" s="2"/>
      <c r="CS104" s="2"/>
      <c r="CT104" s="2"/>
      <c r="CU104" s="2"/>
      <c r="CV104" s="2"/>
      <c r="CW104" s="2"/>
      <c r="CX104" s="3"/>
      <c r="CY104" s="3"/>
    </row>
    <row r="105" spans="1:103" ht="15.75" customHeight="1" x14ac:dyDescent="0.2">
      <c r="A105" s="2" t="s">
        <v>113</v>
      </c>
      <c r="B105" s="2" t="s">
        <v>156</v>
      </c>
      <c r="C105" s="6" t="s">
        <v>263</v>
      </c>
      <c r="D105" s="3"/>
      <c r="E105" s="2" t="s">
        <v>103</v>
      </c>
      <c r="F105" s="2"/>
      <c r="G105" s="2"/>
      <c r="H105" s="2" t="s">
        <v>126</v>
      </c>
      <c r="I105" s="2" t="s">
        <v>126</v>
      </c>
      <c r="J105" s="2" t="s">
        <v>131</v>
      </c>
      <c r="K105" s="2"/>
      <c r="L105" s="2" t="s">
        <v>132</v>
      </c>
      <c r="M105" s="2"/>
      <c r="N105" s="2"/>
      <c r="O105" s="2"/>
      <c r="P105" s="2"/>
      <c r="Q105" s="2"/>
      <c r="R105" s="2"/>
      <c r="S105" s="2"/>
      <c r="T105" s="2" t="s">
        <v>126</v>
      </c>
      <c r="U105" s="2"/>
      <c r="V105" s="2" t="s">
        <v>200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4">
        <f>1 + (1/2)</f>
        <v>1.5</v>
      </c>
      <c r="CJ105" s="2" t="s">
        <v>116</v>
      </c>
      <c r="CK105" s="2" t="s">
        <v>129</v>
      </c>
      <c r="CL105" s="2"/>
      <c r="CM105" s="2"/>
      <c r="CN105" s="2"/>
      <c r="CO105" s="4" t="s">
        <v>176</v>
      </c>
      <c r="CP105" s="2"/>
      <c r="CQ105" s="2"/>
      <c r="CR105" s="2"/>
      <c r="CS105" s="2"/>
      <c r="CT105" s="2"/>
      <c r="CU105" s="2"/>
      <c r="CV105" s="2"/>
      <c r="CW105" s="2"/>
      <c r="CX105" s="3"/>
      <c r="CY105" s="3"/>
    </row>
    <row r="106" spans="1:103" ht="15.75" customHeight="1" x14ac:dyDescent="0.2">
      <c r="A106" s="2" t="s">
        <v>112</v>
      </c>
      <c r="B106" s="2" t="s">
        <v>156</v>
      </c>
      <c r="C106" s="6" t="s">
        <v>263</v>
      </c>
      <c r="D106" s="3"/>
      <c r="E106" s="2" t="s">
        <v>103</v>
      </c>
      <c r="F106" s="2"/>
      <c r="G106" s="2"/>
      <c r="H106" s="2"/>
      <c r="I106" s="2" t="s">
        <v>129</v>
      </c>
      <c r="J106" s="2" t="s">
        <v>127</v>
      </c>
      <c r="K106" s="2"/>
      <c r="L106" s="2" t="s">
        <v>237</v>
      </c>
      <c r="M106" s="2"/>
      <c r="N106" s="2" t="s">
        <v>116</v>
      </c>
      <c r="O106" s="2"/>
      <c r="P106" s="2"/>
      <c r="Q106" s="2"/>
      <c r="R106" s="2"/>
      <c r="S106" s="2"/>
      <c r="T106" s="2" t="s">
        <v>116</v>
      </c>
      <c r="U106" s="2" t="s">
        <v>128</v>
      </c>
      <c r="V106" s="2" t="s">
        <v>128</v>
      </c>
      <c r="W106" s="2"/>
      <c r="X106" s="2"/>
      <c r="Y106" s="2" t="s">
        <v>103</v>
      </c>
      <c r="Z106" s="2"/>
      <c r="AA106" s="2"/>
      <c r="AB106" s="2" t="s">
        <v>103</v>
      </c>
      <c r="AC106" s="2"/>
      <c r="AD106" s="2" t="s">
        <v>103</v>
      </c>
      <c r="AE106" s="2"/>
      <c r="AF106" s="2" t="s">
        <v>103</v>
      </c>
      <c r="AG106" s="2"/>
      <c r="AH106" s="2"/>
      <c r="AI106" s="2"/>
      <c r="AJ106" s="2" t="s">
        <v>105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3"/>
      <c r="CY106" s="3"/>
    </row>
    <row r="107" spans="1:103" ht="15.75" customHeight="1" x14ac:dyDescent="0.2">
      <c r="A107" s="2" t="s">
        <v>142</v>
      </c>
      <c r="B107" s="2" t="s">
        <v>156</v>
      </c>
      <c r="C107" s="6" t="s">
        <v>263</v>
      </c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3"/>
      <c r="CY107" s="3"/>
    </row>
    <row r="108" spans="1:103" ht="15.75" customHeight="1" x14ac:dyDescent="0.2">
      <c r="A108" s="2" t="s">
        <v>125</v>
      </c>
      <c r="B108" s="2" t="s">
        <v>156</v>
      </c>
      <c r="C108" s="6" t="s">
        <v>263</v>
      </c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3"/>
      <c r="CY108" s="3"/>
    </row>
    <row r="109" spans="1:103" ht="15.75" customHeight="1" x14ac:dyDescent="0.2">
      <c r="A109" s="2" t="s">
        <v>147</v>
      </c>
      <c r="B109" s="2" t="s">
        <v>156</v>
      </c>
      <c r="C109" s="6" t="s">
        <v>263</v>
      </c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3"/>
      <c r="CY109" s="3"/>
    </row>
    <row r="110" spans="1:103" ht="15.75" customHeight="1" x14ac:dyDescent="0.2">
      <c r="A110" s="2" t="s">
        <v>111</v>
      </c>
      <c r="B110" s="2" t="s">
        <v>156</v>
      </c>
      <c r="C110" s="6" t="s">
        <v>263</v>
      </c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3"/>
      <c r="CY110" s="3"/>
    </row>
    <row r="111" spans="1:103" ht="15.75" customHeight="1" x14ac:dyDescent="0.2">
      <c r="A111" s="2" t="s">
        <v>115</v>
      </c>
      <c r="B111" s="2" t="s">
        <v>156</v>
      </c>
      <c r="C111" s="6" t="s">
        <v>263</v>
      </c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3"/>
      <c r="CY111" s="3"/>
    </row>
    <row r="112" spans="1:103" ht="15.75" customHeight="1" x14ac:dyDescent="0.2">
      <c r="A112" s="3"/>
      <c r="B112" s="3"/>
      <c r="C112" s="3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3"/>
      <c r="CY112" s="3"/>
    </row>
    <row r="113" spans="1:103" ht="15.75" customHeight="1" x14ac:dyDescent="0.2">
      <c r="A113" s="3"/>
      <c r="B113" s="3"/>
      <c r="C113" s="3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3"/>
      <c r="CY113" s="3"/>
    </row>
    <row r="114" spans="1:103" ht="15.75" customHeight="1" x14ac:dyDescent="0.2">
      <c r="A114" s="3"/>
      <c r="B114" s="3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3"/>
      <c r="CY114" s="3"/>
    </row>
    <row r="115" spans="1:103" ht="15.75" customHeight="1" x14ac:dyDescent="0.2">
      <c r="A115" s="3"/>
      <c r="B115" s="3"/>
      <c r="C115" s="3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3"/>
      <c r="CY115" s="3"/>
    </row>
    <row r="116" spans="1:103" ht="15.75" customHeight="1" x14ac:dyDescent="0.2">
      <c r="A116" s="3"/>
      <c r="B116" s="3"/>
      <c r="C116" s="3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3"/>
      <c r="CY116" s="3"/>
    </row>
    <row r="117" spans="1:103" ht="15.75" customHeight="1" x14ac:dyDescent="0.2">
      <c r="A117" s="3"/>
      <c r="B117" s="3"/>
      <c r="C117" s="3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3"/>
      <c r="CY117" s="3"/>
    </row>
    <row r="118" spans="1:103" ht="15.75" customHeight="1" x14ac:dyDescent="0.2">
      <c r="A118" s="3"/>
      <c r="B118" s="3"/>
      <c r="C118" s="3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3"/>
      <c r="CY118" s="3"/>
    </row>
    <row r="119" spans="1:103" ht="15.75" customHeight="1" x14ac:dyDescent="0.2">
      <c r="A119" s="3"/>
      <c r="B119" s="3"/>
      <c r="C119" s="3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3"/>
      <c r="CY119" s="3"/>
    </row>
    <row r="120" spans="1:103" ht="15.75" customHeight="1" x14ac:dyDescent="0.2">
      <c r="A120" s="3"/>
      <c r="B120" s="3"/>
      <c r="C120" s="3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3"/>
      <c r="CY120" s="3"/>
    </row>
    <row r="121" spans="1:103" ht="15.75" customHeight="1" x14ac:dyDescent="0.2">
      <c r="A121" s="3"/>
      <c r="B121" s="3"/>
      <c r="C121" s="3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3"/>
      <c r="CY121" s="3"/>
    </row>
    <row r="122" spans="1:103" ht="15.75" customHeight="1" x14ac:dyDescent="0.2">
      <c r="A122" s="3"/>
      <c r="B122" s="3"/>
      <c r="C122" s="3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3"/>
      <c r="CY122" s="3"/>
    </row>
    <row r="123" spans="1:103" ht="15.75" customHeight="1" x14ac:dyDescent="0.2">
      <c r="A123" s="3"/>
      <c r="B123" s="3"/>
      <c r="C123" s="3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3"/>
      <c r="CY123" s="3"/>
    </row>
    <row r="124" spans="1:103" ht="15.75" customHeight="1" x14ac:dyDescent="0.2">
      <c r="A124" s="3"/>
      <c r="B124" s="3"/>
      <c r="C124" s="3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3"/>
      <c r="CY124" s="3"/>
    </row>
    <row r="125" spans="1:103" ht="15.75" customHeight="1" x14ac:dyDescent="0.2">
      <c r="A125" s="3"/>
      <c r="B125" s="3"/>
      <c r="C125" s="3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3"/>
      <c r="CY125" s="3"/>
    </row>
    <row r="126" spans="1:103" ht="15.75" customHeight="1" x14ac:dyDescent="0.2">
      <c r="A126" s="3"/>
      <c r="B126" s="3"/>
      <c r="C126" s="3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3"/>
      <c r="CY126" s="3"/>
    </row>
    <row r="127" spans="1:103" ht="15.75" customHeight="1" x14ac:dyDescent="0.2">
      <c r="A127" s="3"/>
      <c r="B127" s="3"/>
      <c r="C127" s="3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3"/>
      <c r="CY127" s="3"/>
    </row>
    <row r="128" spans="1:103" ht="15.75" customHeight="1" x14ac:dyDescent="0.2">
      <c r="A128" s="3"/>
      <c r="B128" s="3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3"/>
      <c r="CY128" s="3"/>
    </row>
    <row r="129" spans="1:103" ht="15.75" customHeight="1" x14ac:dyDescent="0.2">
      <c r="A129" s="3"/>
      <c r="B129" s="3"/>
      <c r="C129" s="3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3"/>
      <c r="CY129" s="3"/>
    </row>
    <row r="130" spans="1:103" ht="15.75" customHeight="1" x14ac:dyDescent="0.2">
      <c r="A130" s="3"/>
      <c r="B130" s="3"/>
      <c r="C130" s="3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3"/>
      <c r="CY130" s="3"/>
    </row>
    <row r="131" spans="1:103" ht="15.75" customHeight="1" x14ac:dyDescent="0.2">
      <c r="A131" s="3"/>
      <c r="B131" s="3"/>
      <c r="C131" s="3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3"/>
      <c r="CY131" s="3"/>
    </row>
    <row r="132" spans="1:103" ht="15.75" customHeight="1" x14ac:dyDescent="0.2">
      <c r="A132" s="3"/>
      <c r="B132" s="3"/>
      <c r="C132" s="3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3"/>
      <c r="CY132" s="3"/>
    </row>
    <row r="133" spans="1:103" ht="15.75" customHeight="1" x14ac:dyDescent="0.2">
      <c r="A133" s="3"/>
      <c r="B133" s="3"/>
      <c r="C133" s="3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3"/>
      <c r="CY133" s="3"/>
    </row>
    <row r="134" spans="1:103" ht="15.75" customHeight="1" x14ac:dyDescent="0.2">
      <c r="A134" s="3"/>
      <c r="B134" s="3"/>
      <c r="C134" s="3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3"/>
      <c r="CY134" s="3"/>
    </row>
    <row r="135" spans="1:103" ht="15.75" customHeight="1" x14ac:dyDescent="0.2">
      <c r="A135" s="3"/>
      <c r="B135" s="3"/>
      <c r="C135" s="3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3"/>
      <c r="CY135" s="3"/>
    </row>
    <row r="136" spans="1:103" ht="15.75" customHeight="1" x14ac:dyDescent="0.2">
      <c r="A136" s="3"/>
      <c r="B136" s="3"/>
      <c r="C136" s="3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3"/>
      <c r="CY136" s="3"/>
    </row>
    <row r="137" spans="1:103" ht="15.75" customHeight="1" x14ac:dyDescent="0.2">
      <c r="A137" s="3"/>
      <c r="B137" s="3"/>
      <c r="C137" s="3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3"/>
      <c r="CY137" s="3"/>
    </row>
    <row r="138" spans="1:103" ht="15.75" customHeight="1" x14ac:dyDescent="0.2">
      <c r="A138" s="3"/>
      <c r="B138" s="3"/>
      <c r="C138" s="3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3"/>
      <c r="CY138" s="3"/>
    </row>
    <row r="139" spans="1:103" ht="15.75" customHeight="1" x14ac:dyDescent="0.2">
      <c r="A139" s="3"/>
      <c r="B139" s="3"/>
      <c r="C139" s="3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3"/>
      <c r="CY139" s="3"/>
    </row>
    <row r="140" spans="1:103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spans="1:103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spans="1:103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spans="1:103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spans="1:103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spans="1:103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spans="1:103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spans="1:103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spans="1:103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spans="1:103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spans="1:103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spans="1:103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spans="1:10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spans="1:10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spans="1:10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spans="1:10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spans="1:10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spans="1:10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spans="1:10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spans="1:10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spans="1:10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spans="1:103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spans="1:10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spans="1:10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spans="1:10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spans="1:10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spans="1:10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spans="1:10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spans="1:10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spans="1:10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spans="1:10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spans="1:10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spans="1:10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spans="1:10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spans="1:10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spans="1:10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spans="1:10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spans="1:10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spans="1:10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spans="1:10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spans="1:10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spans="1:10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spans="1:10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spans="1:10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spans="1:10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spans="1:10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spans="1:10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spans="1:10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spans="1:10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spans="1:10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spans="1:10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spans="1:10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spans="1:10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spans="1:10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spans="1:10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spans="1:10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spans="1:10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spans="1:10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spans="1:10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spans="1:10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spans="1:10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spans="1:10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spans="1:10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spans="1:10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spans="1:10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spans="1:10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spans="1:10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spans="1:10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spans="1:10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spans="1:10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spans="1:10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spans="1:10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spans="1:10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spans="1:10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spans="1:10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spans="1:10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spans="1:10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spans="1:10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spans="1:10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spans="1:10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spans="1:10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spans="1:10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spans="1:10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spans="1:10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spans="1:10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spans="1:10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spans="1:10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spans="1:10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spans="1:10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spans="1:10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spans="1:10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spans="1:10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spans="1:10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spans="1:10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spans="1:10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spans="1:10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spans="1:10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spans="1:10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spans="1:10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spans="1:10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spans="1:10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spans="1:10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spans="1:10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spans="1:10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spans="1:10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spans="1:10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spans="1:10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spans="1:10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spans="1:10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spans="1:10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spans="1:10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spans="1:10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spans="1:10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spans="1:10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spans="1:10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spans="1:10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spans="1:10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spans="1:10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spans="1:10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spans="1:10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spans="1:10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spans="1:10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spans="1:10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spans="1:10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spans="1:10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spans="1:10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spans="1:10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spans="1:10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spans="1:10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spans="1:10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spans="1:10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spans="1:10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spans="1:10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spans="1:10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spans="1:10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spans="1:10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spans="1:10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spans="1:10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spans="1:10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spans="1:10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spans="1:10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spans="1:10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spans="1:10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spans="1:10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spans="1:10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spans="1:10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spans="1:10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spans="1:10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spans="1:10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spans="1:10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spans="1:10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spans="1:10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spans="1:10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spans="1:10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spans="1:10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spans="1:10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spans="1:10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spans="1:10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spans="1:10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spans="1:10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spans="1:10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spans="1:10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spans="1:10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spans="1:10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spans="1:10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spans="1:10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spans="1:10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spans="1:10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spans="1:10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spans="1:10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spans="1:10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spans="1:10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1880_Hancock_NoNames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Gregg, Amanda</cp:lastModifiedBy>
  <dcterms:modified xsi:type="dcterms:W3CDTF">2025-08-21T14:53:34Z</dcterms:modified>
</cp:coreProperties>
</file>