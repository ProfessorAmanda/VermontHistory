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80_Salisbury" sheetId="1" r:id="rId4"/>
  </sheets>
  <definedNames/>
  <calcPr/>
</workbook>
</file>

<file path=xl/sharedStrings.xml><?xml version="1.0" encoding="utf-8"?>
<sst xmlns="http://schemas.openxmlformats.org/spreadsheetml/2006/main" count="4392" uniqueCount="343">
  <si>
    <t>rown</t>
  </si>
  <si>
    <t>pg_num</t>
  </si>
  <si>
    <t>town</t>
  </si>
  <si>
    <t>Name Original</t>
  </si>
  <si>
    <t>owner</t>
  </si>
  <si>
    <t>monthly_rental</t>
  </si>
  <si>
    <t>share_rental</t>
  </si>
  <si>
    <t>tilled</t>
  </si>
  <si>
    <t>meadow</t>
  </si>
  <si>
    <t>woodland</t>
  </si>
  <si>
    <t>other_unimproved</t>
  </si>
  <si>
    <t>cash_val</t>
  </si>
  <si>
    <t>machine_val</t>
  </si>
  <si>
    <t>livestock_val</t>
  </si>
  <si>
    <t>cost_fences</t>
  </si>
  <si>
    <t>cost_fertilizers</t>
  </si>
  <si>
    <t>wages</t>
  </si>
  <si>
    <t>weeks_hired</t>
  </si>
  <si>
    <t>total_val</t>
  </si>
  <si>
    <t>mown_grass</t>
  </si>
  <si>
    <t>unmown_grass</t>
  </si>
  <si>
    <t>hay</t>
  </si>
  <si>
    <t>clover</t>
  </si>
  <si>
    <t>grass</t>
  </si>
  <si>
    <t>horse</t>
  </si>
  <si>
    <t>mules</t>
  </si>
  <si>
    <t>oxen</t>
  </si>
  <si>
    <t>milkcow</t>
  </si>
  <si>
    <t>cattle</t>
  </si>
  <si>
    <t>calves</t>
  </si>
  <si>
    <t>cattle_purchased</t>
  </si>
  <si>
    <t>cattle_soldliving</t>
  </si>
  <si>
    <t>cattle_slaughtered</t>
  </si>
  <si>
    <t>cattle_lost</t>
  </si>
  <si>
    <t>milk</t>
  </si>
  <si>
    <t>butter</t>
  </si>
  <si>
    <t>cheese</t>
  </si>
  <si>
    <t>sheep</t>
  </si>
  <si>
    <t>lambs_dropped</t>
  </si>
  <si>
    <t>sheep_purchased</t>
  </si>
  <si>
    <t>sheep_soldliving</t>
  </si>
  <si>
    <t>sheep_slaughtered</t>
  </si>
  <si>
    <t>sheep_killed</t>
  </si>
  <si>
    <t>sheep_disease</t>
  </si>
  <si>
    <t>sheep_stress</t>
  </si>
  <si>
    <t>fleeces_num</t>
  </si>
  <si>
    <t>fleeces_wt</t>
  </si>
  <si>
    <t>swine</t>
  </si>
  <si>
    <t>barnyard_poultry</t>
  </si>
  <si>
    <t>other_poultry</t>
  </si>
  <si>
    <t>eggs</t>
  </si>
  <si>
    <t>barley_acres</t>
  </si>
  <si>
    <t>barley</t>
  </si>
  <si>
    <t>buckwheat_acres</t>
  </si>
  <si>
    <t>buckwheat</t>
  </si>
  <si>
    <t>corn_acres</t>
  </si>
  <si>
    <t>corn</t>
  </si>
  <si>
    <t>oats_acres</t>
  </si>
  <si>
    <t>oats</t>
  </si>
  <si>
    <t>rye_acres</t>
  </si>
  <si>
    <t>rye</t>
  </si>
  <si>
    <t>wheat_acres</t>
  </si>
  <si>
    <t>wheat</t>
  </si>
  <si>
    <t>peas</t>
  </si>
  <si>
    <t>beans</t>
  </si>
  <si>
    <t>flax_acres</t>
  </si>
  <si>
    <t>flaxseed</t>
  </si>
  <si>
    <t>flaxstraw</t>
  </si>
  <si>
    <t>flax</t>
  </si>
  <si>
    <t>hemp_acres</t>
  </si>
  <si>
    <t>hemp</t>
  </si>
  <si>
    <t>sorghum_acres</t>
  </si>
  <si>
    <t>sorghum_sugar</t>
  </si>
  <si>
    <t>sorghum_molasses</t>
  </si>
  <si>
    <t>maplesugar</t>
  </si>
  <si>
    <t>maple_molasses</t>
  </si>
  <si>
    <t>broomcorn_acres</t>
  </si>
  <si>
    <t>broomcorn</t>
  </si>
  <si>
    <t>hops_acres</t>
  </si>
  <si>
    <t>hops</t>
  </si>
  <si>
    <t>potatoes_acres</t>
  </si>
  <si>
    <t>potatoes</t>
  </si>
  <si>
    <t>sweetpotatoes_acres</t>
  </si>
  <si>
    <t>sweetpotatoes</t>
  </si>
  <si>
    <t>tobacco_acres</t>
  </si>
  <si>
    <t>tobacco</t>
  </si>
  <si>
    <t>apple_acres</t>
  </si>
  <si>
    <t>apple_trees</t>
  </si>
  <si>
    <t>apples</t>
  </si>
  <si>
    <t>peach_acres</t>
  </si>
  <si>
    <t>peach_trees</t>
  </si>
  <si>
    <t>peaches</t>
  </si>
  <si>
    <t>orchard_val</t>
  </si>
  <si>
    <t>nursery_acres</t>
  </si>
  <si>
    <t>nursery_val</t>
  </si>
  <si>
    <t>vineyard_acres</t>
  </si>
  <si>
    <t>grapes</t>
  </si>
  <si>
    <t>wine</t>
  </si>
  <si>
    <t>produce_val</t>
  </si>
  <si>
    <t>honey</t>
  </si>
  <si>
    <t>beeswax</t>
  </si>
  <si>
    <t>wood</t>
  </si>
  <si>
    <t>forest_val</t>
  </si>
  <si>
    <t>1</t>
  </si>
  <si>
    <t>Salisbury</t>
  </si>
  <si>
    <t>80</t>
  </si>
  <si>
    <t>45</t>
  </si>
  <si>
    <t>25</t>
  </si>
  <si>
    <t>7000</t>
  </si>
  <si>
    <t>75</t>
  </si>
  <si>
    <t>650</t>
  </si>
  <si>
    <t>10</t>
  </si>
  <si>
    <t>150</t>
  </si>
  <si>
    <t>40</t>
  </si>
  <si>
    <t>400</t>
  </si>
  <si>
    <t>60</t>
  </si>
  <si>
    <t>3</t>
  </si>
  <si>
    <t>13</t>
  </si>
  <si>
    <t>5</t>
  </si>
  <si>
    <t>12</t>
  </si>
  <si>
    <t>15</t>
  </si>
  <si>
    <t>1400</t>
  </si>
  <si>
    <t>35</t>
  </si>
  <si>
    <t>50</t>
  </si>
  <si>
    <t>6</t>
  </si>
  <si>
    <t>4</t>
  </si>
  <si>
    <t>105</t>
  </si>
  <si>
    <t>16</t>
  </si>
  <si>
    <t>70</t>
  </si>
  <si>
    <t>200</t>
  </si>
  <si>
    <t>2</t>
  </si>
  <si>
    <t>500</t>
  </si>
  <si>
    <t>100</t>
  </si>
  <si>
    <t>30</t>
  </si>
  <si>
    <t>8</t>
  </si>
  <si>
    <t>2000</t>
  </si>
  <si>
    <t>350</t>
  </si>
  <si>
    <t>20</t>
  </si>
  <si>
    <t>160</t>
  </si>
  <si>
    <t>250</t>
  </si>
  <si>
    <t>37</t>
  </si>
  <si>
    <t>14</t>
  </si>
  <si>
    <t>185</t>
  </si>
  <si>
    <t>140</t>
  </si>
  <si>
    <t>8000</t>
  </si>
  <si>
    <t>800</t>
  </si>
  <si>
    <t>56</t>
  </si>
  <si>
    <t>525</t>
  </si>
  <si>
    <t>11</t>
  </si>
  <si>
    <t>1200</t>
  </si>
  <si>
    <t>300</t>
  </si>
  <si>
    <t>90</t>
  </si>
  <si>
    <t>550</t>
  </si>
  <si>
    <t>48</t>
  </si>
  <si>
    <t>210</t>
  </si>
  <si>
    <t>700</t>
  </si>
  <si>
    <t>18</t>
  </si>
  <si>
    <t>7</t>
  </si>
  <si>
    <t>55</t>
  </si>
  <si>
    <t>1000</t>
  </si>
  <si>
    <t>32</t>
  </si>
  <si>
    <t>750</t>
  </si>
  <si>
    <t>21</t>
  </si>
  <si>
    <t>2500</t>
  </si>
  <si>
    <t>28</t>
  </si>
  <si>
    <t>4000</t>
  </si>
  <si>
    <t>420</t>
  </si>
  <si>
    <t>9</t>
  </si>
  <si>
    <t>130</t>
  </si>
  <si>
    <t>24</t>
  </si>
  <si>
    <t>3000</t>
  </si>
  <si>
    <t>26</t>
  </si>
  <si>
    <t>120</t>
  </si>
  <si>
    <t>95</t>
  </si>
  <si>
    <t>6000</t>
  </si>
  <si>
    <t>900</t>
  </si>
  <si>
    <t>175</t>
  </si>
  <si>
    <t>52</t>
  </si>
  <si>
    <t>1100</t>
  </si>
  <si>
    <t>190</t>
  </si>
  <si>
    <t>22</t>
  </si>
  <si>
    <t>17</t>
  </si>
  <si>
    <t>1500</t>
  </si>
  <si>
    <t>450</t>
  </si>
  <si>
    <t>2700</t>
  </si>
  <si>
    <t>375</t>
  </si>
  <si>
    <t>600</t>
  </si>
  <si>
    <t>33</t>
  </si>
  <si>
    <t>275</t>
  </si>
  <si>
    <t>0</t>
  </si>
  <si>
    <t>405</t>
  </si>
  <si>
    <t>65</t>
  </si>
  <si>
    <t>330</t>
  </si>
  <si>
    <t>36</t>
  </si>
  <si>
    <t>98</t>
  </si>
  <si>
    <t>88</t>
  </si>
  <si>
    <t>2250</t>
  </si>
  <si>
    <t>125</t>
  </si>
  <si>
    <t>42</t>
  </si>
  <si>
    <t>4500</t>
  </si>
  <si>
    <t>540</t>
  </si>
  <si>
    <t>455</t>
  </si>
  <si>
    <t>23</t>
  </si>
  <si>
    <t>3500</t>
  </si>
  <si>
    <t>725</t>
  </si>
  <si>
    <t>92</t>
  </si>
  <si>
    <t>225</t>
  </si>
  <si>
    <t>875</t>
  </si>
  <si>
    <t>1050</t>
  </si>
  <si>
    <t>62</t>
  </si>
  <si>
    <t>110</t>
  </si>
  <si>
    <t>19</t>
  </si>
  <si>
    <t>435</t>
  </si>
  <si>
    <t>425</t>
  </si>
  <si>
    <t>34</t>
  </si>
  <si>
    <t>580</t>
  </si>
  <si>
    <t>31</t>
  </si>
  <si>
    <t>850</t>
  </si>
  <si>
    <t>83</t>
  </si>
  <si>
    <t>325</t>
  </si>
  <si>
    <t>285</t>
  </si>
  <si>
    <t>108</t>
  </si>
  <si>
    <t>1650</t>
  </si>
  <si>
    <t>85</t>
  </si>
  <si>
    <t>41</t>
  </si>
  <si>
    <t>51</t>
  </si>
  <si>
    <t>27</t>
  </si>
  <si>
    <t>2300</t>
  </si>
  <si>
    <t>87</t>
  </si>
  <si>
    <t>465</t>
  </si>
  <si>
    <t>39</t>
  </si>
  <si>
    <t>220</t>
  </si>
  <si>
    <t>8500</t>
  </si>
  <si>
    <t>104</t>
  </si>
  <si>
    <t>815</t>
  </si>
  <si>
    <t>294</t>
  </si>
  <si>
    <t>230</t>
  </si>
  <si>
    <t>1680</t>
  </si>
  <si>
    <t>740</t>
  </si>
  <si>
    <t>1800</t>
  </si>
  <si>
    <t>68</t>
  </si>
  <si>
    <t>365</t>
  </si>
  <si>
    <t>46</t>
  </si>
  <si>
    <t>29</t>
  </si>
  <si>
    <t>5000</t>
  </si>
  <si>
    <t>380</t>
  </si>
  <si>
    <t>513</t>
  </si>
  <si>
    <t>1300</t>
  </si>
  <si>
    <t>128</t>
  </si>
  <si>
    <t>133</t>
  </si>
  <si>
    <t>74</t>
  </si>
  <si>
    <t>2800</t>
  </si>
  <si>
    <t>620</t>
  </si>
  <si>
    <t>244</t>
  </si>
  <si>
    <t>149</t>
  </si>
  <si>
    <t>240</t>
  </si>
  <si>
    <t>158</t>
  </si>
  <si>
    <t>1125</t>
  </si>
  <si>
    <t>58</t>
  </si>
  <si>
    <t>165</t>
  </si>
  <si>
    <t>170</t>
  </si>
  <si>
    <t>760</t>
  </si>
  <si>
    <t>962</t>
  </si>
  <si>
    <t>260</t>
  </si>
  <si>
    <t>164</t>
  </si>
  <si>
    <t>112</t>
  </si>
  <si>
    <t>286</t>
  </si>
  <si>
    <t>123</t>
  </si>
  <si>
    <t>433</t>
  </si>
  <si>
    <t>343</t>
  </si>
  <si>
    <t>38</t>
  </si>
  <si>
    <t>3200</t>
  </si>
  <si>
    <t>447</t>
  </si>
  <si>
    <t>57</t>
  </si>
  <si>
    <t>10000</t>
  </si>
  <si>
    <t>765</t>
  </si>
  <si>
    <t>622</t>
  </si>
  <si>
    <t>180</t>
  </si>
  <si>
    <t>340</t>
  </si>
  <si>
    <t>15200</t>
  </si>
  <si>
    <t>2092</t>
  </si>
  <si>
    <t>290</t>
  </si>
  <si>
    <t>168</t>
  </si>
  <si>
    <t>575</t>
  </si>
  <si>
    <t>5600</t>
  </si>
  <si>
    <t>950</t>
  </si>
  <si>
    <t>79</t>
  </si>
  <si>
    <t>560</t>
  </si>
  <si>
    <t>5500</t>
  </si>
  <si>
    <t>632</t>
  </si>
  <si>
    <t>2200</t>
  </si>
  <si>
    <t>103</t>
  </si>
  <si>
    <t>115</t>
  </si>
  <si>
    <t>66</t>
  </si>
  <si>
    <t>144</t>
  </si>
  <si>
    <t>360</t>
  </si>
  <si>
    <t>255</t>
  </si>
  <si>
    <t>135</t>
  </si>
  <si>
    <t>460</t>
  </si>
  <si>
    <t>720</t>
  </si>
  <si>
    <t>162</t>
  </si>
  <si>
    <t>47</t>
  </si>
  <si>
    <t>44</t>
  </si>
  <si>
    <t>102</t>
  </si>
  <si>
    <t>1750</t>
  </si>
  <si>
    <t>20000</t>
  </si>
  <si>
    <t>2042</t>
  </si>
  <si>
    <t>675</t>
  </si>
  <si>
    <t>870</t>
  </si>
  <si>
    <t>122</t>
  </si>
  <si>
    <t>9000</t>
  </si>
  <si>
    <t>1080</t>
  </si>
  <si>
    <t>1225</t>
  </si>
  <si>
    <t>3600</t>
  </si>
  <si>
    <t>12000</t>
  </si>
  <si>
    <t>770</t>
  </si>
  <si>
    <t>480</t>
  </si>
  <si>
    <t>318</t>
  </si>
  <si>
    <t>64</t>
  </si>
  <si>
    <t>785</t>
  </si>
  <si>
    <t>432</t>
  </si>
  <si>
    <t>215</t>
  </si>
  <si>
    <t>328</t>
  </si>
  <si>
    <t>82</t>
  </si>
  <si>
    <t>155</t>
  </si>
  <si>
    <t>610</t>
  </si>
  <si>
    <t>78</t>
  </si>
  <si>
    <t>1700</t>
  </si>
  <si>
    <t>320</t>
  </si>
  <si>
    <t>410</t>
  </si>
  <si>
    <t>224</t>
  </si>
  <si>
    <t>67</t>
  </si>
  <si>
    <t>32000</t>
  </si>
  <si>
    <t>3300</t>
  </si>
  <si>
    <t>3929</t>
  </si>
  <si>
    <t>61</t>
  </si>
  <si>
    <t>171</t>
  </si>
  <si>
    <t>86</t>
  </si>
  <si>
    <t>1026</t>
  </si>
  <si>
    <t>763</t>
  </si>
  <si>
    <t>76</t>
  </si>
  <si>
    <t>2600</t>
  </si>
  <si>
    <t>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</si>
</sst>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left"/>
    </xf>
    <xf borderId="0" fillId="0" fontId="2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/>
    </xf>
    <xf borderId="0" fillId="0" fontId="3" numFmtId="2" xfId="0" applyAlignment="1" applyFont="1" applyNumberFormat="1">
      <alignment horizontal="right" readingOrder="0"/>
    </xf>
    <xf borderId="0" fillId="0" fontId="2" numFmtId="2" xfId="0" applyAlignment="1" applyFont="1" applyNumberFormat="1">
      <alignment horizontal="right" readingOrder="0"/>
    </xf>
    <xf borderId="0" fillId="0" fontId="4" numFmtId="2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03" width="10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</row>
    <row r="2" ht="15.75" customHeight="1">
      <c r="A2" s="2" t="s">
        <v>103</v>
      </c>
      <c r="B2" s="2" t="s">
        <v>103</v>
      </c>
      <c r="C2" s="2" t="s">
        <v>104</v>
      </c>
      <c r="D2" s="2"/>
      <c r="E2" s="2" t="s">
        <v>103</v>
      </c>
      <c r="F2" s="2"/>
      <c r="G2" s="2"/>
      <c r="H2" s="2" t="s">
        <v>105</v>
      </c>
      <c r="I2" s="2" t="s">
        <v>106</v>
      </c>
      <c r="J2" s="2" t="s">
        <v>107</v>
      </c>
      <c r="K2" s="2"/>
      <c r="L2" s="2" t="s">
        <v>108</v>
      </c>
      <c r="M2" s="2" t="s">
        <v>109</v>
      </c>
      <c r="N2" s="2" t="s">
        <v>110</v>
      </c>
      <c r="O2" s="2"/>
      <c r="P2" s="2" t="s">
        <v>111</v>
      </c>
      <c r="Q2" s="2" t="s">
        <v>112</v>
      </c>
      <c r="R2" s="2" t="s">
        <v>113</v>
      </c>
      <c r="S2" s="2" t="s">
        <v>114</v>
      </c>
      <c r="T2" s="2" t="s">
        <v>113</v>
      </c>
      <c r="U2" s="2" t="s">
        <v>109</v>
      </c>
      <c r="V2" s="2" t="s">
        <v>115</v>
      </c>
      <c r="W2" s="2"/>
      <c r="X2" s="2"/>
      <c r="Y2" s="2" t="s">
        <v>116</v>
      </c>
      <c r="Z2" s="2"/>
      <c r="AA2" s="2" t="s">
        <v>103</v>
      </c>
      <c r="AB2" s="2" t="s">
        <v>117</v>
      </c>
      <c r="AC2" s="2" t="s">
        <v>118</v>
      </c>
      <c r="AD2" s="2" t="s">
        <v>119</v>
      </c>
      <c r="AE2" s="2" t="s">
        <v>118</v>
      </c>
      <c r="AF2" s="2" t="s">
        <v>120</v>
      </c>
      <c r="AG2" s="2" t="s">
        <v>103</v>
      </c>
      <c r="AH2" s="2"/>
      <c r="AI2" s="2"/>
      <c r="AJ2" s="2" t="s">
        <v>121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118</v>
      </c>
      <c r="AW2" s="2" t="s">
        <v>122</v>
      </c>
      <c r="AX2" s="2"/>
      <c r="AY2" s="2" t="s">
        <v>123</v>
      </c>
      <c r="AZ2" s="2"/>
      <c r="BA2" s="2"/>
      <c r="BB2" s="2"/>
      <c r="BC2" s="2"/>
      <c r="BD2" s="2" t="s">
        <v>124</v>
      </c>
      <c r="BE2" s="2" t="s">
        <v>114</v>
      </c>
      <c r="BF2" s="2" t="s">
        <v>125</v>
      </c>
      <c r="BG2" s="2" t="s">
        <v>126</v>
      </c>
      <c r="BH2" s="2"/>
      <c r="BI2" s="2"/>
      <c r="BJ2" s="2" t="s">
        <v>103</v>
      </c>
      <c r="BK2" s="2" t="s">
        <v>127</v>
      </c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 t="s">
        <v>128</v>
      </c>
      <c r="BX2" s="2"/>
      <c r="BY2" s="2"/>
      <c r="BZ2" s="2"/>
      <c r="CA2" s="2"/>
      <c r="CB2" s="2"/>
      <c r="CC2" s="2" t="s">
        <v>103</v>
      </c>
      <c r="CD2" s="2" t="s">
        <v>129</v>
      </c>
      <c r="CE2" s="2"/>
      <c r="CF2" s="2"/>
      <c r="CG2" s="2"/>
      <c r="CH2" s="2"/>
      <c r="CI2" s="2" t="s">
        <v>130</v>
      </c>
      <c r="CJ2" s="2" t="s">
        <v>112</v>
      </c>
      <c r="CK2" s="2" t="s">
        <v>131</v>
      </c>
      <c r="CL2" s="2"/>
      <c r="CM2" s="2"/>
      <c r="CN2" s="2"/>
      <c r="CO2" s="2" t="s">
        <v>132</v>
      </c>
      <c r="CP2" s="2"/>
      <c r="CQ2" s="2"/>
      <c r="CR2" s="2"/>
      <c r="CS2" s="2"/>
      <c r="CT2" s="2"/>
      <c r="CU2" s="2"/>
      <c r="CV2" s="2"/>
      <c r="CW2" s="2"/>
      <c r="CX2" s="2" t="s">
        <v>107</v>
      </c>
      <c r="CY2" s="2" t="s">
        <v>123</v>
      </c>
    </row>
    <row r="3" ht="15.75" customHeight="1">
      <c r="A3" s="2" t="s">
        <v>130</v>
      </c>
      <c r="B3" s="2" t="s">
        <v>103</v>
      </c>
      <c r="C3" s="2" t="s">
        <v>104</v>
      </c>
      <c r="D3" s="2"/>
      <c r="E3" s="2" t="s">
        <v>103</v>
      </c>
      <c r="F3" s="2"/>
      <c r="G3" s="2"/>
      <c r="H3" s="2" t="s">
        <v>133</v>
      </c>
      <c r="I3" s="2" t="s">
        <v>134</v>
      </c>
      <c r="J3" s="2" t="s">
        <v>117</v>
      </c>
      <c r="K3" s="2"/>
      <c r="L3" s="2" t="s">
        <v>135</v>
      </c>
      <c r="M3" s="2" t="s">
        <v>112</v>
      </c>
      <c r="N3" s="2" t="s">
        <v>136</v>
      </c>
      <c r="O3" s="2"/>
      <c r="P3" s="2"/>
      <c r="Q3" s="2" t="s">
        <v>137</v>
      </c>
      <c r="R3" s="2"/>
      <c r="S3" s="2" t="s">
        <v>138</v>
      </c>
      <c r="T3" s="2" t="s">
        <v>117</v>
      </c>
      <c r="U3" s="2" t="s">
        <v>137</v>
      </c>
      <c r="V3" s="2" t="s">
        <v>117</v>
      </c>
      <c r="W3" s="2"/>
      <c r="X3" s="2"/>
      <c r="Y3" s="2" t="s">
        <v>103</v>
      </c>
      <c r="Z3" s="2"/>
      <c r="AA3" s="2"/>
      <c r="AB3" s="2" t="s">
        <v>116</v>
      </c>
      <c r="AC3" s="2" t="s">
        <v>130</v>
      </c>
      <c r="AD3" s="2" t="s">
        <v>116</v>
      </c>
      <c r="AE3" s="2"/>
      <c r="AF3" s="2"/>
      <c r="AG3" s="2"/>
      <c r="AH3" s="2"/>
      <c r="AI3" s="2"/>
      <c r="AJ3" s="2" t="s">
        <v>139</v>
      </c>
      <c r="AK3" s="2"/>
      <c r="AL3" s="2" t="s">
        <v>140</v>
      </c>
      <c r="AM3" s="2" t="s">
        <v>141</v>
      </c>
      <c r="AN3" s="2"/>
      <c r="AO3" s="2"/>
      <c r="AP3" s="2"/>
      <c r="AQ3" s="2"/>
      <c r="AR3" s="2"/>
      <c r="AS3" s="2"/>
      <c r="AT3" s="2" t="s">
        <v>140</v>
      </c>
      <c r="AU3" s="2" t="s">
        <v>142</v>
      </c>
      <c r="AV3" s="2" t="s">
        <v>103</v>
      </c>
      <c r="AW3" s="2" t="s">
        <v>107</v>
      </c>
      <c r="AX3" s="2"/>
      <c r="AY3" s="2" t="s">
        <v>123</v>
      </c>
      <c r="AZ3" s="2"/>
      <c r="BA3" s="2"/>
      <c r="BB3" s="2"/>
      <c r="BC3" s="2"/>
      <c r="BD3" s="2" t="s">
        <v>130</v>
      </c>
      <c r="BE3" s="2" t="s">
        <v>143</v>
      </c>
      <c r="BF3" s="2" t="s">
        <v>116</v>
      </c>
      <c r="BG3" s="2" t="s">
        <v>105</v>
      </c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>
        <f>1/2</f>
        <v>0.5</v>
      </c>
      <c r="CD3" s="2" t="s">
        <v>113</v>
      </c>
      <c r="CE3" s="2"/>
      <c r="CF3" s="2"/>
      <c r="CG3" s="2"/>
      <c r="CH3" s="2"/>
      <c r="CI3" s="2">
        <f>1/2</f>
        <v>0.5</v>
      </c>
      <c r="CJ3" s="2" t="s">
        <v>133</v>
      </c>
      <c r="CK3" s="2" t="s">
        <v>132</v>
      </c>
      <c r="CL3" s="2"/>
      <c r="CM3" s="2"/>
      <c r="CN3" s="2"/>
      <c r="CO3" s="2" t="s">
        <v>107</v>
      </c>
      <c r="CP3" s="2"/>
      <c r="CQ3" s="2"/>
      <c r="CR3" s="2"/>
      <c r="CS3" s="2"/>
      <c r="CT3" s="2"/>
      <c r="CU3" s="2"/>
      <c r="CV3" s="2"/>
      <c r="CW3" s="2"/>
      <c r="CX3" s="2" t="s">
        <v>111</v>
      </c>
      <c r="CY3" s="2" t="s">
        <v>137</v>
      </c>
    </row>
    <row r="4" ht="15.75" customHeight="1">
      <c r="A4" s="2" t="s">
        <v>116</v>
      </c>
      <c r="B4" s="2" t="s">
        <v>103</v>
      </c>
      <c r="C4" s="2" t="s">
        <v>104</v>
      </c>
      <c r="D4" s="2"/>
      <c r="E4" s="2" t="s">
        <v>103</v>
      </c>
      <c r="F4" s="2"/>
      <c r="G4" s="2"/>
      <c r="H4" s="2" t="s">
        <v>132</v>
      </c>
      <c r="I4" s="2" t="s">
        <v>113</v>
      </c>
      <c r="J4" s="2" t="s">
        <v>113</v>
      </c>
      <c r="K4" s="2"/>
      <c r="L4" s="2" t="s">
        <v>144</v>
      </c>
      <c r="M4" s="2" t="s">
        <v>129</v>
      </c>
      <c r="N4" s="2" t="s">
        <v>145</v>
      </c>
      <c r="O4" s="2"/>
      <c r="P4" s="2"/>
      <c r="Q4" s="2" t="s">
        <v>129</v>
      </c>
      <c r="R4" s="2" t="s">
        <v>146</v>
      </c>
      <c r="S4" s="2" t="s">
        <v>147</v>
      </c>
      <c r="T4" s="2" t="s">
        <v>123</v>
      </c>
      <c r="U4" s="2" t="s">
        <v>128</v>
      </c>
      <c r="V4" s="2" t="s">
        <v>115</v>
      </c>
      <c r="W4" s="2"/>
      <c r="X4" s="2"/>
      <c r="Y4" s="2" t="s">
        <v>130</v>
      </c>
      <c r="Z4" s="2"/>
      <c r="AA4" s="2"/>
      <c r="AB4" s="2" t="s">
        <v>148</v>
      </c>
      <c r="AC4" s="2" t="s">
        <v>130</v>
      </c>
      <c r="AD4" s="2" t="s">
        <v>111</v>
      </c>
      <c r="AE4" s="2"/>
      <c r="AF4" s="2" t="s">
        <v>103</v>
      </c>
      <c r="AG4" s="2" t="s">
        <v>103</v>
      </c>
      <c r="AH4" s="2"/>
      <c r="AI4" s="2"/>
      <c r="AJ4" s="2" t="s">
        <v>149</v>
      </c>
      <c r="AK4" s="2" t="s">
        <v>150</v>
      </c>
      <c r="AL4" s="2" t="s">
        <v>151</v>
      </c>
      <c r="AM4" s="2" t="s">
        <v>117</v>
      </c>
      <c r="AN4" s="2"/>
      <c r="AO4" s="2"/>
      <c r="AP4" s="2"/>
      <c r="AQ4" s="2"/>
      <c r="AR4" s="2"/>
      <c r="AS4" s="2"/>
      <c r="AT4" s="2" t="s">
        <v>151</v>
      </c>
      <c r="AU4" s="2" t="s">
        <v>152</v>
      </c>
      <c r="AV4" s="2" t="s">
        <v>130</v>
      </c>
      <c r="AW4" s="2" t="s">
        <v>153</v>
      </c>
      <c r="AX4" s="2"/>
      <c r="AY4" s="2" t="s">
        <v>154</v>
      </c>
      <c r="AZ4" s="2"/>
      <c r="BA4" s="2"/>
      <c r="BB4" s="2"/>
      <c r="BC4" s="2"/>
      <c r="BD4" s="2" t="s">
        <v>125</v>
      </c>
      <c r="BE4" s="2" t="s">
        <v>112</v>
      </c>
      <c r="BF4" s="2" t="s">
        <v>130</v>
      </c>
      <c r="BG4" s="2" t="s">
        <v>132</v>
      </c>
      <c r="BH4" s="2" t="s">
        <v>103</v>
      </c>
      <c r="BI4" s="2" t="s">
        <v>119</v>
      </c>
      <c r="BJ4" s="2" t="s">
        <v>103</v>
      </c>
      <c r="BK4" s="2" t="s">
        <v>141</v>
      </c>
      <c r="BL4" s="2"/>
      <c r="BM4" s="2" t="s">
        <v>124</v>
      </c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 t="s">
        <v>103</v>
      </c>
      <c r="CD4" s="2" t="s">
        <v>112</v>
      </c>
      <c r="CE4" s="2"/>
      <c r="CF4" s="2"/>
      <c r="CG4" s="2"/>
      <c r="CH4" s="2"/>
      <c r="CI4" s="2" t="s">
        <v>103</v>
      </c>
      <c r="CJ4" s="2" t="s">
        <v>113</v>
      </c>
      <c r="CK4" s="2" t="s">
        <v>150</v>
      </c>
      <c r="CL4" s="2"/>
      <c r="CM4" s="2"/>
      <c r="CN4" s="2"/>
      <c r="CO4" s="2" t="s">
        <v>115</v>
      </c>
      <c r="CP4" s="2"/>
      <c r="CQ4" s="2"/>
      <c r="CR4" s="2"/>
      <c r="CS4" s="2"/>
      <c r="CT4" s="2"/>
      <c r="CU4" s="2"/>
      <c r="CV4" s="2"/>
      <c r="CW4" s="2"/>
      <c r="CX4" s="2" t="s">
        <v>120</v>
      </c>
      <c r="CY4" s="2" t="s">
        <v>122</v>
      </c>
    </row>
    <row r="5" ht="15.75" customHeight="1">
      <c r="A5" s="2" t="s">
        <v>125</v>
      </c>
      <c r="B5" s="2" t="s">
        <v>103</v>
      </c>
      <c r="C5" s="2" t="s">
        <v>104</v>
      </c>
      <c r="D5" s="2"/>
      <c r="E5" s="2" t="s">
        <v>103</v>
      </c>
      <c r="F5" s="2"/>
      <c r="G5" s="2"/>
      <c r="H5" s="2" t="s">
        <v>118</v>
      </c>
      <c r="I5" s="2" t="s">
        <v>118</v>
      </c>
      <c r="J5" s="2"/>
      <c r="K5" s="2"/>
      <c r="L5" s="2" t="s">
        <v>155</v>
      </c>
      <c r="M5" s="2" t="s">
        <v>111</v>
      </c>
      <c r="N5" s="2" t="s">
        <v>132</v>
      </c>
      <c r="O5" s="2"/>
      <c r="P5" s="2"/>
      <c r="Q5" s="2" t="s">
        <v>118</v>
      </c>
      <c r="R5" s="2"/>
      <c r="S5" s="2" t="s">
        <v>109</v>
      </c>
      <c r="T5" s="2" t="s">
        <v>141</v>
      </c>
      <c r="U5" s="2" t="s">
        <v>103</v>
      </c>
      <c r="V5" s="2" t="s">
        <v>118</v>
      </c>
      <c r="W5" s="2"/>
      <c r="X5" s="2"/>
      <c r="Y5" s="2" t="s">
        <v>103</v>
      </c>
      <c r="Z5" s="2"/>
      <c r="AA5" s="2"/>
      <c r="AB5" s="2" t="s">
        <v>130</v>
      </c>
      <c r="AC5" s="2"/>
      <c r="AD5" s="2" t="s">
        <v>130</v>
      </c>
      <c r="AE5" s="2"/>
      <c r="AF5" s="2"/>
      <c r="AG5" s="2"/>
      <c r="AH5" s="2"/>
      <c r="AI5" s="2"/>
      <c r="AJ5" s="2" t="s">
        <v>129</v>
      </c>
      <c r="AK5" s="2"/>
      <c r="AL5" s="2" t="s">
        <v>130</v>
      </c>
      <c r="AM5" s="2"/>
      <c r="AN5" s="2"/>
      <c r="AO5" s="2"/>
      <c r="AP5" s="2"/>
      <c r="AQ5" s="2"/>
      <c r="AR5" s="2"/>
      <c r="AS5" s="2"/>
      <c r="AT5" s="2" t="s">
        <v>130</v>
      </c>
      <c r="AU5" s="2" t="s">
        <v>111</v>
      </c>
      <c r="AV5" s="2" t="s">
        <v>103</v>
      </c>
      <c r="AW5" s="2" t="s">
        <v>127</v>
      </c>
      <c r="AX5" s="2"/>
      <c r="AY5" s="2" t="s">
        <v>107</v>
      </c>
      <c r="AZ5" s="2"/>
      <c r="BA5" s="2"/>
      <c r="BB5" s="2"/>
      <c r="BC5" s="2"/>
      <c r="BD5" s="2" t="s">
        <v>130</v>
      </c>
      <c r="BE5" s="2" t="s">
        <v>123</v>
      </c>
      <c r="BF5" s="2" t="s">
        <v>103</v>
      </c>
      <c r="BG5" s="2" t="s">
        <v>133</v>
      </c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>
        <f t="shared" ref="CC5:CC6" si="1">1/2</f>
        <v>0.5</v>
      </c>
      <c r="CD5" s="2" t="s">
        <v>133</v>
      </c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</row>
    <row r="6" ht="15.75" customHeight="1">
      <c r="A6" s="2" t="s">
        <v>118</v>
      </c>
      <c r="B6" s="2" t="s">
        <v>103</v>
      </c>
      <c r="C6" s="2" t="s">
        <v>104</v>
      </c>
      <c r="D6" s="2"/>
      <c r="E6" s="2" t="s">
        <v>103</v>
      </c>
      <c r="F6" s="2"/>
      <c r="G6" s="2"/>
      <c r="H6" s="2" t="s">
        <v>134</v>
      </c>
      <c r="I6" s="2"/>
      <c r="J6" s="2"/>
      <c r="K6" s="2"/>
      <c r="L6" s="2" t="s">
        <v>152</v>
      </c>
      <c r="M6" s="2"/>
      <c r="N6" s="2" t="s">
        <v>123</v>
      </c>
      <c r="O6" s="2"/>
      <c r="P6" s="2"/>
      <c r="Q6" s="2" t="s">
        <v>156</v>
      </c>
      <c r="R6" s="2" t="s">
        <v>130</v>
      </c>
      <c r="S6" s="2" t="s">
        <v>132</v>
      </c>
      <c r="T6" s="2" t="s">
        <v>116</v>
      </c>
      <c r="U6" s="2" t="s">
        <v>118</v>
      </c>
      <c r="V6" s="2" t="s">
        <v>116</v>
      </c>
      <c r="W6" s="2"/>
      <c r="X6" s="2"/>
      <c r="Y6" s="2"/>
      <c r="Z6" s="2"/>
      <c r="AA6" s="2"/>
      <c r="AB6" s="2" t="s">
        <v>130</v>
      </c>
      <c r="AC6" s="2"/>
      <c r="AD6" s="2" t="s">
        <v>103</v>
      </c>
      <c r="AE6" s="2"/>
      <c r="AF6" s="2"/>
      <c r="AG6" s="2"/>
      <c r="AH6" s="2"/>
      <c r="AI6" s="2"/>
      <c r="AJ6" s="3" t="s">
        <v>109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 t="s">
        <v>103</v>
      </c>
      <c r="AW6" s="2" t="s">
        <v>120</v>
      </c>
      <c r="AX6" s="2"/>
      <c r="AY6" s="2" t="s">
        <v>137</v>
      </c>
      <c r="AZ6" s="2"/>
      <c r="BA6" s="2"/>
      <c r="BB6" s="2"/>
      <c r="BC6" s="2"/>
      <c r="BD6" s="2" t="s">
        <v>157</v>
      </c>
      <c r="BE6" s="2" t="s">
        <v>137</v>
      </c>
      <c r="BF6" s="2"/>
      <c r="BG6" s="2"/>
      <c r="BH6" s="2">
        <f>3/4</f>
        <v>0.75</v>
      </c>
      <c r="BI6" s="2" t="s">
        <v>125</v>
      </c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>
        <f t="shared" si="1"/>
        <v>0.5</v>
      </c>
      <c r="CD6" s="2" t="s">
        <v>158</v>
      </c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</row>
    <row r="7" ht="15.75" customHeight="1">
      <c r="A7" s="2" t="s">
        <v>124</v>
      </c>
      <c r="B7" s="2" t="s">
        <v>103</v>
      </c>
      <c r="C7" s="2" t="s">
        <v>104</v>
      </c>
      <c r="D7" s="2"/>
      <c r="E7" s="2" t="s">
        <v>103</v>
      </c>
      <c r="F7" s="2"/>
      <c r="G7" s="2"/>
      <c r="H7" s="2" t="s">
        <v>105</v>
      </c>
      <c r="I7" s="2" t="s">
        <v>105</v>
      </c>
      <c r="J7" s="2" t="s">
        <v>137</v>
      </c>
      <c r="K7" s="2"/>
      <c r="L7" s="2" t="s">
        <v>108</v>
      </c>
      <c r="M7" s="2" t="s">
        <v>112</v>
      </c>
      <c r="N7" s="2" t="s">
        <v>159</v>
      </c>
      <c r="O7" s="2" t="s">
        <v>132</v>
      </c>
      <c r="P7" s="2"/>
      <c r="Q7" s="2" t="s">
        <v>112</v>
      </c>
      <c r="R7" s="2" t="s">
        <v>160</v>
      </c>
      <c r="S7" s="2" t="s">
        <v>161</v>
      </c>
      <c r="T7" s="2" t="s">
        <v>109</v>
      </c>
      <c r="U7" s="2" t="s">
        <v>128</v>
      </c>
      <c r="V7" s="2" t="s">
        <v>109</v>
      </c>
      <c r="W7" s="2"/>
      <c r="X7" s="2"/>
      <c r="Y7" s="2" t="s">
        <v>125</v>
      </c>
      <c r="Z7" s="2"/>
      <c r="AA7" s="2"/>
      <c r="AB7" s="2" t="s">
        <v>162</v>
      </c>
      <c r="AC7" s="2" t="s">
        <v>124</v>
      </c>
      <c r="AD7" s="2" t="s">
        <v>162</v>
      </c>
      <c r="AE7" s="2"/>
      <c r="AF7" s="2" t="s">
        <v>103</v>
      </c>
      <c r="AG7" s="2" t="s">
        <v>103</v>
      </c>
      <c r="AH7" s="2"/>
      <c r="AI7" s="2"/>
      <c r="AJ7" s="2" t="s">
        <v>163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 t="s">
        <v>125</v>
      </c>
      <c r="AW7" s="2" t="s">
        <v>164</v>
      </c>
      <c r="AX7" s="2"/>
      <c r="AY7" s="3" t="s">
        <v>107</v>
      </c>
      <c r="AZ7" s="2"/>
      <c r="BA7" s="2"/>
      <c r="BB7" s="2"/>
      <c r="BC7" s="2"/>
      <c r="BD7" s="2" t="s">
        <v>116</v>
      </c>
      <c r="BE7" s="3" t="s">
        <v>132</v>
      </c>
      <c r="BF7" s="2" t="s">
        <v>157</v>
      </c>
      <c r="BG7" s="2" t="s">
        <v>150</v>
      </c>
      <c r="BH7" s="2"/>
      <c r="BI7" s="2"/>
      <c r="BJ7" s="3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>
        <f>3/4</f>
        <v>0.75</v>
      </c>
      <c r="CD7" s="2" t="s">
        <v>132</v>
      </c>
      <c r="CE7" s="2"/>
      <c r="CF7" s="2"/>
      <c r="CG7" s="2"/>
      <c r="CH7" s="2"/>
      <c r="CI7" s="2" t="s">
        <v>116</v>
      </c>
      <c r="CJ7" s="2" t="s">
        <v>107</v>
      </c>
      <c r="CK7" s="2" t="s">
        <v>132</v>
      </c>
      <c r="CL7" s="2"/>
      <c r="CM7" s="2"/>
      <c r="CN7" s="2"/>
      <c r="CO7" s="2" t="s">
        <v>137</v>
      </c>
      <c r="CP7" s="2"/>
      <c r="CQ7" s="2"/>
      <c r="CR7" s="2"/>
      <c r="CS7" s="2"/>
      <c r="CT7" s="2"/>
      <c r="CU7" s="2"/>
      <c r="CV7" s="2"/>
      <c r="CW7" s="2"/>
      <c r="CX7" s="2" t="s">
        <v>124</v>
      </c>
      <c r="CY7" s="2" t="s">
        <v>119</v>
      </c>
    </row>
    <row r="8" ht="15.75" customHeight="1">
      <c r="A8" s="2" t="s">
        <v>157</v>
      </c>
      <c r="B8" s="2" t="s">
        <v>103</v>
      </c>
      <c r="C8" s="2" t="s">
        <v>104</v>
      </c>
      <c r="D8" s="2"/>
      <c r="E8" s="2" t="s">
        <v>103</v>
      </c>
      <c r="F8" s="2"/>
      <c r="G8" s="2"/>
      <c r="H8" s="2" t="s">
        <v>122</v>
      </c>
      <c r="I8" s="2" t="s">
        <v>122</v>
      </c>
      <c r="J8" s="2" t="s">
        <v>146</v>
      </c>
      <c r="K8" s="2"/>
      <c r="L8" s="2" t="s">
        <v>165</v>
      </c>
      <c r="M8" s="2" t="s">
        <v>129</v>
      </c>
      <c r="N8" s="2" t="s">
        <v>150</v>
      </c>
      <c r="O8" s="2" t="s">
        <v>111</v>
      </c>
      <c r="P8" s="2"/>
      <c r="Q8" s="2" t="s">
        <v>122</v>
      </c>
      <c r="R8" s="2" t="s">
        <v>111</v>
      </c>
      <c r="S8" s="2" t="s">
        <v>166</v>
      </c>
      <c r="T8" s="2" t="s">
        <v>107</v>
      </c>
      <c r="U8" s="2" t="s">
        <v>122</v>
      </c>
      <c r="V8" s="2" t="s">
        <v>107</v>
      </c>
      <c r="W8" s="2"/>
      <c r="X8" s="2"/>
      <c r="Y8" s="2" t="s">
        <v>130</v>
      </c>
      <c r="Z8" s="2"/>
      <c r="AA8" s="2"/>
      <c r="AB8" s="2" t="s">
        <v>118</v>
      </c>
      <c r="AC8" s="2" t="s">
        <v>103</v>
      </c>
      <c r="AD8" s="2" t="s">
        <v>111</v>
      </c>
      <c r="AE8" s="2"/>
      <c r="AF8" s="2" t="s">
        <v>157</v>
      </c>
      <c r="AG8" s="2"/>
      <c r="AH8" s="2"/>
      <c r="AI8" s="2"/>
      <c r="AJ8" s="2" t="s">
        <v>149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 t="s">
        <v>167</v>
      </c>
      <c r="AX8" s="2"/>
      <c r="AY8" s="2" t="s">
        <v>113</v>
      </c>
      <c r="AZ8" s="2"/>
      <c r="BA8" s="2"/>
      <c r="BB8" s="2"/>
      <c r="BC8" s="2"/>
      <c r="BD8" s="2" t="s">
        <v>125</v>
      </c>
      <c r="BE8" s="2" t="s">
        <v>112</v>
      </c>
      <c r="BF8" s="2" t="s">
        <v>118</v>
      </c>
      <c r="BG8" s="2" t="s">
        <v>129</v>
      </c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>
        <f>1/4</f>
        <v>0.25</v>
      </c>
      <c r="CD8" s="2" t="s">
        <v>128</v>
      </c>
      <c r="CE8" s="2"/>
      <c r="CF8" s="2"/>
      <c r="CG8" s="2"/>
      <c r="CH8" s="2"/>
      <c r="CI8" s="2" t="s">
        <v>116</v>
      </c>
      <c r="CJ8" s="2" t="s">
        <v>168</v>
      </c>
      <c r="CK8" s="2" t="s">
        <v>139</v>
      </c>
      <c r="CL8" s="2"/>
      <c r="CM8" s="2"/>
      <c r="CN8" s="2"/>
      <c r="CO8" s="2" t="s">
        <v>137</v>
      </c>
      <c r="CP8" s="2"/>
      <c r="CQ8" s="2"/>
      <c r="CR8" s="2"/>
      <c r="CS8" s="2"/>
      <c r="CT8" s="2"/>
      <c r="CU8" s="2"/>
      <c r="CV8" s="2"/>
      <c r="CW8" s="2"/>
      <c r="CX8" s="2" t="s">
        <v>119</v>
      </c>
      <c r="CY8" s="2" t="s">
        <v>169</v>
      </c>
    </row>
    <row r="9" ht="15.75" customHeight="1">
      <c r="A9" s="2" t="s">
        <v>134</v>
      </c>
      <c r="B9" s="2" t="s">
        <v>103</v>
      </c>
      <c r="C9" s="2" t="s">
        <v>104</v>
      </c>
      <c r="D9" s="2"/>
      <c r="E9" s="2" t="s">
        <v>103</v>
      </c>
      <c r="F9" s="2"/>
      <c r="G9" s="2"/>
      <c r="H9" s="2" t="s">
        <v>107</v>
      </c>
      <c r="I9" s="2" t="s">
        <v>133</v>
      </c>
      <c r="J9" s="2" t="s">
        <v>146</v>
      </c>
      <c r="K9" s="2"/>
      <c r="L9" s="2" t="s">
        <v>170</v>
      </c>
      <c r="M9" s="2"/>
      <c r="N9" s="2" t="s">
        <v>129</v>
      </c>
      <c r="O9" s="2"/>
      <c r="P9" s="2"/>
      <c r="Q9" s="2" t="s">
        <v>132</v>
      </c>
      <c r="R9" s="2" t="s">
        <v>133</v>
      </c>
      <c r="S9" s="2" t="s">
        <v>139</v>
      </c>
      <c r="T9" s="2" t="s">
        <v>120</v>
      </c>
      <c r="U9" s="2" t="s">
        <v>133</v>
      </c>
      <c r="V9" s="2" t="s">
        <v>137</v>
      </c>
      <c r="W9" s="2"/>
      <c r="X9" s="2"/>
      <c r="Y9" s="2" t="s">
        <v>130</v>
      </c>
      <c r="Z9" s="2"/>
      <c r="AA9" s="2"/>
      <c r="AB9" s="2" t="s">
        <v>124</v>
      </c>
      <c r="AC9" s="2" t="s">
        <v>125</v>
      </c>
      <c r="AD9" s="2" t="s">
        <v>124</v>
      </c>
      <c r="AE9" s="2"/>
      <c r="AF9" s="2"/>
      <c r="AG9" s="2"/>
      <c r="AH9" s="2" t="s">
        <v>103</v>
      </c>
      <c r="AI9" s="2"/>
      <c r="AJ9" s="2" t="s">
        <v>155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 t="s">
        <v>103</v>
      </c>
      <c r="AW9" s="2" t="s">
        <v>171</v>
      </c>
      <c r="AX9" s="2"/>
      <c r="AY9" s="2" t="s">
        <v>123</v>
      </c>
      <c r="AZ9" s="2"/>
      <c r="BA9" s="2"/>
      <c r="BB9" s="2"/>
      <c r="BC9" s="2"/>
      <c r="BD9" s="2" t="s">
        <v>130</v>
      </c>
      <c r="BE9" s="2" t="s">
        <v>123</v>
      </c>
      <c r="BF9" s="2" t="s">
        <v>116</v>
      </c>
      <c r="BG9" s="2" t="s">
        <v>172</v>
      </c>
      <c r="BH9" s="2" t="s">
        <v>103</v>
      </c>
      <c r="BI9" s="2" t="s">
        <v>137</v>
      </c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 t="s">
        <v>116</v>
      </c>
      <c r="CD9" s="2" t="s">
        <v>132</v>
      </c>
      <c r="CE9" s="2"/>
      <c r="CF9" s="2"/>
      <c r="CG9" s="2"/>
      <c r="CH9" s="2"/>
      <c r="CI9" s="2" t="s">
        <v>130</v>
      </c>
      <c r="CJ9" s="2" t="s">
        <v>143</v>
      </c>
      <c r="CK9" s="2" t="s">
        <v>129</v>
      </c>
      <c r="CL9" s="2"/>
      <c r="CM9" s="2"/>
      <c r="CN9" s="2"/>
      <c r="CO9" s="2" t="s">
        <v>113</v>
      </c>
      <c r="CP9" s="2"/>
      <c r="CQ9" s="2"/>
      <c r="CR9" s="2"/>
      <c r="CS9" s="2"/>
      <c r="CT9" s="2"/>
      <c r="CU9" s="2"/>
      <c r="CV9" s="2"/>
      <c r="CW9" s="2"/>
      <c r="CX9" s="2" t="s">
        <v>120</v>
      </c>
      <c r="CY9" s="2" t="s">
        <v>133</v>
      </c>
    </row>
    <row r="10" ht="15.75" customHeight="1">
      <c r="A10" s="2" t="s">
        <v>167</v>
      </c>
      <c r="B10" s="2" t="s">
        <v>103</v>
      </c>
      <c r="C10" s="2" t="s">
        <v>104</v>
      </c>
      <c r="D10" s="2"/>
      <c r="E10" s="2" t="s">
        <v>103</v>
      </c>
      <c r="F10" s="2"/>
      <c r="G10" s="2"/>
      <c r="H10" s="2" t="s">
        <v>138</v>
      </c>
      <c r="I10" s="2" t="s">
        <v>173</v>
      </c>
      <c r="J10" s="2" t="s">
        <v>137</v>
      </c>
      <c r="K10" s="2"/>
      <c r="L10" s="2" t="s">
        <v>174</v>
      </c>
      <c r="M10" s="2" t="s">
        <v>114</v>
      </c>
      <c r="N10" s="2" t="s">
        <v>175</v>
      </c>
      <c r="O10" s="2"/>
      <c r="P10" s="2" t="s">
        <v>141</v>
      </c>
      <c r="Q10" s="2" t="s">
        <v>176</v>
      </c>
      <c r="R10" s="2" t="s">
        <v>177</v>
      </c>
      <c r="S10" s="2" t="s">
        <v>178</v>
      </c>
      <c r="T10" s="2" t="s">
        <v>106</v>
      </c>
      <c r="U10" s="2" t="s">
        <v>179</v>
      </c>
      <c r="V10" s="2" t="s">
        <v>115</v>
      </c>
      <c r="W10" s="2"/>
      <c r="X10" s="2" t="s">
        <v>116</v>
      </c>
      <c r="Y10" s="2" t="s">
        <v>125</v>
      </c>
      <c r="Z10" s="2"/>
      <c r="AA10" s="2"/>
      <c r="AB10" s="2" t="s">
        <v>117</v>
      </c>
      <c r="AC10" s="2" t="s">
        <v>180</v>
      </c>
      <c r="AD10" s="2" t="s">
        <v>181</v>
      </c>
      <c r="AE10" s="2"/>
      <c r="AF10" s="2" t="s">
        <v>103</v>
      </c>
      <c r="AG10" s="2" t="s">
        <v>103</v>
      </c>
      <c r="AH10" s="2"/>
      <c r="AI10" s="2"/>
      <c r="AJ10" s="2" t="s">
        <v>182</v>
      </c>
      <c r="AK10" s="2" t="s">
        <v>129</v>
      </c>
      <c r="AL10" s="2"/>
      <c r="AM10" s="2" t="s">
        <v>119</v>
      </c>
      <c r="AN10" s="2"/>
      <c r="AO10" s="2"/>
      <c r="AP10" s="2"/>
      <c r="AQ10" s="2" t="s">
        <v>134</v>
      </c>
      <c r="AR10" s="2"/>
      <c r="AS10" s="2"/>
      <c r="AT10" s="2"/>
      <c r="AU10" s="2"/>
      <c r="AV10" s="2" t="s">
        <v>130</v>
      </c>
      <c r="AW10" s="2" t="s">
        <v>133</v>
      </c>
      <c r="AX10" s="2"/>
      <c r="AY10" s="2" t="s">
        <v>132</v>
      </c>
      <c r="AZ10" s="2"/>
      <c r="BA10" s="2"/>
      <c r="BB10" s="2"/>
      <c r="BC10" s="2"/>
      <c r="BD10" s="2" t="s">
        <v>118</v>
      </c>
      <c r="BE10" s="2" t="s">
        <v>129</v>
      </c>
      <c r="BF10" s="2" t="s">
        <v>157</v>
      </c>
      <c r="BG10" s="2" t="s">
        <v>129</v>
      </c>
      <c r="BH10" s="2"/>
      <c r="BI10" s="2"/>
      <c r="BJ10" s="2" t="s">
        <v>103</v>
      </c>
      <c r="BK10" s="2" t="s">
        <v>120</v>
      </c>
      <c r="BL10" s="2" t="s">
        <v>111</v>
      </c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 t="s">
        <v>130</v>
      </c>
      <c r="CD10" s="2" t="s">
        <v>114</v>
      </c>
      <c r="CE10" s="2"/>
      <c r="CF10" s="2"/>
      <c r="CG10" s="2"/>
      <c r="CH10" s="2"/>
      <c r="CI10" s="2" t="s">
        <v>116</v>
      </c>
      <c r="CJ10" s="2" t="s">
        <v>132</v>
      </c>
      <c r="CK10" s="2" t="s">
        <v>150</v>
      </c>
      <c r="CL10" s="2"/>
      <c r="CM10" s="2"/>
      <c r="CN10" s="2"/>
      <c r="CO10" s="2" t="s">
        <v>123</v>
      </c>
      <c r="CP10" s="2"/>
      <c r="CQ10" s="2"/>
      <c r="CR10" s="2"/>
      <c r="CS10" s="2"/>
      <c r="CT10" s="2"/>
      <c r="CU10" s="2"/>
      <c r="CV10" s="2" t="s">
        <v>119</v>
      </c>
      <c r="CW10" s="2"/>
      <c r="CX10" s="2" t="s">
        <v>137</v>
      </c>
      <c r="CY10" s="2" t="s">
        <v>137</v>
      </c>
    </row>
    <row r="11" ht="15.75" customHeight="1">
      <c r="A11" s="2" t="s">
        <v>111</v>
      </c>
      <c r="B11" s="2" t="s">
        <v>103</v>
      </c>
      <c r="C11" s="2" t="s">
        <v>104</v>
      </c>
      <c r="D11" s="2"/>
      <c r="E11" s="2" t="s">
        <v>103</v>
      </c>
      <c r="F11" s="2"/>
      <c r="G11" s="2"/>
      <c r="H11" s="2" t="s">
        <v>107</v>
      </c>
      <c r="I11" s="2" t="s">
        <v>119</v>
      </c>
      <c r="J11" s="2" t="s">
        <v>120</v>
      </c>
      <c r="K11" s="2"/>
      <c r="L11" s="2" t="s">
        <v>159</v>
      </c>
      <c r="M11" s="2" t="s">
        <v>123</v>
      </c>
      <c r="N11" s="2" t="s">
        <v>114</v>
      </c>
      <c r="O11" s="2" t="s">
        <v>139</v>
      </c>
      <c r="P11" s="2"/>
      <c r="Q11" s="2"/>
      <c r="R11" s="2"/>
      <c r="S11" s="2" t="s">
        <v>150</v>
      </c>
      <c r="T11" s="2" t="s">
        <v>167</v>
      </c>
      <c r="U11" s="2" t="s">
        <v>180</v>
      </c>
      <c r="V11" s="2" t="s">
        <v>111</v>
      </c>
      <c r="W11" s="2"/>
      <c r="X11" s="2" t="s">
        <v>130</v>
      </c>
      <c r="Y11" s="2" t="s">
        <v>130</v>
      </c>
      <c r="Z11" s="2"/>
      <c r="AA11" s="2"/>
      <c r="AB11" s="2" t="s">
        <v>125</v>
      </c>
      <c r="AC11" s="2" t="s">
        <v>118</v>
      </c>
      <c r="AD11" s="2" t="s">
        <v>116</v>
      </c>
      <c r="AE11" s="2" t="s">
        <v>103</v>
      </c>
      <c r="AF11" s="2"/>
      <c r="AG11" s="2"/>
      <c r="AH11" s="2"/>
      <c r="AI11" s="2"/>
      <c r="AJ11" s="2" t="s">
        <v>183</v>
      </c>
      <c r="AK11" s="2"/>
      <c r="AL11" s="2" t="s">
        <v>111</v>
      </c>
      <c r="AM11" s="2"/>
      <c r="AN11" s="2"/>
      <c r="AO11" s="2"/>
      <c r="AP11" s="2"/>
      <c r="AQ11" s="2"/>
      <c r="AR11" s="2"/>
      <c r="AS11" s="2"/>
      <c r="AT11" s="2" t="s">
        <v>111</v>
      </c>
      <c r="AU11" s="2" t="s">
        <v>105</v>
      </c>
      <c r="AV11" s="2" t="s">
        <v>103</v>
      </c>
      <c r="AW11" s="2" t="s">
        <v>156</v>
      </c>
      <c r="AX11" s="2"/>
      <c r="AY11" s="2" t="s">
        <v>107</v>
      </c>
      <c r="AZ11" s="2"/>
      <c r="BA11" s="2"/>
      <c r="BB11" s="2"/>
      <c r="BC11" s="2"/>
      <c r="BD11" s="2" t="s">
        <v>130</v>
      </c>
      <c r="BE11" s="2" t="s">
        <v>132</v>
      </c>
      <c r="BF11" s="2"/>
      <c r="BG11" s="2"/>
      <c r="BH11" s="2" t="s">
        <v>124</v>
      </c>
      <c r="BI11" s="2" t="s">
        <v>109</v>
      </c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>
        <f>1/4</f>
        <v>0.25</v>
      </c>
      <c r="CD11" s="2" t="s">
        <v>133</v>
      </c>
      <c r="CE11" s="2"/>
      <c r="CF11" s="2"/>
      <c r="CG11" s="2"/>
      <c r="CH11" s="2"/>
      <c r="CI11" s="2">
        <f>1/2</f>
        <v>0.5</v>
      </c>
      <c r="CJ11" s="2" t="s">
        <v>107</v>
      </c>
      <c r="CK11" s="2" t="s">
        <v>132</v>
      </c>
      <c r="CL11" s="2"/>
      <c r="CM11" s="2"/>
      <c r="CN11" s="2"/>
      <c r="CO11" s="2" t="s">
        <v>137</v>
      </c>
      <c r="CP11" s="2"/>
      <c r="CQ11" s="2"/>
      <c r="CR11" s="2"/>
      <c r="CS11" s="2"/>
      <c r="CT11" s="2"/>
      <c r="CU11" s="2"/>
      <c r="CV11" s="2"/>
      <c r="CW11" s="2"/>
      <c r="CX11" s="2"/>
      <c r="CY11" s="2"/>
    </row>
    <row r="12" ht="15.75" customHeight="1">
      <c r="A12" s="2" t="s">
        <v>103</v>
      </c>
      <c r="B12" s="2" t="s">
        <v>130</v>
      </c>
      <c r="C12" s="2" t="s">
        <v>104</v>
      </c>
      <c r="D12" s="2"/>
      <c r="E12" s="2" t="s">
        <v>103</v>
      </c>
      <c r="F12" s="2"/>
      <c r="G12" s="2"/>
      <c r="H12" s="2" t="s">
        <v>172</v>
      </c>
      <c r="I12" s="2" t="s">
        <v>133</v>
      </c>
      <c r="J12" s="2" t="s">
        <v>107</v>
      </c>
      <c r="K12" s="2"/>
      <c r="L12" s="2" t="s">
        <v>108</v>
      </c>
      <c r="M12" s="2" t="s">
        <v>114</v>
      </c>
      <c r="N12" s="2" t="s">
        <v>128</v>
      </c>
      <c r="O12" s="2"/>
      <c r="P12" s="2"/>
      <c r="Q12" s="2" t="s">
        <v>150</v>
      </c>
      <c r="R12" s="2" t="s">
        <v>122</v>
      </c>
      <c r="S12" s="2" t="s">
        <v>149</v>
      </c>
      <c r="T12" s="2" t="s">
        <v>115</v>
      </c>
      <c r="U12" s="2" t="s">
        <v>105</v>
      </c>
      <c r="V12" s="2" t="s">
        <v>115</v>
      </c>
      <c r="W12" s="2"/>
      <c r="X12" s="2"/>
      <c r="Y12" s="2" t="s">
        <v>130</v>
      </c>
      <c r="Z12" s="2"/>
      <c r="AA12" s="2"/>
      <c r="AB12" s="2" t="s">
        <v>181</v>
      </c>
      <c r="AC12" s="2" t="s">
        <v>117</v>
      </c>
      <c r="AD12" s="2" t="s">
        <v>181</v>
      </c>
      <c r="AE12" s="2"/>
      <c r="AF12" s="3" t="s">
        <v>103</v>
      </c>
      <c r="AG12" s="2" t="s">
        <v>125</v>
      </c>
      <c r="AH12" s="2"/>
      <c r="AI12" s="2"/>
      <c r="AJ12" s="2" t="s">
        <v>184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 t="s">
        <v>124</v>
      </c>
      <c r="AW12" s="2" t="s">
        <v>169</v>
      </c>
      <c r="AX12" s="2"/>
      <c r="AY12" s="2" t="s">
        <v>123</v>
      </c>
      <c r="AZ12" s="2"/>
      <c r="BA12" s="2"/>
      <c r="BB12" s="2"/>
      <c r="BC12" s="2"/>
      <c r="BD12" s="2" t="s">
        <v>116</v>
      </c>
      <c r="BE12" s="2" t="s">
        <v>132</v>
      </c>
      <c r="BF12" s="2" t="s">
        <v>167</v>
      </c>
      <c r="BG12" s="3" t="s">
        <v>185</v>
      </c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 t="s">
        <v>186</v>
      </c>
      <c r="BX12" s="2"/>
      <c r="BY12" s="2"/>
      <c r="BZ12" s="2"/>
      <c r="CA12" s="2"/>
      <c r="CB12" s="2"/>
      <c r="CC12" s="2" t="s">
        <v>103</v>
      </c>
      <c r="CD12" s="2" t="s">
        <v>129</v>
      </c>
      <c r="CE12" s="2"/>
      <c r="CF12" s="2"/>
      <c r="CG12" s="2"/>
      <c r="CH12" s="2"/>
      <c r="CI12" s="2" t="s">
        <v>111</v>
      </c>
      <c r="CJ12" s="2" t="s">
        <v>172</v>
      </c>
      <c r="CK12" s="2" t="s">
        <v>186</v>
      </c>
      <c r="CL12" s="2"/>
      <c r="CM12" s="2"/>
      <c r="CN12" s="2"/>
      <c r="CO12" s="2" t="s">
        <v>151</v>
      </c>
      <c r="CP12" s="2"/>
      <c r="CQ12" s="2"/>
      <c r="CR12" s="2"/>
      <c r="CS12" s="2"/>
      <c r="CT12" s="2"/>
      <c r="CU12" s="2"/>
      <c r="CV12" s="2"/>
      <c r="CW12" s="2"/>
      <c r="CX12" s="2" t="s">
        <v>107</v>
      </c>
      <c r="CY12" s="2" t="s">
        <v>115</v>
      </c>
    </row>
    <row r="13" ht="15.75" customHeight="1">
      <c r="A13" s="2" t="s">
        <v>130</v>
      </c>
      <c r="B13" s="2" t="s">
        <v>130</v>
      </c>
      <c r="C13" s="2" t="s">
        <v>104</v>
      </c>
      <c r="D13" s="2"/>
      <c r="E13" s="2" t="s">
        <v>103</v>
      </c>
      <c r="F13" s="2"/>
      <c r="G13" s="2"/>
      <c r="H13" s="2" t="s">
        <v>107</v>
      </c>
      <c r="I13" s="2" t="s">
        <v>127</v>
      </c>
      <c r="J13" s="2" t="s">
        <v>187</v>
      </c>
      <c r="K13" s="2"/>
      <c r="L13" s="2" t="s">
        <v>135</v>
      </c>
      <c r="M13" s="2" t="s">
        <v>129</v>
      </c>
      <c r="N13" s="2" t="s">
        <v>188</v>
      </c>
      <c r="O13" s="2"/>
      <c r="P13" s="2"/>
      <c r="Q13" s="2" t="s">
        <v>120</v>
      </c>
      <c r="R13" s="2"/>
      <c r="S13" s="2" t="s">
        <v>176</v>
      </c>
      <c r="T13" s="2" t="s">
        <v>137</v>
      </c>
      <c r="U13" s="2" t="s">
        <v>141</v>
      </c>
      <c r="V13" s="2" t="s">
        <v>137</v>
      </c>
      <c r="W13" s="2"/>
      <c r="X13" s="2"/>
      <c r="Y13" s="2" t="s">
        <v>130</v>
      </c>
      <c r="Z13" s="2"/>
      <c r="AA13" s="2"/>
      <c r="AB13" s="2" t="s">
        <v>130</v>
      </c>
      <c r="AC13" s="2"/>
      <c r="AD13" s="2" t="s">
        <v>130</v>
      </c>
      <c r="AE13" s="2"/>
      <c r="AF13" s="2"/>
      <c r="AG13" s="2"/>
      <c r="AH13" s="2"/>
      <c r="AI13" s="2"/>
      <c r="AJ13" s="2" t="s">
        <v>132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 t="s">
        <v>103</v>
      </c>
      <c r="AW13" s="2" t="s">
        <v>107</v>
      </c>
      <c r="AX13" s="2"/>
      <c r="AY13" s="2" t="s">
        <v>109</v>
      </c>
      <c r="AZ13" s="2"/>
      <c r="BA13" s="2"/>
      <c r="BB13" s="2"/>
      <c r="BC13" s="2"/>
      <c r="BD13" s="2" t="s">
        <v>103</v>
      </c>
      <c r="BE13" s="2" t="s">
        <v>120</v>
      </c>
      <c r="BF13" s="3">
        <f>1/2</f>
        <v>0.5</v>
      </c>
      <c r="BG13" s="2" t="s">
        <v>123</v>
      </c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 t="s">
        <v>107</v>
      </c>
      <c r="BX13" s="2"/>
      <c r="BY13" s="2"/>
      <c r="BZ13" s="2"/>
      <c r="CA13" s="2"/>
      <c r="CB13" s="2"/>
      <c r="CC13" s="2" t="s">
        <v>130</v>
      </c>
      <c r="CD13" s="2" t="s">
        <v>129</v>
      </c>
      <c r="CE13" s="2"/>
      <c r="CF13" s="2"/>
      <c r="CG13" s="2"/>
      <c r="CH13" s="2"/>
      <c r="CI13" s="2">
        <f>1/4</f>
        <v>0.25</v>
      </c>
      <c r="CJ13" s="2" t="s">
        <v>169</v>
      </c>
      <c r="CK13" s="2" t="s">
        <v>106</v>
      </c>
      <c r="CL13" s="2"/>
      <c r="CM13" s="2"/>
      <c r="CN13" s="2"/>
      <c r="CO13" s="2" t="s">
        <v>137</v>
      </c>
      <c r="CP13" s="2"/>
      <c r="CQ13" s="2"/>
      <c r="CR13" s="2"/>
      <c r="CS13" s="2"/>
      <c r="CT13" s="2"/>
      <c r="CU13" s="2"/>
      <c r="CV13" s="2"/>
      <c r="CW13" s="2"/>
      <c r="CX13" s="2" t="s">
        <v>137</v>
      </c>
      <c r="CY13" s="2" t="s">
        <v>113</v>
      </c>
    </row>
    <row r="14" ht="15.75" customHeight="1">
      <c r="A14" s="2" t="s">
        <v>116</v>
      </c>
      <c r="B14" s="2" t="s">
        <v>130</v>
      </c>
      <c r="C14" s="2" t="s">
        <v>104</v>
      </c>
      <c r="D14" s="2"/>
      <c r="E14" s="2" t="s">
        <v>103</v>
      </c>
      <c r="F14" s="2"/>
      <c r="G14" s="2"/>
      <c r="H14" s="2" t="s">
        <v>133</v>
      </c>
      <c r="I14" s="2" t="s">
        <v>189</v>
      </c>
      <c r="J14" s="2" t="s">
        <v>113</v>
      </c>
      <c r="K14" s="2"/>
      <c r="L14" s="2" t="s">
        <v>163</v>
      </c>
      <c r="M14" s="2" t="s">
        <v>132</v>
      </c>
      <c r="N14" s="2" t="s">
        <v>129</v>
      </c>
      <c r="O14" s="2"/>
      <c r="P14" s="2"/>
      <c r="Q14" s="2" t="s">
        <v>109</v>
      </c>
      <c r="R14" s="2" t="s">
        <v>134</v>
      </c>
      <c r="S14" s="2" t="s">
        <v>114</v>
      </c>
      <c r="T14" s="2" t="s">
        <v>137</v>
      </c>
      <c r="U14" s="2" t="s">
        <v>111</v>
      </c>
      <c r="V14" s="2" t="s">
        <v>107</v>
      </c>
      <c r="W14" s="2"/>
      <c r="X14" s="2"/>
      <c r="Y14" s="2" t="s">
        <v>103</v>
      </c>
      <c r="Z14" s="2"/>
      <c r="AA14" s="2"/>
      <c r="AB14" s="2"/>
      <c r="AC14" s="2" t="s">
        <v>118</v>
      </c>
      <c r="AD14" s="2" t="s">
        <v>130</v>
      </c>
      <c r="AE14" s="2"/>
      <c r="AF14" s="2" t="s">
        <v>103</v>
      </c>
      <c r="AG14" s="2"/>
      <c r="AH14" s="2" t="s">
        <v>103</v>
      </c>
      <c r="AI14" s="2"/>
      <c r="AJ14" s="2" t="s">
        <v>152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 t="s">
        <v>103</v>
      </c>
      <c r="AW14" s="2" t="s">
        <v>107</v>
      </c>
      <c r="AX14" s="2"/>
      <c r="AY14" s="2" t="s">
        <v>123</v>
      </c>
      <c r="AZ14" s="2"/>
      <c r="BA14" s="2"/>
      <c r="BB14" s="2"/>
      <c r="BC14" s="2"/>
      <c r="BD14" s="2" t="s">
        <v>103</v>
      </c>
      <c r="BE14" s="2" t="s">
        <v>113</v>
      </c>
      <c r="BF14" s="2" t="s">
        <v>103</v>
      </c>
      <c r="BG14" s="2" t="s">
        <v>113</v>
      </c>
      <c r="BH14" s="2" t="s">
        <v>134</v>
      </c>
      <c r="BI14" s="2" t="s">
        <v>105</v>
      </c>
      <c r="BJ14" s="2" t="s">
        <v>103</v>
      </c>
      <c r="BK14" s="2" t="s">
        <v>119</v>
      </c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 t="s">
        <v>150</v>
      </c>
      <c r="BX14" s="2"/>
      <c r="BY14" s="2"/>
      <c r="BZ14" s="2"/>
      <c r="CA14" s="2"/>
      <c r="CB14" s="2"/>
      <c r="CC14" s="2">
        <f t="shared" ref="CC14:CC15" si="2">1/2</f>
        <v>0.5</v>
      </c>
      <c r="CD14" s="2" t="s">
        <v>105</v>
      </c>
      <c r="CE14" s="2"/>
      <c r="CF14" s="2"/>
      <c r="CG14" s="2"/>
      <c r="CH14" s="2"/>
      <c r="CI14" s="2" t="s">
        <v>130</v>
      </c>
      <c r="CJ14" s="2" t="s">
        <v>123</v>
      </c>
      <c r="CK14" s="2" t="s">
        <v>129</v>
      </c>
      <c r="CL14" s="2"/>
      <c r="CM14" s="2"/>
      <c r="CN14" s="2"/>
      <c r="CO14" s="2" t="s">
        <v>113</v>
      </c>
      <c r="CP14" s="2"/>
      <c r="CQ14" s="2"/>
      <c r="CR14" s="2"/>
      <c r="CS14" s="2"/>
      <c r="CT14" s="2"/>
      <c r="CU14" s="2"/>
      <c r="CV14" s="2"/>
      <c r="CW14" s="2"/>
      <c r="CX14" s="2" t="s">
        <v>120</v>
      </c>
      <c r="CY14" s="2" t="s">
        <v>133</v>
      </c>
    </row>
    <row r="15" ht="15.75" customHeight="1">
      <c r="A15" s="2" t="s">
        <v>125</v>
      </c>
      <c r="B15" s="2" t="s">
        <v>130</v>
      </c>
      <c r="C15" s="2" t="s">
        <v>104</v>
      </c>
      <c r="D15" s="2"/>
      <c r="E15" s="2" t="s">
        <v>103</v>
      </c>
      <c r="F15" s="2"/>
      <c r="G15" s="2"/>
      <c r="H15" s="2" t="s">
        <v>123</v>
      </c>
      <c r="I15" s="2" t="s">
        <v>122</v>
      </c>
      <c r="J15" s="2" t="s">
        <v>120</v>
      </c>
      <c r="K15" s="2"/>
      <c r="L15" s="2" t="s">
        <v>170</v>
      </c>
      <c r="M15" s="2" t="s">
        <v>133</v>
      </c>
      <c r="N15" s="2" t="s">
        <v>131</v>
      </c>
      <c r="O15" s="2"/>
      <c r="P15" s="2"/>
      <c r="Q15" s="2"/>
      <c r="R15" s="2"/>
      <c r="S15" s="2" t="s">
        <v>150</v>
      </c>
      <c r="T15" s="2" t="s">
        <v>122</v>
      </c>
      <c r="U15" s="2" t="s">
        <v>113</v>
      </c>
      <c r="V15" s="2"/>
      <c r="W15" s="2"/>
      <c r="X15" s="2"/>
      <c r="Y15" s="2" t="s">
        <v>125</v>
      </c>
      <c r="Z15" s="2"/>
      <c r="AA15" s="2"/>
      <c r="AB15" s="2" t="s">
        <v>130</v>
      </c>
      <c r="AC15" s="2" t="s">
        <v>167</v>
      </c>
      <c r="AD15" s="2" t="s">
        <v>130</v>
      </c>
      <c r="AE15" s="2"/>
      <c r="AF15" s="2"/>
      <c r="AG15" s="2"/>
      <c r="AH15" s="2"/>
      <c r="AI15" s="2"/>
      <c r="AJ15" s="2" t="s">
        <v>176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103</v>
      </c>
      <c r="AW15" s="2" t="s">
        <v>167</v>
      </c>
      <c r="AX15" s="2"/>
      <c r="AY15" s="2" t="s">
        <v>107</v>
      </c>
      <c r="AZ15" s="2"/>
      <c r="BA15" s="2"/>
      <c r="BB15" s="2"/>
      <c r="BC15" s="2"/>
      <c r="BD15" s="2" t="s">
        <v>130</v>
      </c>
      <c r="BE15" s="2" t="s">
        <v>132</v>
      </c>
      <c r="BF15" s="2" t="s">
        <v>116</v>
      </c>
      <c r="BG15" s="2" t="s">
        <v>172</v>
      </c>
      <c r="BH15" s="2" t="s">
        <v>116</v>
      </c>
      <c r="BI15" s="2" t="s">
        <v>113</v>
      </c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>
        <f t="shared" si="2"/>
        <v>0.5</v>
      </c>
      <c r="CD15" s="2" t="s">
        <v>123</v>
      </c>
      <c r="CE15" s="2"/>
      <c r="CF15" s="2"/>
      <c r="CG15" s="2"/>
      <c r="CH15" s="2"/>
      <c r="CI15" s="2" t="s">
        <v>103</v>
      </c>
      <c r="CJ15" s="2" t="s">
        <v>123</v>
      </c>
      <c r="CK15" s="2" t="s">
        <v>123</v>
      </c>
      <c r="CL15" s="2"/>
      <c r="CM15" s="2"/>
      <c r="CN15" s="2"/>
      <c r="CO15" s="2" t="s">
        <v>118</v>
      </c>
      <c r="CP15" s="2"/>
      <c r="CQ15" s="2"/>
      <c r="CR15" s="2"/>
      <c r="CS15" s="2"/>
      <c r="CT15" s="2"/>
      <c r="CU15" s="2"/>
      <c r="CV15" s="2"/>
      <c r="CW15" s="2"/>
      <c r="CX15" s="2"/>
      <c r="CY15" s="2"/>
    </row>
    <row r="16" ht="15.75" customHeight="1">
      <c r="A16" s="2" t="s">
        <v>118</v>
      </c>
      <c r="B16" s="2" t="s">
        <v>130</v>
      </c>
      <c r="C16" s="2" t="s">
        <v>104</v>
      </c>
      <c r="D16" s="2"/>
      <c r="E16" s="2" t="s">
        <v>103</v>
      </c>
      <c r="F16" s="2"/>
      <c r="G16" s="2"/>
      <c r="H16" s="2" t="s">
        <v>115</v>
      </c>
      <c r="I16" s="2" t="s">
        <v>115</v>
      </c>
      <c r="J16" s="2" t="s">
        <v>133</v>
      </c>
      <c r="K16" s="2"/>
      <c r="L16" s="2" t="s">
        <v>174</v>
      </c>
      <c r="M16" s="2" t="s">
        <v>150</v>
      </c>
      <c r="N16" s="2" t="s">
        <v>159</v>
      </c>
      <c r="O16" s="2" t="s">
        <v>109</v>
      </c>
      <c r="P16" s="2"/>
      <c r="Q16" s="2" t="s">
        <v>131</v>
      </c>
      <c r="R16" s="2" t="s">
        <v>132</v>
      </c>
      <c r="S16" s="2" t="s">
        <v>145</v>
      </c>
      <c r="T16" s="2" t="s">
        <v>115</v>
      </c>
      <c r="U16" s="2" t="s">
        <v>123</v>
      </c>
      <c r="V16" s="2" t="s">
        <v>109</v>
      </c>
      <c r="W16" s="2"/>
      <c r="X16" s="2"/>
      <c r="Y16" s="2" t="s">
        <v>134</v>
      </c>
      <c r="Z16" s="2"/>
      <c r="AA16" s="2"/>
      <c r="AB16" s="2" t="s">
        <v>111</v>
      </c>
      <c r="AC16" s="2" t="s">
        <v>133</v>
      </c>
      <c r="AD16" s="2" t="s">
        <v>134</v>
      </c>
      <c r="AE16" s="2" t="s">
        <v>111</v>
      </c>
      <c r="AF16" s="2"/>
      <c r="AG16" s="2" t="s">
        <v>103</v>
      </c>
      <c r="AH16" s="2"/>
      <c r="AI16" s="2"/>
      <c r="AJ16" s="2" t="s">
        <v>150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 t="s">
        <v>168</v>
      </c>
      <c r="AX16" s="2"/>
      <c r="AY16" s="2" t="s">
        <v>131</v>
      </c>
      <c r="AZ16" s="2"/>
      <c r="BA16" s="2"/>
      <c r="BB16" s="2"/>
      <c r="BC16" s="2"/>
      <c r="BD16" s="2" t="s">
        <v>103</v>
      </c>
      <c r="BE16" s="2" t="s">
        <v>133</v>
      </c>
      <c r="BF16" s="2" t="s">
        <v>124</v>
      </c>
      <c r="BG16" s="2" t="s">
        <v>150</v>
      </c>
      <c r="BH16" s="2" t="s">
        <v>134</v>
      </c>
      <c r="BI16" s="2" t="s">
        <v>133</v>
      </c>
      <c r="BJ16" s="4">
        <f>2 + (1/2)</f>
        <v>2.5</v>
      </c>
      <c r="BK16" s="2" t="s">
        <v>151</v>
      </c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 t="s">
        <v>118</v>
      </c>
      <c r="CD16" s="2" t="s">
        <v>186</v>
      </c>
      <c r="CE16" s="2"/>
      <c r="CF16" s="2"/>
      <c r="CG16" s="2"/>
      <c r="CH16" s="2"/>
      <c r="CI16" s="2" t="s">
        <v>103</v>
      </c>
      <c r="CJ16" s="2" t="s">
        <v>113</v>
      </c>
      <c r="CK16" s="2" t="s">
        <v>133</v>
      </c>
      <c r="CL16" s="2"/>
      <c r="CM16" s="2"/>
      <c r="CN16" s="2"/>
      <c r="CO16" s="2" t="s">
        <v>111</v>
      </c>
      <c r="CP16" s="2"/>
      <c r="CQ16" s="2"/>
      <c r="CR16" s="2"/>
      <c r="CS16" s="2"/>
      <c r="CT16" s="2"/>
      <c r="CU16" s="2"/>
      <c r="CV16" s="2"/>
      <c r="CW16" s="2"/>
      <c r="CX16" s="2" t="s">
        <v>111</v>
      </c>
      <c r="CY16" s="2" t="s">
        <v>120</v>
      </c>
    </row>
    <row r="17" ht="15.75" customHeight="1">
      <c r="A17" s="2" t="s">
        <v>124</v>
      </c>
      <c r="B17" s="2" t="s">
        <v>130</v>
      </c>
      <c r="C17" s="2" t="s">
        <v>104</v>
      </c>
      <c r="D17" s="2"/>
      <c r="E17" s="2"/>
      <c r="F17" s="2" t="s">
        <v>103</v>
      </c>
      <c r="G17" s="2"/>
      <c r="H17" s="2">
        <f>1/2</f>
        <v>0.5</v>
      </c>
      <c r="I17" s="5">
        <f>3 + (1/2)</f>
        <v>3.5</v>
      </c>
      <c r="J17" s="2"/>
      <c r="K17" s="2"/>
      <c r="L17" s="2" t="s">
        <v>159</v>
      </c>
      <c r="M17" s="2"/>
      <c r="N17" s="2" t="s">
        <v>137</v>
      </c>
      <c r="O17" s="2"/>
      <c r="P17" s="2"/>
      <c r="Q17" s="2" t="s">
        <v>111</v>
      </c>
      <c r="R17" s="2"/>
      <c r="S17" s="2" t="s">
        <v>107</v>
      </c>
      <c r="T17" s="2"/>
      <c r="U17" s="2" t="s">
        <v>116</v>
      </c>
      <c r="V17" s="2"/>
      <c r="W17" s="2"/>
      <c r="X17" s="2"/>
      <c r="Y17" s="2"/>
      <c r="Z17" s="2"/>
      <c r="AA17" s="2"/>
      <c r="AB17" s="2" t="s">
        <v>103</v>
      </c>
      <c r="AC17" s="2"/>
      <c r="AD17" s="2" t="s">
        <v>103</v>
      </c>
      <c r="AE17" s="2"/>
      <c r="AF17" s="2"/>
      <c r="AG17" s="2"/>
      <c r="AH17" s="2"/>
      <c r="AI17" s="2"/>
      <c r="AJ17" s="2" t="s">
        <v>109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 t="s">
        <v>103</v>
      </c>
      <c r="CD17" s="2" t="s">
        <v>111</v>
      </c>
      <c r="CE17" s="2"/>
      <c r="CF17" s="2"/>
      <c r="CG17" s="2"/>
      <c r="CH17" s="2"/>
      <c r="CI17" s="2">
        <f t="shared" ref="CI17:CI18" si="3">1/2</f>
        <v>0.5</v>
      </c>
      <c r="CJ17" s="2"/>
      <c r="CK17" s="3" t="s">
        <v>107</v>
      </c>
      <c r="CL17" s="2"/>
      <c r="CM17" s="2"/>
      <c r="CN17" s="2"/>
      <c r="CO17" s="2" t="s">
        <v>123</v>
      </c>
      <c r="CP17" s="2"/>
      <c r="CQ17" s="2"/>
      <c r="CR17" s="2"/>
      <c r="CS17" s="2"/>
      <c r="CT17" s="2"/>
      <c r="CU17" s="2"/>
      <c r="CV17" s="2"/>
      <c r="CW17" s="2"/>
      <c r="CX17" s="2"/>
      <c r="CY17" s="2"/>
    </row>
    <row r="18" ht="15.75" customHeight="1">
      <c r="A18" s="2" t="s">
        <v>157</v>
      </c>
      <c r="B18" s="2" t="s">
        <v>130</v>
      </c>
      <c r="C18" s="2" t="s">
        <v>104</v>
      </c>
      <c r="D18" s="2"/>
      <c r="E18" s="2" t="s">
        <v>103</v>
      </c>
      <c r="F18" s="2"/>
      <c r="G18" s="2"/>
      <c r="H18" s="2" t="s">
        <v>113</v>
      </c>
      <c r="I18" s="2" t="s">
        <v>128</v>
      </c>
      <c r="J18" s="2" t="s">
        <v>120</v>
      </c>
      <c r="K18" s="2"/>
      <c r="L18" s="2" t="s">
        <v>163</v>
      </c>
      <c r="M18" s="2" t="s">
        <v>107</v>
      </c>
      <c r="N18" s="3" t="s">
        <v>190</v>
      </c>
      <c r="O18" s="2"/>
      <c r="P18" s="2"/>
      <c r="Q18" s="2" t="s">
        <v>191</v>
      </c>
      <c r="R18" s="2" t="s">
        <v>169</v>
      </c>
      <c r="S18" s="2" t="s">
        <v>192</v>
      </c>
      <c r="T18" s="2" t="s">
        <v>107</v>
      </c>
      <c r="U18" s="2" t="s">
        <v>191</v>
      </c>
      <c r="V18" s="2" t="s">
        <v>137</v>
      </c>
      <c r="W18" s="2"/>
      <c r="X18" s="2"/>
      <c r="Y18" s="2" t="s">
        <v>125</v>
      </c>
      <c r="Z18" s="2"/>
      <c r="AA18" s="2"/>
      <c r="AB18" s="2" t="s">
        <v>118</v>
      </c>
      <c r="AC18" s="2" t="s">
        <v>130</v>
      </c>
      <c r="AD18" s="2" t="s">
        <v>118</v>
      </c>
      <c r="AE18" s="2"/>
      <c r="AF18" s="2" t="s">
        <v>103</v>
      </c>
      <c r="AG18" s="2" t="s">
        <v>103</v>
      </c>
      <c r="AH18" s="2"/>
      <c r="AI18" s="2"/>
      <c r="AJ18" s="2" t="s">
        <v>150</v>
      </c>
      <c r="AK18" s="2"/>
      <c r="AL18" s="2" t="s">
        <v>103</v>
      </c>
      <c r="AM18" s="2"/>
      <c r="AN18" s="2"/>
      <c r="AO18" s="2"/>
      <c r="AP18" s="2"/>
      <c r="AQ18" s="2"/>
      <c r="AR18" s="2"/>
      <c r="AS18" s="2"/>
      <c r="AT18" s="2" t="s">
        <v>103</v>
      </c>
      <c r="AU18" s="2" t="s">
        <v>125</v>
      </c>
      <c r="AV18" s="3" t="s">
        <v>157</v>
      </c>
      <c r="AW18" s="2" t="s">
        <v>134</v>
      </c>
      <c r="AX18" s="2"/>
      <c r="AY18" s="2" t="s">
        <v>123</v>
      </c>
      <c r="AZ18" s="2"/>
      <c r="BA18" s="2"/>
      <c r="BB18" s="2"/>
      <c r="BC18" s="2"/>
      <c r="BD18" s="2" t="s">
        <v>103</v>
      </c>
      <c r="BE18" s="2" t="s">
        <v>193</v>
      </c>
      <c r="BF18" s="2" t="s">
        <v>130</v>
      </c>
      <c r="BG18" s="2" t="s">
        <v>194</v>
      </c>
      <c r="BH18" s="2" t="s">
        <v>167</v>
      </c>
      <c r="BI18" s="2" t="s">
        <v>195</v>
      </c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 t="s">
        <v>116</v>
      </c>
      <c r="CD18" s="2" t="s">
        <v>139</v>
      </c>
      <c r="CE18" s="2"/>
      <c r="CF18" s="2"/>
      <c r="CG18" s="2"/>
      <c r="CH18" s="2"/>
      <c r="CI18" s="2">
        <f t="shared" si="3"/>
        <v>0.5</v>
      </c>
      <c r="CJ18" s="2" t="s">
        <v>137</v>
      </c>
      <c r="CK18" s="2" t="s">
        <v>132</v>
      </c>
      <c r="CL18" s="2"/>
      <c r="CM18" s="2"/>
      <c r="CN18" s="2"/>
      <c r="CO18" s="2" t="s">
        <v>137</v>
      </c>
      <c r="CP18" s="2"/>
      <c r="CQ18" s="2"/>
      <c r="CR18" s="2"/>
      <c r="CS18" s="2"/>
      <c r="CT18" s="2"/>
      <c r="CU18" s="2"/>
      <c r="CV18" s="2"/>
      <c r="CW18" s="2" t="s">
        <v>103</v>
      </c>
      <c r="CX18" s="2" t="s">
        <v>148</v>
      </c>
      <c r="CY18" s="2" t="s">
        <v>120</v>
      </c>
    </row>
    <row r="19" ht="15.75" customHeight="1">
      <c r="A19" s="2" t="s">
        <v>134</v>
      </c>
      <c r="B19" s="2" t="s">
        <v>130</v>
      </c>
      <c r="C19" s="2" t="s">
        <v>104</v>
      </c>
      <c r="D19" s="2"/>
      <c r="E19" s="2"/>
      <c r="F19" s="2"/>
      <c r="G19" s="2" t="s">
        <v>103</v>
      </c>
      <c r="H19" s="2" t="s">
        <v>133</v>
      </c>
      <c r="I19" s="2" t="s">
        <v>120</v>
      </c>
      <c r="J19" s="2" t="s">
        <v>134</v>
      </c>
      <c r="K19" s="2"/>
      <c r="L19" s="2" t="s">
        <v>196</v>
      </c>
      <c r="M19" s="2" t="s">
        <v>197</v>
      </c>
      <c r="N19" s="2" t="s">
        <v>129</v>
      </c>
      <c r="O19" s="2" t="s">
        <v>107</v>
      </c>
      <c r="P19" s="2"/>
      <c r="Q19" s="2" t="s">
        <v>133</v>
      </c>
      <c r="R19" s="2" t="s">
        <v>167</v>
      </c>
      <c r="S19" s="2" t="s">
        <v>150</v>
      </c>
      <c r="T19" s="2" t="s">
        <v>107</v>
      </c>
      <c r="U19" s="2" t="s">
        <v>117</v>
      </c>
      <c r="V19" s="2" t="s">
        <v>107</v>
      </c>
      <c r="W19" s="2"/>
      <c r="X19" s="2"/>
      <c r="Y19" s="2" t="s">
        <v>116</v>
      </c>
      <c r="Z19" s="2"/>
      <c r="AA19" s="2"/>
      <c r="AB19" s="2" t="s">
        <v>118</v>
      </c>
      <c r="AC19" s="2"/>
      <c r="AD19" s="2" t="s">
        <v>116</v>
      </c>
      <c r="AE19" s="2"/>
      <c r="AF19" s="2" t="s">
        <v>189</v>
      </c>
      <c r="AG19" s="2"/>
      <c r="AH19" s="2"/>
      <c r="AI19" s="2"/>
      <c r="AJ19" s="2" t="s">
        <v>123</v>
      </c>
      <c r="AK19" s="2"/>
      <c r="AL19" s="3" t="s">
        <v>123</v>
      </c>
      <c r="AM19" s="2" t="s">
        <v>118</v>
      </c>
      <c r="AN19" s="2" t="s">
        <v>103</v>
      </c>
      <c r="AO19" s="2" t="s">
        <v>120</v>
      </c>
      <c r="AP19" s="2" t="s">
        <v>103</v>
      </c>
      <c r="AQ19" s="2"/>
      <c r="AR19" s="2" t="s">
        <v>130</v>
      </c>
      <c r="AS19" s="2"/>
      <c r="AT19" s="2" t="s">
        <v>123</v>
      </c>
      <c r="AU19" s="2" t="s">
        <v>139</v>
      </c>
      <c r="AV19" s="2"/>
      <c r="AW19" s="2"/>
      <c r="AX19" s="2"/>
      <c r="AY19" s="2"/>
      <c r="AZ19" s="2"/>
      <c r="BA19" s="2"/>
      <c r="BB19" s="2"/>
      <c r="BC19" s="2"/>
      <c r="BD19" s="2" t="s">
        <v>130</v>
      </c>
      <c r="BE19" s="2" t="s">
        <v>115</v>
      </c>
      <c r="BF19" s="2" t="s">
        <v>118</v>
      </c>
      <c r="BG19" s="2" t="s">
        <v>129</v>
      </c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 t="s">
        <v>103</v>
      </c>
      <c r="CD19" s="2" t="s">
        <v>172</v>
      </c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</row>
    <row r="20" ht="15.75" customHeight="1">
      <c r="A20" s="2" t="s">
        <v>167</v>
      </c>
      <c r="B20" s="2" t="s">
        <v>130</v>
      </c>
      <c r="C20" s="2" t="s">
        <v>104</v>
      </c>
      <c r="D20" s="2"/>
      <c r="E20" s="2" t="s">
        <v>103</v>
      </c>
      <c r="F20" s="2"/>
      <c r="G20" s="2"/>
      <c r="H20" s="2" t="s">
        <v>198</v>
      </c>
      <c r="I20" s="2" t="s">
        <v>133</v>
      </c>
      <c r="J20" s="2" t="s">
        <v>195</v>
      </c>
      <c r="K20" s="2"/>
      <c r="L20" s="2" t="s">
        <v>199</v>
      </c>
      <c r="M20" s="2" t="s">
        <v>112</v>
      </c>
      <c r="N20" s="2" t="s">
        <v>200</v>
      </c>
      <c r="O20" s="2"/>
      <c r="P20" s="2"/>
      <c r="Q20" s="2" t="s">
        <v>132</v>
      </c>
      <c r="R20" s="2" t="s">
        <v>120</v>
      </c>
      <c r="S20" s="2" t="s">
        <v>201</v>
      </c>
      <c r="T20" s="2" t="s">
        <v>133</v>
      </c>
      <c r="U20" s="2" t="s">
        <v>180</v>
      </c>
      <c r="V20" s="2" t="s">
        <v>113</v>
      </c>
      <c r="W20" s="2"/>
      <c r="X20" s="2"/>
      <c r="Y20" s="2" t="s">
        <v>130</v>
      </c>
      <c r="Z20" s="2"/>
      <c r="AA20" s="2"/>
      <c r="AB20" s="2" t="s">
        <v>124</v>
      </c>
      <c r="AC20" s="2" t="s">
        <v>124</v>
      </c>
      <c r="AD20" s="2" t="s">
        <v>157</v>
      </c>
      <c r="AE20" s="2"/>
      <c r="AF20" s="2" t="s">
        <v>130</v>
      </c>
      <c r="AG20" s="2" t="s">
        <v>103</v>
      </c>
      <c r="AH20" s="2"/>
      <c r="AI20" s="2"/>
      <c r="AJ20" s="2" t="s">
        <v>149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 t="s">
        <v>130</v>
      </c>
      <c r="AW20" s="2" t="s">
        <v>202</v>
      </c>
      <c r="AX20" s="2"/>
      <c r="AY20" s="2" t="s">
        <v>109</v>
      </c>
      <c r="AZ20" s="2"/>
      <c r="BA20" s="2"/>
      <c r="BB20" s="2"/>
      <c r="BC20" s="2"/>
      <c r="BD20" s="2" t="s">
        <v>116</v>
      </c>
      <c r="BE20" s="2" t="s">
        <v>105</v>
      </c>
      <c r="BF20" s="2" t="s">
        <v>116</v>
      </c>
      <c r="BG20" s="2" t="s">
        <v>197</v>
      </c>
      <c r="BH20" s="2"/>
      <c r="BI20" s="2"/>
      <c r="BJ20" s="2"/>
      <c r="BK20" s="2"/>
      <c r="BL20" s="2" t="s">
        <v>111</v>
      </c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5">
        <f>1 + (1/2)</f>
        <v>1.5</v>
      </c>
      <c r="CD20" s="2" t="s">
        <v>129</v>
      </c>
      <c r="CE20" s="2"/>
      <c r="CF20" s="2"/>
      <c r="CG20" s="2"/>
      <c r="CH20" s="2"/>
      <c r="CI20" s="2" t="s">
        <v>103</v>
      </c>
      <c r="CJ20" s="2" t="s">
        <v>115</v>
      </c>
      <c r="CK20" s="2" t="s">
        <v>137</v>
      </c>
      <c r="CL20" s="2"/>
      <c r="CM20" s="2"/>
      <c r="CN20" s="2"/>
      <c r="CO20" s="2" t="s">
        <v>137</v>
      </c>
      <c r="CP20" s="2"/>
      <c r="CQ20" s="2"/>
      <c r="CR20" s="2"/>
      <c r="CS20" s="2"/>
      <c r="CT20" s="2"/>
      <c r="CU20" s="2"/>
      <c r="CV20" s="2"/>
      <c r="CW20" s="2"/>
      <c r="CX20" s="2" t="s">
        <v>107</v>
      </c>
      <c r="CY20" s="2" t="s">
        <v>109</v>
      </c>
    </row>
    <row r="21" ht="15.75" customHeight="1">
      <c r="A21" s="2" t="s">
        <v>111</v>
      </c>
      <c r="B21" s="2" t="s">
        <v>130</v>
      </c>
      <c r="C21" s="2" t="s">
        <v>104</v>
      </c>
      <c r="D21" s="2"/>
      <c r="E21" s="2" t="s">
        <v>103</v>
      </c>
      <c r="F21" s="2"/>
      <c r="G21" s="2"/>
      <c r="H21" s="2" t="s">
        <v>107</v>
      </c>
      <c r="I21" s="2" t="s">
        <v>137</v>
      </c>
      <c r="J21" s="2" t="s">
        <v>107</v>
      </c>
      <c r="K21" s="2"/>
      <c r="L21" s="2" t="s">
        <v>163</v>
      </c>
      <c r="M21" s="2" t="s">
        <v>109</v>
      </c>
      <c r="N21" s="2" t="s">
        <v>129</v>
      </c>
      <c r="O21" s="2" t="s">
        <v>111</v>
      </c>
      <c r="P21" s="2"/>
      <c r="Q21" s="2"/>
      <c r="R21" s="2"/>
      <c r="S21" s="2" t="s">
        <v>136</v>
      </c>
      <c r="T21" s="2" t="s">
        <v>156</v>
      </c>
      <c r="U21" s="2" t="s">
        <v>137</v>
      </c>
      <c r="V21" s="2" t="s">
        <v>137</v>
      </c>
      <c r="W21" s="2"/>
      <c r="X21" s="2"/>
      <c r="Y21" s="2" t="s">
        <v>103</v>
      </c>
      <c r="Z21" s="2"/>
      <c r="AA21" s="2"/>
      <c r="AB21" s="2" t="s">
        <v>118</v>
      </c>
      <c r="AC21" s="2" t="s">
        <v>130</v>
      </c>
      <c r="AD21" s="2" t="s">
        <v>118</v>
      </c>
      <c r="AE21" s="2"/>
      <c r="AF21" s="2" t="s">
        <v>130</v>
      </c>
      <c r="AG21" s="2"/>
      <c r="AH21" s="2"/>
      <c r="AI21" s="2"/>
      <c r="AJ21" s="2" t="s">
        <v>186</v>
      </c>
      <c r="AK21" s="2" t="s">
        <v>105</v>
      </c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 t="s">
        <v>130</v>
      </c>
      <c r="AW21" s="2" t="s">
        <v>160</v>
      </c>
      <c r="AX21" s="2"/>
      <c r="AY21" s="2" t="s">
        <v>129</v>
      </c>
      <c r="AZ21" s="2"/>
      <c r="BA21" s="2"/>
      <c r="BB21" s="2"/>
      <c r="BC21" s="2"/>
      <c r="BD21" s="2" t="s">
        <v>130</v>
      </c>
      <c r="BE21" s="2" t="s">
        <v>191</v>
      </c>
      <c r="BF21" s="2" t="s">
        <v>130</v>
      </c>
      <c r="BG21" s="2" t="s">
        <v>105</v>
      </c>
      <c r="BH21" s="2"/>
      <c r="BI21" s="2"/>
      <c r="BJ21" s="2">
        <f>1/2</f>
        <v>0.5</v>
      </c>
      <c r="BK21" s="2" t="s">
        <v>118</v>
      </c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>
        <f t="shared" ref="CC21:CC22" si="4">1/2</f>
        <v>0.5</v>
      </c>
      <c r="CD21" s="2" t="s">
        <v>115</v>
      </c>
      <c r="CE21" s="2"/>
      <c r="CF21" s="2"/>
      <c r="CG21" s="2"/>
      <c r="CH21" s="2"/>
      <c r="CI21" s="2"/>
      <c r="CJ21" s="2" t="s">
        <v>111</v>
      </c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 t="s">
        <v>111</v>
      </c>
      <c r="CY21" s="2" t="s">
        <v>137</v>
      </c>
    </row>
    <row r="22" ht="15.75" customHeight="1">
      <c r="A22" s="2" t="s">
        <v>103</v>
      </c>
      <c r="B22" s="2" t="s">
        <v>116</v>
      </c>
      <c r="C22" s="2" t="s">
        <v>104</v>
      </c>
      <c r="D22" s="2"/>
      <c r="E22" s="2" t="s">
        <v>103</v>
      </c>
      <c r="F22" s="2"/>
      <c r="G22" s="2"/>
      <c r="H22" s="2" t="s">
        <v>113</v>
      </c>
      <c r="I22" s="2" t="s">
        <v>111</v>
      </c>
      <c r="J22" s="2" t="s">
        <v>133</v>
      </c>
      <c r="K22" s="2"/>
      <c r="L22" s="2" t="s">
        <v>135</v>
      </c>
      <c r="M22" s="2" t="s">
        <v>120</v>
      </c>
      <c r="N22" s="2" t="s">
        <v>168</v>
      </c>
      <c r="O22" s="2"/>
      <c r="P22" s="2"/>
      <c r="Q22" s="2"/>
      <c r="R22" s="2"/>
      <c r="S22" s="2" t="s">
        <v>129</v>
      </c>
      <c r="T22" s="2" t="s">
        <v>111</v>
      </c>
      <c r="U22" s="2" t="s">
        <v>122</v>
      </c>
      <c r="V22" s="2" t="s">
        <v>111</v>
      </c>
      <c r="W22" s="2"/>
      <c r="X22" s="2"/>
      <c r="Y22" s="2" t="s">
        <v>103</v>
      </c>
      <c r="Z22" s="2"/>
      <c r="AA22" s="2"/>
      <c r="AB22" s="2" t="s">
        <v>116</v>
      </c>
      <c r="AC22" s="2" t="s">
        <v>130</v>
      </c>
      <c r="AD22" s="2" t="s">
        <v>125</v>
      </c>
      <c r="AE22" s="2" t="s">
        <v>118</v>
      </c>
      <c r="AF22" s="2"/>
      <c r="AG22" s="2"/>
      <c r="AH22" s="2"/>
      <c r="AI22" s="2"/>
      <c r="AJ22" s="2" t="s">
        <v>139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 t="s">
        <v>120</v>
      </c>
      <c r="AX22" s="2"/>
      <c r="AY22" s="2" t="s">
        <v>132</v>
      </c>
      <c r="AZ22" s="2"/>
      <c r="BA22" s="2"/>
      <c r="BB22" s="2"/>
      <c r="BC22" s="2"/>
      <c r="BD22" s="2" t="s">
        <v>130</v>
      </c>
      <c r="BE22" s="2" t="s">
        <v>132</v>
      </c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>
        <f t="shared" si="4"/>
        <v>0.5</v>
      </c>
      <c r="CD22" s="2" t="s">
        <v>133</v>
      </c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 t="s">
        <v>119</v>
      </c>
      <c r="CY22" s="2" t="s">
        <v>156</v>
      </c>
    </row>
    <row r="23" ht="15.75" customHeight="1">
      <c r="A23" s="2" t="s">
        <v>130</v>
      </c>
      <c r="B23" s="2" t="s">
        <v>116</v>
      </c>
      <c r="C23" s="2" t="s">
        <v>104</v>
      </c>
      <c r="D23" s="2"/>
      <c r="E23" s="2" t="s">
        <v>103</v>
      </c>
      <c r="F23" s="2"/>
      <c r="G23" s="2"/>
      <c r="H23" s="2" t="s">
        <v>123</v>
      </c>
      <c r="I23" s="2" t="s">
        <v>115</v>
      </c>
      <c r="J23" s="2" t="s">
        <v>133</v>
      </c>
      <c r="K23" s="2"/>
      <c r="L23" s="2" t="s">
        <v>203</v>
      </c>
      <c r="M23" s="2" t="s">
        <v>188</v>
      </c>
      <c r="N23" s="2" t="s">
        <v>204</v>
      </c>
      <c r="O23" s="2"/>
      <c r="P23" s="2"/>
      <c r="Q23" s="2" t="s">
        <v>112</v>
      </c>
      <c r="R23" s="2" t="s">
        <v>162</v>
      </c>
      <c r="S23" s="2" t="s">
        <v>131</v>
      </c>
      <c r="T23" s="2" t="s">
        <v>133</v>
      </c>
      <c r="U23" s="2" t="s">
        <v>115</v>
      </c>
      <c r="V23" s="2" t="s">
        <v>113</v>
      </c>
      <c r="W23" s="2"/>
      <c r="X23" s="2" t="s">
        <v>116</v>
      </c>
      <c r="Y23" s="2" t="s">
        <v>125</v>
      </c>
      <c r="Z23" s="2"/>
      <c r="AA23" s="2"/>
      <c r="AB23" s="2" t="s">
        <v>148</v>
      </c>
      <c r="AC23" s="2" t="s">
        <v>124</v>
      </c>
      <c r="AD23" s="2" t="s">
        <v>157</v>
      </c>
      <c r="AE23" s="2" t="s">
        <v>124</v>
      </c>
      <c r="AF23" s="2" t="s">
        <v>116</v>
      </c>
      <c r="AG23" s="2"/>
      <c r="AH23" s="2"/>
      <c r="AI23" s="2"/>
      <c r="AJ23" s="2" t="s">
        <v>155</v>
      </c>
      <c r="AK23" s="2" t="s">
        <v>150</v>
      </c>
      <c r="AL23" s="2" t="s">
        <v>180</v>
      </c>
      <c r="AM23" s="2" t="s">
        <v>157</v>
      </c>
      <c r="AN23" s="2"/>
      <c r="AO23" s="2"/>
      <c r="AP23" s="2" t="s">
        <v>103</v>
      </c>
      <c r="AQ23" s="2" t="s">
        <v>103</v>
      </c>
      <c r="AR23" s="2" t="s">
        <v>130</v>
      </c>
      <c r="AS23" s="2"/>
      <c r="AT23" s="2" t="s">
        <v>180</v>
      </c>
      <c r="AU23" s="2" t="s">
        <v>197</v>
      </c>
      <c r="AV23" s="2" t="s">
        <v>116</v>
      </c>
      <c r="AW23" s="2" t="s">
        <v>137</v>
      </c>
      <c r="AX23" s="2"/>
      <c r="AY23" s="2" t="s">
        <v>109</v>
      </c>
      <c r="AZ23" s="2"/>
      <c r="BA23" s="2"/>
      <c r="BB23" s="2"/>
      <c r="BC23" s="2"/>
      <c r="BD23" s="2" t="s">
        <v>130</v>
      </c>
      <c r="BE23" s="2" t="s">
        <v>122</v>
      </c>
      <c r="BF23" s="5">
        <f>3 + (1/2)</f>
        <v>3.5</v>
      </c>
      <c r="BG23" s="2" t="s">
        <v>176</v>
      </c>
      <c r="BH23" s="2" t="s">
        <v>130</v>
      </c>
      <c r="BI23" s="2" t="s">
        <v>180</v>
      </c>
      <c r="BJ23" s="5">
        <f>1 + (1/2)</f>
        <v>1.5</v>
      </c>
      <c r="BK23" s="2" t="s">
        <v>107</v>
      </c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 t="s">
        <v>103</v>
      </c>
      <c r="CD23" s="2" t="s">
        <v>115</v>
      </c>
      <c r="CE23" s="2"/>
      <c r="CF23" s="2"/>
      <c r="CG23" s="2"/>
      <c r="CH23" s="2"/>
      <c r="CI23" s="2" t="s">
        <v>130</v>
      </c>
      <c r="CJ23" s="2" t="s">
        <v>113</v>
      </c>
      <c r="CK23" s="2" t="s">
        <v>197</v>
      </c>
      <c r="CL23" s="2"/>
      <c r="CM23" s="2"/>
      <c r="CN23" s="2"/>
      <c r="CO23" s="2" t="s">
        <v>119</v>
      </c>
      <c r="CP23" s="2"/>
      <c r="CQ23" s="2"/>
      <c r="CR23" s="2"/>
      <c r="CS23" s="2"/>
      <c r="CT23" s="2"/>
      <c r="CU23" s="2"/>
      <c r="CV23" s="2"/>
      <c r="CW23" s="2"/>
      <c r="CX23" s="2" t="s">
        <v>133</v>
      </c>
      <c r="CY23" s="2" t="s">
        <v>106</v>
      </c>
    </row>
    <row r="24" ht="15.75" customHeight="1">
      <c r="A24" s="2" t="s">
        <v>116</v>
      </c>
      <c r="B24" s="2" t="s">
        <v>116</v>
      </c>
      <c r="C24" s="2" t="s">
        <v>104</v>
      </c>
      <c r="D24" s="2"/>
      <c r="E24" s="2" t="s">
        <v>103</v>
      </c>
      <c r="F24" s="2"/>
      <c r="G24" s="2"/>
      <c r="H24" s="2" t="s">
        <v>205</v>
      </c>
      <c r="I24" s="2" t="s">
        <v>107</v>
      </c>
      <c r="J24" s="2" t="s">
        <v>171</v>
      </c>
      <c r="K24" s="2"/>
      <c r="L24" s="2" t="s">
        <v>174</v>
      </c>
      <c r="M24" s="2" t="s">
        <v>206</v>
      </c>
      <c r="N24" s="2" t="s">
        <v>207</v>
      </c>
      <c r="O24" s="2"/>
      <c r="P24" s="2"/>
      <c r="Q24" s="2" t="s">
        <v>132</v>
      </c>
      <c r="R24" s="2" t="s">
        <v>113</v>
      </c>
      <c r="S24" s="2" t="s">
        <v>208</v>
      </c>
      <c r="T24" s="2" t="s">
        <v>106</v>
      </c>
      <c r="U24" s="2" t="s">
        <v>209</v>
      </c>
      <c r="V24" s="2" t="s">
        <v>105</v>
      </c>
      <c r="W24" s="2"/>
      <c r="X24" s="2"/>
      <c r="Y24" s="2" t="s">
        <v>130</v>
      </c>
      <c r="Z24" s="2" t="s">
        <v>130</v>
      </c>
      <c r="AA24" s="2"/>
      <c r="AB24" s="2" t="s">
        <v>167</v>
      </c>
      <c r="AC24" s="2" t="s">
        <v>148</v>
      </c>
      <c r="AD24" s="2" t="s">
        <v>167</v>
      </c>
      <c r="AE24" s="2"/>
      <c r="AF24" s="2" t="s">
        <v>116</v>
      </c>
      <c r="AG24" s="2" t="s">
        <v>130</v>
      </c>
      <c r="AH24" s="2"/>
      <c r="AI24" s="2"/>
      <c r="AJ24" s="2" t="s">
        <v>159</v>
      </c>
      <c r="AK24" s="2" t="s">
        <v>133</v>
      </c>
      <c r="AL24" s="2" t="s">
        <v>123</v>
      </c>
      <c r="AM24" s="2" t="s">
        <v>127</v>
      </c>
      <c r="AN24" s="2"/>
      <c r="AO24" s="2" t="s">
        <v>141</v>
      </c>
      <c r="AP24" s="2" t="s">
        <v>116</v>
      </c>
      <c r="AQ24" s="2" t="s">
        <v>111</v>
      </c>
      <c r="AR24" s="2" t="s">
        <v>130</v>
      </c>
      <c r="AS24" s="2"/>
      <c r="AT24" s="2" t="s">
        <v>123</v>
      </c>
      <c r="AU24" s="2" t="s">
        <v>136</v>
      </c>
      <c r="AV24" s="2" t="s">
        <v>130</v>
      </c>
      <c r="AW24" s="2" t="s">
        <v>122</v>
      </c>
      <c r="AX24" s="2"/>
      <c r="AY24" s="2" t="s">
        <v>132</v>
      </c>
      <c r="AZ24" s="2"/>
      <c r="BA24" s="2"/>
      <c r="BB24" s="2"/>
      <c r="BC24" s="2"/>
      <c r="BD24" s="2" t="s">
        <v>118</v>
      </c>
      <c r="BE24" s="2" t="s">
        <v>129</v>
      </c>
      <c r="BF24" s="2" t="s">
        <v>130</v>
      </c>
      <c r="BG24" s="2" t="s">
        <v>210</v>
      </c>
      <c r="BH24" s="2"/>
      <c r="BI24" s="2"/>
      <c r="BJ24" s="2" t="s">
        <v>116</v>
      </c>
      <c r="BK24" s="2" t="s">
        <v>198</v>
      </c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 t="s">
        <v>111</v>
      </c>
      <c r="BY24" s="2"/>
      <c r="BZ24" s="2"/>
      <c r="CA24" s="2"/>
      <c r="CB24" s="2"/>
      <c r="CC24" s="2" t="s">
        <v>116</v>
      </c>
      <c r="CD24" s="2" t="s">
        <v>131</v>
      </c>
      <c r="CE24" s="2"/>
      <c r="CF24" s="2"/>
      <c r="CG24" s="2"/>
      <c r="CH24" s="2"/>
      <c r="CI24" s="2" t="s">
        <v>111</v>
      </c>
      <c r="CJ24" s="2" t="s">
        <v>139</v>
      </c>
      <c r="CK24" s="2" t="s">
        <v>150</v>
      </c>
      <c r="CL24" s="2"/>
      <c r="CM24" s="2"/>
      <c r="CN24" s="2"/>
      <c r="CO24" s="2" t="s">
        <v>106</v>
      </c>
      <c r="CP24" s="2"/>
      <c r="CQ24" s="2"/>
      <c r="CR24" s="2"/>
      <c r="CS24" s="2"/>
      <c r="CT24" s="2"/>
      <c r="CU24" s="2"/>
      <c r="CV24" s="2"/>
      <c r="CW24" s="2"/>
      <c r="CX24" s="2" t="s">
        <v>120</v>
      </c>
      <c r="CY24" s="2" t="s">
        <v>133</v>
      </c>
    </row>
    <row r="25" ht="15.75" customHeight="1">
      <c r="A25" s="2" t="s">
        <v>125</v>
      </c>
      <c r="B25" s="2" t="s">
        <v>116</v>
      </c>
      <c r="C25" s="2" t="s">
        <v>104</v>
      </c>
      <c r="D25" s="2"/>
      <c r="E25" s="2" t="s">
        <v>103</v>
      </c>
      <c r="F25" s="2"/>
      <c r="G25" s="2"/>
      <c r="H25" s="2" t="s">
        <v>133</v>
      </c>
      <c r="I25" s="2" t="s">
        <v>137</v>
      </c>
      <c r="J25" s="2" t="s">
        <v>107</v>
      </c>
      <c r="K25" s="2"/>
      <c r="L25" s="2" t="s">
        <v>135</v>
      </c>
      <c r="M25" s="2" t="s">
        <v>109</v>
      </c>
      <c r="N25" s="2" t="s">
        <v>150</v>
      </c>
      <c r="O25" s="2"/>
      <c r="P25" s="2"/>
      <c r="Q25" s="2" t="s">
        <v>133</v>
      </c>
      <c r="R25" s="2"/>
      <c r="S25" s="2" t="s">
        <v>136</v>
      </c>
      <c r="T25" s="2" t="s">
        <v>171</v>
      </c>
      <c r="U25" s="2" t="s">
        <v>211</v>
      </c>
      <c r="V25" s="2" t="s">
        <v>133</v>
      </c>
      <c r="W25" s="2"/>
      <c r="X25" s="2"/>
      <c r="Y25" s="2" t="s">
        <v>130</v>
      </c>
      <c r="Z25" s="2"/>
      <c r="AA25" s="2"/>
      <c r="AB25" s="2" t="s">
        <v>125</v>
      </c>
      <c r="AC25" s="2" t="s">
        <v>111</v>
      </c>
      <c r="AD25" s="2" t="s">
        <v>118</v>
      </c>
      <c r="AE25" s="2"/>
      <c r="AF25" s="2" t="s">
        <v>130</v>
      </c>
      <c r="AG25" s="2"/>
      <c r="AH25" s="2"/>
      <c r="AI25" s="2"/>
      <c r="AJ25" s="2" t="s">
        <v>183</v>
      </c>
      <c r="AK25" s="2"/>
      <c r="AL25" s="2" t="s">
        <v>141</v>
      </c>
      <c r="AM25" s="2" t="s">
        <v>125</v>
      </c>
      <c r="AN25" s="2"/>
      <c r="AO25" s="2"/>
      <c r="AP25" s="2"/>
      <c r="AQ25" s="2"/>
      <c r="AR25" s="2" t="s">
        <v>125</v>
      </c>
      <c r="AS25" s="2"/>
      <c r="AT25" s="2" t="s">
        <v>141</v>
      </c>
      <c r="AU25" s="2" t="s">
        <v>146</v>
      </c>
      <c r="AV25" s="2" t="s">
        <v>103</v>
      </c>
      <c r="AW25" s="2" t="s">
        <v>119</v>
      </c>
      <c r="AX25" s="2"/>
      <c r="AY25" s="2" t="s">
        <v>113</v>
      </c>
      <c r="AZ25" s="2"/>
      <c r="BA25" s="2"/>
      <c r="BB25" s="2"/>
      <c r="BC25" s="2"/>
      <c r="BD25" s="5">
        <f t="shared" ref="BD25:BD26" si="5">1 + (1/2)</f>
        <v>1.5</v>
      </c>
      <c r="BE25" s="2" t="s">
        <v>115</v>
      </c>
      <c r="BF25" s="2" t="s">
        <v>130</v>
      </c>
      <c r="BG25" s="2" t="s">
        <v>115</v>
      </c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 t="s">
        <v>115</v>
      </c>
      <c r="BX25" s="2"/>
      <c r="BY25" s="2"/>
      <c r="BZ25" s="2"/>
      <c r="CA25" s="2"/>
      <c r="CB25" s="2"/>
      <c r="CC25" s="2" t="s">
        <v>103</v>
      </c>
      <c r="CD25" s="2" t="s">
        <v>109</v>
      </c>
      <c r="CE25" s="2"/>
      <c r="CF25" s="2"/>
      <c r="CG25" s="2"/>
      <c r="CH25" s="2"/>
      <c r="CI25" s="2" t="s">
        <v>103</v>
      </c>
      <c r="CJ25" s="2" t="s">
        <v>137</v>
      </c>
      <c r="CK25" s="2" t="s">
        <v>133</v>
      </c>
      <c r="CL25" s="2"/>
      <c r="CM25" s="2"/>
      <c r="CN25" s="2"/>
      <c r="CO25" s="2" t="s">
        <v>116</v>
      </c>
      <c r="CP25" s="2"/>
      <c r="CQ25" s="2"/>
      <c r="CR25" s="2"/>
      <c r="CS25" s="2"/>
      <c r="CT25" s="2"/>
      <c r="CU25" s="2"/>
      <c r="CV25" s="2"/>
      <c r="CW25" s="2"/>
      <c r="CX25" s="2" t="s">
        <v>137</v>
      </c>
      <c r="CY25" s="2" t="s">
        <v>113</v>
      </c>
    </row>
    <row r="26" ht="15.75" customHeight="1">
      <c r="A26" s="2" t="s">
        <v>118</v>
      </c>
      <c r="B26" s="2" t="s">
        <v>116</v>
      </c>
      <c r="C26" s="2" t="s">
        <v>104</v>
      </c>
      <c r="D26" s="2"/>
      <c r="E26" s="2" t="s">
        <v>103</v>
      </c>
      <c r="F26" s="2"/>
      <c r="G26" s="2"/>
      <c r="H26" s="2" t="s">
        <v>113</v>
      </c>
      <c r="I26" s="2" t="s">
        <v>107</v>
      </c>
      <c r="J26" s="2" t="s">
        <v>113</v>
      </c>
      <c r="K26" s="2"/>
      <c r="L26" s="2" t="s">
        <v>165</v>
      </c>
      <c r="M26" s="2" t="s">
        <v>129</v>
      </c>
      <c r="N26" s="2" t="s">
        <v>212</v>
      </c>
      <c r="O26" s="2"/>
      <c r="P26" s="2"/>
      <c r="Q26" s="2" t="s">
        <v>137</v>
      </c>
      <c r="R26" s="2"/>
      <c r="S26" s="2" t="s">
        <v>213</v>
      </c>
      <c r="T26" s="2" t="s">
        <v>214</v>
      </c>
      <c r="U26" s="2" t="s">
        <v>162</v>
      </c>
      <c r="V26" s="2" t="s">
        <v>113</v>
      </c>
      <c r="W26" s="2"/>
      <c r="X26" s="2"/>
      <c r="Y26" s="2" t="s">
        <v>125</v>
      </c>
      <c r="Z26" s="2"/>
      <c r="AA26" s="2"/>
      <c r="AB26" s="2" t="s">
        <v>116</v>
      </c>
      <c r="AC26" s="2" t="s">
        <v>125</v>
      </c>
      <c r="AD26" s="2" t="s">
        <v>116</v>
      </c>
      <c r="AE26" s="2"/>
      <c r="AF26" s="2"/>
      <c r="AG26" s="2"/>
      <c r="AH26" s="2"/>
      <c r="AI26" s="2"/>
      <c r="AJ26" s="2" t="s">
        <v>114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 t="s">
        <v>122</v>
      </c>
      <c r="AX26" s="2"/>
      <c r="AY26" s="2" t="s">
        <v>136</v>
      </c>
      <c r="AZ26" s="2"/>
      <c r="BA26" s="2"/>
      <c r="BB26" s="2"/>
      <c r="BC26" s="2"/>
      <c r="BD26" s="5">
        <f t="shared" si="5"/>
        <v>1.5</v>
      </c>
      <c r="BE26" s="2" t="s">
        <v>109</v>
      </c>
      <c r="BF26" s="2" t="s">
        <v>130</v>
      </c>
      <c r="BG26" s="2" t="s">
        <v>191</v>
      </c>
      <c r="BH26" s="2"/>
      <c r="BI26" s="2"/>
      <c r="BJ26" s="2" t="s">
        <v>130</v>
      </c>
      <c r="BK26" s="2" t="s">
        <v>167</v>
      </c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 t="s">
        <v>103</v>
      </c>
      <c r="CD26" s="2" t="s">
        <v>132</v>
      </c>
      <c r="CE26" s="2"/>
      <c r="CF26" s="2"/>
      <c r="CG26" s="2"/>
      <c r="CH26" s="2"/>
      <c r="CI26" s="2" t="s">
        <v>167</v>
      </c>
      <c r="CJ26" s="2" t="s">
        <v>139</v>
      </c>
      <c r="CK26" s="2" t="s">
        <v>112</v>
      </c>
      <c r="CL26" s="2"/>
      <c r="CM26" s="2"/>
      <c r="CN26" s="2"/>
      <c r="CO26" s="2" t="s">
        <v>107</v>
      </c>
      <c r="CP26" s="2"/>
      <c r="CQ26" s="2"/>
      <c r="CR26" s="2"/>
      <c r="CS26" s="2"/>
      <c r="CT26" s="2"/>
      <c r="CU26" s="2"/>
      <c r="CV26" s="2"/>
      <c r="CW26" s="2"/>
      <c r="CX26" s="2" t="s">
        <v>211</v>
      </c>
      <c r="CY26" s="2" t="s">
        <v>133</v>
      </c>
    </row>
    <row r="27" ht="15.75" customHeight="1">
      <c r="A27" s="2" t="s">
        <v>124</v>
      </c>
      <c r="B27" s="2" t="s">
        <v>116</v>
      </c>
      <c r="C27" s="2" t="s">
        <v>104</v>
      </c>
      <c r="D27" s="2"/>
      <c r="E27" s="2" t="s">
        <v>103</v>
      </c>
      <c r="F27" s="2"/>
      <c r="G27" s="2"/>
      <c r="H27" s="2" t="s">
        <v>123</v>
      </c>
      <c r="I27" s="2" t="s">
        <v>107</v>
      </c>
      <c r="J27" s="2" t="s">
        <v>123</v>
      </c>
      <c r="K27" s="2"/>
      <c r="L27" s="2" t="s">
        <v>165</v>
      </c>
      <c r="M27" s="2" t="s">
        <v>129</v>
      </c>
      <c r="N27" s="2" t="s">
        <v>215</v>
      </c>
      <c r="O27" s="2"/>
      <c r="P27" s="2"/>
      <c r="Q27" s="2" t="s">
        <v>105</v>
      </c>
      <c r="R27" s="2" t="s">
        <v>118</v>
      </c>
      <c r="S27" s="2" t="s">
        <v>131</v>
      </c>
      <c r="T27" s="2" t="s">
        <v>113</v>
      </c>
      <c r="U27" s="2" t="s">
        <v>107</v>
      </c>
      <c r="V27" s="2" t="s">
        <v>113</v>
      </c>
      <c r="W27" s="2"/>
      <c r="X27" s="2"/>
      <c r="Y27" s="2" t="s">
        <v>130</v>
      </c>
      <c r="Z27" s="2"/>
      <c r="AA27" s="2"/>
      <c r="AB27" s="2" t="s">
        <v>124</v>
      </c>
      <c r="AC27" s="2" t="s">
        <v>117</v>
      </c>
      <c r="AD27" s="2" t="s">
        <v>167</v>
      </c>
      <c r="AE27" s="2"/>
      <c r="AF27" s="2" t="s">
        <v>116</v>
      </c>
      <c r="AG27" s="2"/>
      <c r="AH27" s="2" t="s">
        <v>103</v>
      </c>
      <c r="AI27" s="2"/>
      <c r="AJ27" s="2" t="s">
        <v>155</v>
      </c>
      <c r="AK27" s="2" t="s">
        <v>192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130</v>
      </c>
      <c r="AW27" s="2" t="s">
        <v>216</v>
      </c>
      <c r="AX27" s="2"/>
      <c r="AY27" s="2" t="s">
        <v>132</v>
      </c>
      <c r="AZ27" s="2"/>
      <c r="BA27" s="2"/>
      <c r="BB27" s="2"/>
      <c r="BC27" s="2"/>
      <c r="BD27" s="2" t="s">
        <v>116</v>
      </c>
      <c r="BE27" s="2" t="s">
        <v>112</v>
      </c>
      <c r="BF27" s="2" t="s">
        <v>116</v>
      </c>
      <c r="BG27" s="2" t="s">
        <v>105</v>
      </c>
      <c r="BH27" s="2" t="s">
        <v>103</v>
      </c>
      <c r="BI27" s="2" t="s">
        <v>118</v>
      </c>
      <c r="BJ27" s="2" t="s">
        <v>103</v>
      </c>
      <c r="BK27" s="2" t="s">
        <v>111</v>
      </c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 t="s">
        <v>130</v>
      </c>
      <c r="CD27" s="2" t="s">
        <v>139</v>
      </c>
      <c r="CE27" s="2"/>
      <c r="CF27" s="2"/>
      <c r="CG27" s="2"/>
      <c r="CH27" s="2"/>
      <c r="CI27" s="2" t="s">
        <v>130</v>
      </c>
      <c r="CJ27" s="2" t="s">
        <v>172</v>
      </c>
      <c r="CK27" s="2" t="s">
        <v>132</v>
      </c>
      <c r="CL27" s="2"/>
      <c r="CM27" s="2"/>
      <c r="CN27" s="2"/>
      <c r="CO27" s="2" t="s">
        <v>111</v>
      </c>
      <c r="CP27" s="2"/>
      <c r="CQ27" s="2"/>
      <c r="CR27" s="2"/>
      <c r="CS27" s="2"/>
      <c r="CT27" s="2"/>
      <c r="CU27" s="2"/>
      <c r="CV27" s="2"/>
      <c r="CW27" s="2"/>
      <c r="CX27" s="2" t="s">
        <v>120</v>
      </c>
      <c r="CY27" s="2" t="s">
        <v>122</v>
      </c>
    </row>
    <row r="28" ht="15.75" customHeight="1">
      <c r="A28" s="2" t="s">
        <v>157</v>
      </c>
      <c r="B28" s="2" t="s">
        <v>116</v>
      </c>
      <c r="C28" s="2" t="s">
        <v>104</v>
      </c>
      <c r="D28" s="2"/>
      <c r="E28" s="2" t="s">
        <v>103</v>
      </c>
      <c r="F28" s="2"/>
      <c r="G28" s="2"/>
      <c r="H28" s="2" t="s">
        <v>119</v>
      </c>
      <c r="I28" s="2" t="s">
        <v>125</v>
      </c>
      <c r="J28" s="2" t="s">
        <v>181</v>
      </c>
      <c r="K28" s="2"/>
      <c r="L28" s="2" t="s">
        <v>217</v>
      </c>
      <c r="M28" s="2" t="s">
        <v>123</v>
      </c>
      <c r="N28" s="2" t="s">
        <v>112</v>
      </c>
      <c r="O28" s="2"/>
      <c r="P28" s="2"/>
      <c r="Q28" s="2"/>
      <c r="R28" s="2"/>
      <c r="S28" s="2" t="s">
        <v>210</v>
      </c>
      <c r="T28" s="2" t="s">
        <v>124</v>
      </c>
      <c r="U28" s="2" t="s">
        <v>134</v>
      </c>
      <c r="V28" s="2" t="s">
        <v>124</v>
      </c>
      <c r="W28" s="2"/>
      <c r="X28" s="2"/>
      <c r="Y28" s="2" t="s">
        <v>103</v>
      </c>
      <c r="Z28" s="2"/>
      <c r="AA28" s="2"/>
      <c r="AB28" s="2" t="s">
        <v>130</v>
      </c>
      <c r="AC28" s="2"/>
      <c r="AD28" s="2" t="s">
        <v>116</v>
      </c>
      <c r="AE28" s="2" t="s">
        <v>103</v>
      </c>
      <c r="AF28" s="2"/>
      <c r="AG28" s="2"/>
      <c r="AH28" s="2"/>
      <c r="AI28" s="2"/>
      <c r="AJ28" s="2" t="s">
        <v>129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 t="s">
        <v>103</v>
      </c>
      <c r="AW28" s="2" t="s">
        <v>124</v>
      </c>
      <c r="AX28" s="2"/>
      <c r="AY28" s="2" t="s">
        <v>123</v>
      </c>
      <c r="AZ28" s="2"/>
      <c r="BA28" s="2"/>
      <c r="BB28" s="2"/>
      <c r="BC28" s="2"/>
      <c r="BD28" s="2">
        <f>1 + (1/4)</f>
        <v>1.25</v>
      </c>
      <c r="BE28" s="2" t="s">
        <v>123</v>
      </c>
      <c r="BF28" s="2"/>
      <c r="BG28" s="2"/>
      <c r="BH28" s="2" t="s">
        <v>103</v>
      </c>
      <c r="BI28" s="2" t="s">
        <v>120</v>
      </c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>
        <f>1/2</f>
        <v>0.5</v>
      </c>
      <c r="CD28" s="2" t="s">
        <v>113</v>
      </c>
      <c r="CE28" s="2"/>
      <c r="CF28" s="2"/>
      <c r="CG28" s="2"/>
      <c r="CH28" s="2"/>
      <c r="CI28" s="2"/>
      <c r="CJ28" s="2" t="s">
        <v>124</v>
      </c>
      <c r="CK28" s="2" t="s">
        <v>137</v>
      </c>
      <c r="CL28" s="2"/>
      <c r="CM28" s="2"/>
      <c r="CN28" s="2"/>
      <c r="CO28" s="2" t="s">
        <v>187</v>
      </c>
      <c r="CP28" s="2"/>
      <c r="CQ28" s="2"/>
      <c r="CR28" s="2"/>
      <c r="CS28" s="2"/>
      <c r="CT28" s="2"/>
      <c r="CU28" s="2"/>
      <c r="CV28" s="2"/>
      <c r="CW28" s="2"/>
      <c r="CX28" s="2" t="s">
        <v>111</v>
      </c>
      <c r="CY28" s="2" t="s">
        <v>120</v>
      </c>
    </row>
    <row r="29" ht="15.75" customHeight="1">
      <c r="A29" s="2" t="s">
        <v>134</v>
      </c>
      <c r="B29" s="2" t="s">
        <v>116</v>
      </c>
      <c r="C29" s="2" t="s">
        <v>104</v>
      </c>
      <c r="D29" s="2"/>
      <c r="E29" s="2" t="s">
        <v>103</v>
      </c>
      <c r="F29" s="2"/>
      <c r="G29" s="2"/>
      <c r="H29" s="2" t="s">
        <v>133</v>
      </c>
      <c r="I29" s="2" t="s">
        <v>218</v>
      </c>
      <c r="J29" s="2" t="s">
        <v>119</v>
      </c>
      <c r="K29" s="2"/>
      <c r="L29" s="2" t="s">
        <v>163</v>
      </c>
      <c r="M29" s="2" t="s">
        <v>197</v>
      </c>
      <c r="N29" s="2" t="s">
        <v>219</v>
      </c>
      <c r="O29" s="2"/>
      <c r="P29" s="2"/>
      <c r="Q29" s="2" t="s">
        <v>132</v>
      </c>
      <c r="R29" s="2" t="s">
        <v>177</v>
      </c>
      <c r="S29" s="2" t="s">
        <v>114</v>
      </c>
      <c r="T29" s="2" t="s">
        <v>120</v>
      </c>
      <c r="U29" s="2" t="s">
        <v>195</v>
      </c>
      <c r="V29" s="2" t="s">
        <v>120</v>
      </c>
      <c r="W29" s="2"/>
      <c r="X29" s="2"/>
      <c r="Y29" s="2" t="s">
        <v>130</v>
      </c>
      <c r="Z29" s="2"/>
      <c r="AA29" s="2" t="s">
        <v>103</v>
      </c>
      <c r="AB29" s="2" t="s">
        <v>116</v>
      </c>
      <c r="AC29" s="2" t="s">
        <v>157</v>
      </c>
      <c r="AD29" s="2" t="s">
        <v>124</v>
      </c>
      <c r="AE29" s="2" t="s">
        <v>130</v>
      </c>
      <c r="AF29" s="2" t="s">
        <v>125</v>
      </c>
      <c r="AG29" s="2"/>
      <c r="AH29" s="2"/>
      <c r="AI29" s="2"/>
      <c r="AJ29" s="2" t="s">
        <v>217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103</v>
      </c>
      <c r="AW29" s="2" t="s">
        <v>157</v>
      </c>
      <c r="AX29" s="2"/>
      <c r="AY29" s="2" t="s">
        <v>107</v>
      </c>
      <c r="AZ29" s="2"/>
      <c r="BA29" s="2"/>
      <c r="BB29" s="2"/>
      <c r="BC29" s="2"/>
      <c r="BD29" s="2" t="s">
        <v>130</v>
      </c>
      <c r="BE29" s="2" t="s">
        <v>123</v>
      </c>
      <c r="BF29" s="5">
        <f>1 + (1/2)</f>
        <v>1.5</v>
      </c>
      <c r="BG29" s="2" t="s">
        <v>113</v>
      </c>
      <c r="BH29" s="2"/>
      <c r="BI29" s="2"/>
      <c r="BJ29" s="2" t="s">
        <v>103</v>
      </c>
      <c r="BK29" s="2" t="s">
        <v>111</v>
      </c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>
        <f>3/4</f>
        <v>0.75</v>
      </c>
      <c r="CD29" s="2" t="s">
        <v>123</v>
      </c>
      <c r="CE29" s="2"/>
      <c r="CF29" s="2"/>
      <c r="CG29" s="2"/>
      <c r="CH29" s="2"/>
      <c r="CI29" s="2" t="s">
        <v>130</v>
      </c>
      <c r="CJ29" s="2" t="s">
        <v>128</v>
      </c>
      <c r="CK29" s="2" t="s">
        <v>132</v>
      </c>
      <c r="CL29" s="2"/>
      <c r="CM29" s="2"/>
      <c r="CN29" s="2"/>
      <c r="CO29" s="2" t="s">
        <v>111</v>
      </c>
      <c r="CP29" s="2"/>
      <c r="CQ29" s="2"/>
      <c r="CR29" s="2"/>
      <c r="CS29" s="2"/>
      <c r="CT29" s="2"/>
      <c r="CU29" s="2"/>
      <c r="CV29" s="2"/>
      <c r="CW29" s="2"/>
      <c r="CX29" s="2" t="s">
        <v>125</v>
      </c>
      <c r="CY29" s="2" t="s">
        <v>134</v>
      </c>
    </row>
    <row r="30" ht="15.75" customHeight="1">
      <c r="A30" s="2" t="s">
        <v>167</v>
      </c>
      <c r="B30" s="2" t="s">
        <v>116</v>
      </c>
      <c r="C30" s="2" t="s">
        <v>104</v>
      </c>
      <c r="D30" s="2"/>
      <c r="E30" s="2" t="s">
        <v>103</v>
      </c>
      <c r="F30" s="2"/>
      <c r="G30" s="2"/>
      <c r="H30" s="2" t="s">
        <v>134</v>
      </c>
      <c r="I30" s="2" t="s">
        <v>111</v>
      </c>
      <c r="J30" s="2" t="s">
        <v>160</v>
      </c>
      <c r="K30" s="2"/>
      <c r="L30" s="2" t="s">
        <v>135</v>
      </c>
      <c r="M30" s="2" t="s">
        <v>112</v>
      </c>
      <c r="N30" s="2" t="s">
        <v>220</v>
      </c>
      <c r="O30" s="2" t="s">
        <v>109</v>
      </c>
      <c r="P30" s="2" t="s">
        <v>119</v>
      </c>
      <c r="Q30" s="2" t="s">
        <v>107</v>
      </c>
      <c r="R30" s="2" t="s">
        <v>116</v>
      </c>
      <c r="S30" s="2" t="s">
        <v>112</v>
      </c>
      <c r="T30" s="2" t="s">
        <v>124</v>
      </c>
      <c r="U30" s="2" t="s">
        <v>118</v>
      </c>
      <c r="V30" s="2" t="s">
        <v>124</v>
      </c>
      <c r="W30" s="2"/>
      <c r="X30" s="2"/>
      <c r="Y30" s="2" t="s">
        <v>130</v>
      </c>
      <c r="Z30" s="2"/>
      <c r="AA30" s="2"/>
      <c r="AB30" s="2" t="s">
        <v>130</v>
      </c>
      <c r="AC30" s="2" t="s">
        <v>130</v>
      </c>
      <c r="AD30" s="2" t="s">
        <v>116</v>
      </c>
      <c r="AE30" s="2"/>
      <c r="AF30" s="2" t="s">
        <v>103</v>
      </c>
      <c r="AG30" s="2"/>
      <c r="AH30" s="2"/>
      <c r="AI30" s="2"/>
      <c r="AJ30" s="2" t="s">
        <v>131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 t="s">
        <v>103</v>
      </c>
      <c r="AW30" s="2" t="s">
        <v>125</v>
      </c>
      <c r="AX30" s="2"/>
      <c r="AY30" s="2" t="s">
        <v>107</v>
      </c>
      <c r="AZ30" s="2"/>
      <c r="BA30" s="2"/>
      <c r="BB30" s="2"/>
      <c r="BC30" s="2"/>
      <c r="BD30" s="2">
        <f>1/2</f>
        <v>0.5</v>
      </c>
      <c r="BE30" s="2" t="s">
        <v>120</v>
      </c>
      <c r="BF30" s="2" t="s">
        <v>103</v>
      </c>
      <c r="BG30" s="2" t="s">
        <v>133</v>
      </c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 t="s">
        <v>103</v>
      </c>
      <c r="CD30" s="2" t="s">
        <v>113</v>
      </c>
      <c r="CE30" s="2"/>
      <c r="CF30" s="2"/>
      <c r="CG30" s="2"/>
      <c r="CH30" s="2"/>
      <c r="CI30" s="2">
        <f>1/2</f>
        <v>0.5</v>
      </c>
      <c r="CJ30" s="2" t="s">
        <v>107</v>
      </c>
      <c r="CK30" s="2" t="s">
        <v>109</v>
      </c>
      <c r="CL30" s="2"/>
      <c r="CM30" s="2"/>
      <c r="CN30" s="2"/>
      <c r="CO30" s="2" t="s">
        <v>134</v>
      </c>
      <c r="CP30" s="2"/>
      <c r="CQ30" s="2"/>
      <c r="CR30" s="2"/>
      <c r="CS30" s="2"/>
      <c r="CT30" s="2"/>
      <c r="CU30" s="2"/>
      <c r="CV30" s="2"/>
      <c r="CW30" s="2"/>
      <c r="CX30" s="2" t="s">
        <v>134</v>
      </c>
      <c r="CY30" s="2" t="s">
        <v>127</v>
      </c>
    </row>
    <row r="31" ht="15.75" customHeight="1">
      <c r="A31" s="2" t="s">
        <v>111</v>
      </c>
      <c r="B31" s="2" t="s">
        <v>116</v>
      </c>
      <c r="C31" s="2" t="s">
        <v>104</v>
      </c>
      <c r="D31" s="2"/>
      <c r="E31" s="2" t="s">
        <v>103</v>
      </c>
      <c r="F31" s="2"/>
      <c r="G31" s="2"/>
      <c r="H31" s="2" t="s">
        <v>134</v>
      </c>
      <c r="I31" s="2" t="s">
        <v>119</v>
      </c>
      <c r="J31" s="2" t="s">
        <v>221</v>
      </c>
      <c r="K31" s="2"/>
      <c r="L31" s="2" t="s">
        <v>222</v>
      </c>
      <c r="M31" s="2"/>
      <c r="N31" s="2"/>
      <c r="O31" s="2"/>
      <c r="P31" s="2"/>
      <c r="Q31" s="2" t="s">
        <v>132</v>
      </c>
      <c r="R31" s="2" t="s">
        <v>119</v>
      </c>
      <c r="S31" s="2" t="s">
        <v>132</v>
      </c>
      <c r="T31" s="2" t="s">
        <v>124</v>
      </c>
      <c r="U31" s="2" t="s">
        <v>111</v>
      </c>
      <c r="V31" s="2" t="s">
        <v>134</v>
      </c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 t="s">
        <v>103</v>
      </c>
      <c r="BE31" s="2" t="s">
        <v>113</v>
      </c>
      <c r="BF31" s="2" t="s">
        <v>130</v>
      </c>
      <c r="BG31" s="2" t="s">
        <v>115</v>
      </c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 t="s">
        <v>122</v>
      </c>
      <c r="CY31" s="2" t="s">
        <v>223</v>
      </c>
    </row>
    <row r="32" ht="15.75" customHeight="1">
      <c r="A32" s="2" t="s">
        <v>103</v>
      </c>
      <c r="B32" s="2" t="s">
        <v>125</v>
      </c>
      <c r="C32" s="2" t="s">
        <v>104</v>
      </c>
      <c r="D32" s="2"/>
      <c r="E32" s="2" t="s">
        <v>103</v>
      </c>
      <c r="F32" s="2"/>
      <c r="G32" s="2"/>
      <c r="H32" s="2" t="s">
        <v>115</v>
      </c>
      <c r="I32" s="2" t="s">
        <v>224</v>
      </c>
      <c r="J32" s="2" t="s">
        <v>214</v>
      </c>
      <c r="K32" s="2"/>
      <c r="L32" s="2" t="s">
        <v>165</v>
      </c>
      <c r="M32" s="2" t="s">
        <v>112</v>
      </c>
      <c r="N32" s="2" t="s">
        <v>145</v>
      </c>
      <c r="O32" s="2"/>
      <c r="P32" s="2"/>
      <c r="Q32" s="2" t="s">
        <v>129</v>
      </c>
      <c r="R32" s="2" t="s">
        <v>160</v>
      </c>
      <c r="S32" s="2" t="s">
        <v>145</v>
      </c>
      <c r="T32" s="2" t="s">
        <v>113</v>
      </c>
      <c r="U32" s="2" t="s">
        <v>225</v>
      </c>
      <c r="V32" s="2" t="s">
        <v>123</v>
      </c>
      <c r="W32" s="2"/>
      <c r="X32" s="2"/>
      <c r="Y32" s="2"/>
      <c r="Z32" s="2"/>
      <c r="AA32" s="2"/>
      <c r="AB32" s="2" t="s">
        <v>167</v>
      </c>
      <c r="AC32" s="2" t="s">
        <v>134</v>
      </c>
      <c r="AD32" s="2" t="s">
        <v>134</v>
      </c>
      <c r="AE32" s="3" t="s">
        <v>167</v>
      </c>
      <c r="AF32" s="2" t="s">
        <v>124</v>
      </c>
      <c r="AG32" s="2" t="s">
        <v>103</v>
      </c>
      <c r="AH32" s="2"/>
      <c r="AI32" s="2"/>
      <c r="AJ32" s="2" t="s">
        <v>121</v>
      </c>
      <c r="AK32" s="2"/>
      <c r="AL32" s="2" t="s">
        <v>211</v>
      </c>
      <c r="AM32" s="2" t="s">
        <v>130</v>
      </c>
      <c r="AN32" s="2"/>
      <c r="AO32" s="2" t="s">
        <v>162</v>
      </c>
      <c r="AP32" s="2"/>
      <c r="AQ32" s="2" t="s">
        <v>103</v>
      </c>
      <c r="AR32" s="2"/>
      <c r="AS32" s="2"/>
      <c r="AT32" s="2" t="s">
        <v>162</v>
      </c>
      <c r="AU32" s="2" t="s">
        <v>154</v>
      </c>
      <c r="AV32" s="2" t="s">
        <v>116</v>
      </c>
      <c r="AW32" s="2" t="s">
        <v>137</v>
      </c>
      <c r="AX32" s="2"/>
      <c r="AY32" s="2" t="s">
        <v>128</v>
      </c>
      <c r="AZ32" s="2"/>
      <c r="BA32" s="2"/>
      <c r="BB32" s="2" t="s">
        <v>103</v>
      </c>
      <c r="BC32" s="2" t="s">
        <v>137</v>
      </c>
      <c r="BD32" s="2" t="s">
        <v>130</v>
      </c>
      <c r="BE32" s="2" t="s">
        <v>132</v>
      </c>
      <c r="BF32" s="2" t="s">
        <v>118</v>
      </c>
      <c r="BG32" s="2" t="s">
        <v>129</v>
      </c>
      <c r="BH32" s="2"/>
      <c r="BI32" s="2"/>
      <c r="BJ32" s="2"/>
      <c r="BK32" s="2"/>
      <c r="BL32" s="2"/>
      <c r="BM32" s="2" t="s">
        <v>118</v>
      </c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 t="s">
        <v>130</v>
      </c>
      <c r="CC32" s="2" t="s">
        <v>150</v>
      </c>
      <c r="CD32" s="2"/>
      <c r="CE32" s="2"/>
      <c r="CF32" s="2"/>
      <c r="CG32" s="2"/>
      <c r="CH32" s="2"/>
      <c r="CI32" s="2">
        <f t="shared" ref="CI32:CI33" si="6">1/2</f>
        <v>0.5</v>
      </c>
      <c r="CJ32" s="2" t="s">
        <v>113</v>
      </c>
      <c r="CK32" s="2" t="s">
        <v>129</v>
      </c>
      <c r="CL32" s="2"/>
      <c r="CM32" s="2"/>
      <c r="CN32" s="2"/>
      <c r="CO32" s="2" t="s">
        <v>137</v>
      </c>
      <c r="CP32" s="2"/>
      <c r="CQ32" s="2"/>
      <c r="CR32" s="2"/>
      <c r="CS32" s="2"/>
      <c r="CT32" s="2"/>
      <c r="CU32" s="2"/>
      <c r="CV32" s="2"/>
      <c r="CW32" s="2"/>
      <c r="CX32" s="2" t="s">
        <v>120</v>
      </c>
      <c r="CY32" s="2" t="s">
        <v>133</v>
      </c>
    </row>
    <row r="33" ht="15.75" customHeight="1">
      <c r="A33" s="2" t="s">
        <v>130</v>
      </c>
      <c r="B33" s="2" t="s">
        <v>125</v>
      </c>
      <c r="C33" s="2" t="s">
        <v>104</v>
      </c>
      <c r="D33" s="2"/>
      <c r="E33" s="2"/>
      <c r="F33" s="2" t="s">
        <v>103</v>
      </c>
      <c r="G33" s="2"/>
      <c r="H33" s="2" t="s">
        <v>130</v>
      </c>
      <c r="I33" s="2" t="s">
        <v>130</v>
      </c>
      <c r="J33" s="2" t="s">
        <v>118</v>
      </c>
      <c r="K33" s="2"/>
      <c r="L33" s="2" t="s">
        <v>159</v>
      </c>
      <c r="M33" s="2"/>
      <c r="N33" s="2"/>
      <c r="O33" s="2"/>
      <c r="P33" s="2"/>
      <c r="Q33" s="2"/>
      <c r="R33" s="2"/>
      <c r="S33" s="2" t="s">
        <v>107</v>
      </c>
      <c r="T33" s="2" t="s">
        <v>103</v>
      </c>
      <c r="U33" s="2" t="s">
        <v>116</v>
      </c>
      <c r="V33" s="2" t="s">
        <v>103</v>
      </c>
      <c r="W33" s="2"/>
      <c r="X33" s="2"/>
      <c r="Y33" s="2"/>
      <c r="Z33" s="2"/>
      <c r="AA33" s="2"/>
      <c r="AB33" s="2" t="s">
        <v>130</v>
      </c>
      <c r="AC33" s="2"/>
      <c r="AD33" s="2"/>
      <c r="AE33" s="2" t="s">
        <v>130</v>
      </c>
      <c r="AF33" s="2" t="s">
        <v>103</v>
      </c>
      <c r="AG33" s="2"/>
      <c r="AH33" s="2"/>
      <c r="AI33" s="2"/>
      <c r="AJ33" s="2" t="s">
        <v>132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 t="s">
        <v>111</v>
      </c>
      <c r="AY33" s="2" t="s">
        <v>133</v>
      </c>
      <c r="AZ33" s="2"/>
      <c r="BA33" s="2"/>
      <c r="BB33" s="2"/>
      <c r="BC33" s="2"/>
      <c r="BD33" s="2">
        <f t="shared" ref="BD33:BD34" si="7">1/2</f>
        <v>0.5</v>
      </c>
      <c r="BE33" s="2" t="s">
        <v>111</v>
      </c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>
        <f>1/4</f>
        <v>0.25</v>
      </c>
      <c r="CC33" s="2" t="s">
        <v>111</v>
      </c>
      <c r="CD33" s="2"/>
      <c r="CE33" s="2"/>
      <c r="CF33" s="2"/>
      <c r="CG33" s="2"/>
      <c r="CH33" s="2"/>
      <c r="CI33" s="2">
        <f t="shared" si="6"/>
        <v>0.5</v>
      </c>
      <c r="CJ33" s="2" t="s">
        <v>119</v>
      </c>
      <c r="CK33" s="2" t="s">
        <v>119</v>
      </c>
      <c r="CL33" s="2"/>
      <c r="CM33" s="2"/>
      <c r="CN33" s="2"/>
      <c r="CO33" s="2" t="s">
        <v>130</v>
      </c>
      <c r="CP33" s="2"/>
      <c r="CQ33" s="2"/>
      <c r="CR33" s="2"/>
      <c r="CS33" s="2"/>
      <c r="CT33" s="2"/>
      <c r="CU33" s="2"/>
      <c r="CV33" s="2"/>
      <c r="CW33" s="2"/>
      <c r="CX33" s="2"/>
      <c r="CY33" s="2"/>
    </row>
    <row r="34" ht="15.75" customHeight="1">
      <c r="A34" s="2" t="s">
        <v>116</v>
      </c>
      <c r="B34" s="2" t="s">
        <v>125</v>
      </c>
      <c r="C34" s="2" t="s">
        <v>104</v>
      </c>
      <c r="D34" s="2"/>
      <c r="E34" s="2" t="s">
        <v>103</v>
      </c>
      <c r="F34" s="2"/>
      <c r="G34" s="2"/>
      <c r="H34" s="2" t="s">
        <v>134</v>
      </c>
      <c r="I34" s="2" t="s">
        <v>226</v>
      </c>
      <c r="J34" s="2" t="s">
        <v>118</v>
      </c>
      <c r="K34" s="2"/>
      <c r="L34" s="2" t="s">
        <v>159</v>
      </c>
      <c r="M34" s="2" t="s">
        <v>111</v>
      </c>
      <c r="N34" s="2" t="s">
        <v>109</v>
      </c>
      <c r="O34" s="2"/>
      <c r="P34" s="2"/>
      <c r="Q34" s="2" t="s">
        <v>111</v>
      </c>
      <c r="R34" s="2" t="s">
        <v>130</v>
      </c>
      <c r="S34" s="2" t="s">
        <v>123</v>
      </c>
      <c r="T34" s="2" t="s">
        <v>111</v>
      </c>
      <c r="U34" s="2" t="s">
        <v>181</v>
      </c>
      <c r="V34" s="2" t="s">
        <v>118</v>
      </c>
      <c r="W34" s="2"/>
      <c r="X34" s="2"/>
      <c r="Y34" s="2" t="s">
        <v>103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>
        <f t="shared" si="7"/>
        <v>0.5</v>
      </c>
      <c r="BE34" s="2" t="s">
        <v>111</v>
      </c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>
        <f>1/2</f>
        <v>0.5</v>
      </c>
      <c r="CC34" s="2" t="s">
        <v>111</v>
      </c>
      <c r="CD34" s="2"/>
      <c r="CE34" s="2"/>
      <c r="CF34" s="2"/>
      <c r="CG34" s="2"/>
      <c r="CH34" s="2"/>
      <c r="CI34" s="2" t="s">
        <v>130</v>
      </c>
      <c r="CJ34" s="2" t="s">
        <v>113</v>
      </c>
      <c r="CK34" s="2" t="s">
        <v>132</v>
      </c>
      <c r="CL34" s="2"/>
      <c r="CM34" s="2"/>
      <c r="CN34" s="2"/>
      <c r="CO34" s="2" t="s">
        <v>111</v>
      </c>
      <c r="CP34" s="2"/>
      <c r="CQ34" s="2"/>
      <c r="CR34" s="2"/>
      <c r="CS34" s="2"/>
      <c r="CT34" s="2"/>
      <c r="CU34" s="2"/>
      <c r="CV34" s="2"/>
      <c r="CW34" s="2"/>
      <c r="CX34" s="2" t="s">
        <v>134</v>
      </c>
      <c r="CY34" s="2" t="s">
        <v>127</v>
      </c>
    </row>
    <row r="35" ht="15.75" customHeight="1">
      <c r="A35" s="2" t="s">
        <v>125</v>
      </c>
      <c r="B35" s="2" t="s">
        <v>125</v>
      </c>
      <c r="C35" s="2" t="s">
        <v>104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</row>
    <row r="36" ht="15.75" customHeight="1">
      <c r="A36" s="2" t="s">
        <v>118</v>
      </c>
      <c r="B36" s="2" t="s">
        <v>125</v>
      </c>
      <c r="C36" s="2" t="s">
        <v>104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</row>
    <row r="37" ht="15.75" customHeight="1">
      <c r="A37" s="2" t="s">
        <v>124</v>
      </c>
      <c r="B37" s="2" t="s">
        <v>125</v>
      </c>
      <c r="C37" s="2" t="s">
        <v>104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</row>
    <row r="38" ht="15.75" customHeight="1">
      <c r="A38" s="2" t="s">
        <v>157</v>
      </c>
      <c r="B38" s="2" t="s">
        <v>125</v>
      </c>
      <c r="C38" s="2" t="s">
        <v>104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</row>
    <row r="39" ht="15.75" customHeight="1">
      <c r="A39" s="2" t="s">
        <v>134</v>
      </c>
      <c r="B39" s="2" t="s">
        <v>125</v>
      </c>
      <c r="C39" s="2" t="s">
        <v>104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</row>
    <row r="40" ht="15.75" customHeight="1">
      <c r="A40" s="2" t="s">
        <v>167</v>
      </c>
      <c r="B40" s="2" t="s">
        <v>125</v>
      </c>
      <c r="C40" s="2" t="s">
        <v>104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</row>
    <row r="41" ht="15.75" customHeight="1">
      <c r="A41" s="2" t="s">
        <v>111</v>
      </c>
      <c r="B41" s="2" t="s">
        <v>125</v>
      </c>
      <c r="C41" s="2" t="s">
        <v>104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</row>
    <row r="42" ht="15.75" customHeight="1">
      <c r="A42" s="2" t="s">
        <v>103</v>
      </c>
      <c r="B42" s="2" t="s">
        <v>118</v>
      </c>
      <c r="C42" s="2" t="s">
        <v>104</v>
      </c>
      <c r="D42" s="2"/>
      <c r="E42" s="2" t="s">
        <v>103</v>
      </c>
      <c r="F42" s="2"/>
      <c r="G42" s="2"/>
      <c r="H42" s="2" t="s">
        <v>158</v>
      </c>
      <c r="I42" s="2" t="s">
        <v>107</v>
      </c>
      <c r="J42" s="2" t="s">
        <v>111</v>
      </c>
      <c r="K42" s="2"/>
      <c r="L42" s="2" t="s">
        <v>199</v>
      </c>
      <c r="M42" s="2" t="s">
        <v>129</v>
      </c>
      <c r="N42" s="2" t="s">
        <v>129</v>
      </c>
      <c r="O42" s="2"/>
      <c r="P42" s="2"/>
      <c r="Q42" s="2" t="s">
        <v>107</v>
      </c>
      <c r="R42" s="2" t="s">
        <v>130</v>
      </c>
      <c r="S42" s="2" t="s">
        <v>136</v>
      </c>
      <c r="T42" s="2" t="s">
        <v>133</v>
      </c>
      <c r="U42" s="2" t="s">
        <v>113</v>
      </c>
      <c r="V42" s="2" t="s">
        <v>122</v>
      </c>
      <c r="W42" s="2"/>
      <c r="X42" s="2"/>
      <c r="Y42" s="2" t="s">
        <v>103</v>
      </c>
      <c r="Z42" s="2"/>
      <c r="AA42" s="2"/>
      <c r="AB42" s="2" t="s">
        <v>125</v>
      </c>
      <c r="AC42" s="2"/>
      <c r="AD42" s="2" t="s">
        <v>125</v>
      </c>
      <c r="AE42" s="2"/>
      <c r="AF42" s="2" t="s">
        <v>125</v>
      </c>
      <c r="AG42" s="2"/>
      <c r="AH42" s="2"/>
      <c r="AI42" s="2"/>
      <c r="AJ42" s="2" t="s">
        <v>155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 t="s">
        <v>103</v>
      </c>
      <c r="AW42" s="2" t="s">
        <v>156</v>
      </c>
      <c r="AX42" s="2"/>
      <c r="AY42" s="2" t="s">
        <v>132</v>
      </c>
      <c r="AZ42" s="2"/>
      <c r="BA42" s="2"/>
      <c r="BB42" s="2"/>
      <c r="BC42" s="2"/>
      <c r="BD42" s="2" t="s">
        <v>103</v>
      </c>
      <c r="BE42" s="2" t="s">
        <v>113</v>
      </c>
      <c r="BF42" s="2" t="s">
        <v>103</v>
      </c>
      <c r="BG42" s="2" t="s">
        <v>122</v>
      </c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>
        <f t="shared" ref="CC42:CC43" si="8">1/2</f>
        <v>0.5</v>
      </c>
      <c r="CD42" s="2" t="s">
        <v>109</v>
      </c>
      <c r="CE42" s="2"/>
      <c r="CF42" s="2"/>
      <c r="CG42" s="2"/>
      <c r="CH42" s="2"/>
      <c r="CI42" s="2" t="s">
        <v>103</v>
      </c>
      <c r="CJ42" s="2" t="s">
        <v>132</v>
      </c>
      <c r="CK42" s="2" t="s">
        <v>129</v>
      </c>
      <c r="CL42" s="2"/>
      <c r="CM42" s="2"/>
      <c r="CN42" s="2"/>
      <c r="CO42" s="2" t="s">
        <v>107</v>
      </c>
      <c r="CP42" s="2"/>
      <c r="CQ42" s="2"/>
      <c r="CR42" s="2"/>
      <c r="CS42" s="2"/>
      <c r="CT42" s="2"/>
      <c r="CU42" s="2"/>
      <c r="CV42" s="2"/>
      <c r="CW42" s="2"/>
      <c r="CX42" s="2" t="s">
        <v>120</v>
      </c>
      <c r="CY42" s="2" t="s">
        <v>122</v>
      </c>
    </row>
    <row r="43" ht="15.75" customHeight="1">
      <c r="A43" s="2" t="s">
        <v>130</v>
      </c>
      <c r="B43" s="2" t="s">
        <v>118</v>
      </c>
      <c r="C43" s="2" t="s">
        <v>104</v>
      </c>
      <c r="D43" s="2"/>
      <c r="E43" s="2" t="s">
        <v>103</v>
      </c>
      <c r="F43" s="2"/>
      <c r="G43" s="2"/>
      <c r="H43" s="2" t="s">
        <v>137</v>
      </c>
      <c r="I43" s="2" t="s">
        <v>133</v>
      </c>
      <c r="J43" s="2" t="s">
        <v>137</v>
      </c>
      <c r="K43" s="2"/>
      <c r="L43" s="2" t="s">
        <v>227</v>
      </c>
      <c r="M43" s="2" t="s">
        <v>109</v>
      </c>
      <c r="N43" s="2" t="s">
        <v>188</v>
      </c>
      <c r="O43" s="2"/>
      <c r="P43" s="2"/>
      <c r="Q43" s="2" t="s">
        <v>133</v>
      </c>
      <c r="R43" s="2" t="s">
        <v>103</v>
      </c>
      <c r="S43" s="2" t="s">
        <v>188</v>
      </c>
      <c r="T43" s="2" t="s">
        <v>137</v>
      </c>
      <c r="U43" s="2" t="s">
        <v>133</v>
      </c>
      <c r="V43" s="2" t="s">
        <v>137</v>
      </c>
      <c r="W43" s="2"/>
      <c r="X43" s="2"/>
      <c r="Y43" s="2" t="s">
        <v>103</v>
      </c>
      <c r="Z43" s="2"/>
      <c r="AA43" s="2"/>
      <c r="AB43" s="2" t="s">
        <v>124</v>
      </c>
      <c r="AC43" s="2" t="s">
        <v>116</v>
      </c>
      <c r="AD43" s="2" t="s">
        <v>124</v>
      </c>
      <c r="AE43" s="2"/>
      <c r="AF43" s="2"/>
      <c r="AG43" s="2"/>
      <c r="AH43" s="2"/>
      <c r="AI43" s="2"/>
      <c r="AJ43" s="3" t="s">
        <v>131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130</v>
      </c>
      <c r="AW43" s="3" t="s">
        <v>211</v>
      </c>
      <c r="AX43" s="2"/>
      <c r="AY43" s="2" t="s">
        <v>123</v>
      </c>
      <c r="AZ43" s="2"/>
      <c r="BA43" s="2"/>
      <c r="BB43" s="2"/>
      <c r="BC43" s="2"/>
      <c r="BD43" s="2" t="s">
        <v>130</v>
      </c>
      <c r="BE43" s="2" t="s">
        <v>123</v>
      </c>
      <c r="BF43" s="2" t="s">
        <v>130</v>
      </c>
      <c r="BG43" s="2" t="s">
        <v>228</v>
      </c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>
        <f t="shared" si="8"/>
        <v>0.5</v>
      </c>
      <c r="CD43" s="2" t="s">
        <v>133</v>
      </c>
      <c r="CE43" s="2"/>
      <c r="CF43" s="2"/>
      <c r="CG43" s="2"/>
      <c r="CH43" s="2"/>
      <c r="CI43" s="2" t="s">
        <v>103</v>
      </c>
      <c r="CJ43" s="2" t="s">
        <v>113</v>
      </c>
      <c r="CK43" s="2" t="s">
        <v>132</v>
      </c>
      <c r="CL43" s="2"/>
      <c r="CM43" s="2"/>
      <c r="CN43" s="2"/>
      <c r="CO43" s="2" t="s">
        <v>137</v>
      </c>
      <c r="CP43" s="2"/>
      <c r="CQ43" s="2"/>
      <c r="CR43" s="2"/>
      <c r="CS43" s="2"/>
      <c r="CT43" s="2"/>
      <c r="CU43" s="2"/>
      <c r="CV43" s="2"/>
      <c r="CW43" s="2"/>
      <c r="CX43" s="2" t="s">
        <v>111</v>
      </c>
      <c r="CY43" s="2" t="s">
        <v>137</v>
      </c>
    </row>
    <row r="44" ht="15.75" customHeight="1">
      <c r="A44" s="2" t="s">
        <v>116</v>
      </c>
      <c r="B44" s="2" t="s">
        <v>118</v>
      </c>
      <c r="C44" s="2" t="s">
        <v>104</v>
      </c>
      <c r="D44" s="2"/>
      <c r="E44" s="2" t="s">
        <v>103</v>
      </c>
      <c r="F44" s="2"/>
      <c r="G44" s="2"/>
      <c r="H44" s="2" t="s">
        <v>137</v>
      </c>
      <c r="I44" s="2" t="s">
        <v>151</v>
      </c>
      <c r="J44" s="2" t="s">
        <v>120</v>
      </c>
      <c r="K44" s="2"/>
      <c r="L44" s="2" t="s">
        <v>170</v>
      </c>
      <c r="M44" s="2" t="s">
        <v>150</v>
      </c>
      <c r="N44" s="2" t="s">
        <v>145</v>
      </c>
      <c r="O44" s="2" t="s">
        <v>111</v>
      </c>
      <c r="P44" s="2"/>
      <c r="Q44" s="2" t="s">
        <v>143</v>
      </c>
      <c r="R44" s="2" t="s">
        <v>133</v>
      </c>
      <c r="S44" s="2" t="s">
        <v>229</v>
      </c>
      <c r="T44" s="2" t="s">
        <v>123</v>
      </c>
      <c r="U44" s="2" t="s">
        <v>123</v>
      </c>
      <c r="V44" s="2" t="s">
        <v>109</v>
      </c>
      <c r="W44" s="2"/>
      <c r="X44" s="2"/>
      <c r="Y44" s="2" t="s">
        <v>116</v>
      </c>
      <c r="Z44" s="2"/>
      <c r="AA44" s="2"/>
      <c r="AB44" s="2" t="s">
        <v>111</v>
      </c>
      <c r="AC44" s="2" t="s">
        <v>127</v>
      </c>
      <c r="AD44" s="2" t="s">
        <v>134</v>
      </c>
      <c r="AE44" s="2"/>
      <c r="AF44" s="2" t="s">
        <v>130</v>
      </c>
      <c r="AG44" s="2" t="s">
        <v>103</v>
      </c>
      <c r="AH44" s="2"/>
      <c r="AI44" s="2"/>
      <c r="AJ44" s="2" t="s">
        <v>159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 t="s">
        <v>130</v>
      </c>
      <c r="AW44" s="2" t="s">
        <v>117</v>
      </c>
      <c r="AX44" s="2"/>
      <c r="AY44" s="2" t="s">
        <v>123</v>
      </c>
      <c r="AZ44" s="2"/>
      <c r="BA44" s="2"/>
      <c r="BB44" s="2"/>
      <c r="BC44" s="2"/>
      <c r="BD44" s="2" t="s">
        <v>116</v>
      </c>
      <c r="BE44" s="2" t="s">
        <v>132</v>
      </c>
      <c r="BF44" s="3" t="s">
        <v>130</v>
      </c>
      <c r="BG44" s="2" t="s">
        <v>223</v>
      </c>
      <c r="BH44" s="2"/>
      <c r="BI44" s="2"/>
      <c r="BJ44" s="2" t="s">
        <v>103</v>
      </c>
      <c r="BK44" s="2" t="s">
        <v>120</v>
      </c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 t="s">
        <v>123</v>
      </c>
      <c r="BX44" s="2"/>
      <c r="BY44" s="2"/>
      <c r="BZ44" s="2"/>
      <c r="CA44" s="2"/>
      <c r="CB44" s="2"/>
      <c r="CC44" s="2">
        <f>3/4</f>
        <v>0.75</v>
      </c>
      <c r="CD44" s="2" t="s">
        <v>128</v>
      </c>
      <c r="CE44" s="2"/>
      <c r="CF44" s="2"/>
      <c r="CG44" s="2"/>
      <c r="CH44" s="2"/>
      <c r="CI44" s="2" t="s">
        <v>103</v>
      </c>
      <c r="CJ44" s="2" t="s">
        <v>123</v>
      </c>
      <c r="CK44" s="2" t="s">
        <v>112</v>
      </c>
      <c r="CL44" s="2"/>
      <c r="CM44" s="2"/>
      <c r="CN44" s="2"/>
      <c r="CO44" s="2" t="s">
        <v>120</v>
      </c>
      <c r="CP44" s="2"/>
      <c r="CQ44" s="2"/>
      <c r="CR44" s="2"/>
      <c r="CS44" s="2"/>
      <c r="CT44" s="2"/>
      <c r="CU44" s="2"/>
      <c r="CV44" s="2"/>
      <c r="CW44" s="2"/>
      <c r="CX44" s="2"/>
      <c r="CY44" s="2"/>
    </row>
    <row r="45" ht="15.75" customHeight="1">
      <c r="A45" s="2" t="s">
        <v>125</v>
      </c>
      <c r="B45" s="2" t="s">
        <v>118</v>
      </c>
      <c r="C45" s="2" t="s">
        <v>104</v>
      </c>
      <c r="D45" s="2"/>
      <c r="E45" s="2" t="s">
        <v>103</v>
      </c>
      <c r="F45" s="2"/>
      <c r="G45" s="2"/>
      <c r="H45" s="2" t="s">
        <v>113</v>
      </c>
      <c r="I45" s="2" t="s">
        <v>198</v>
      </c>
      <c r="J45" s="2"/>
      <c r="K45" s="2"/>
      <c r="L45" s="2" t="s">
        <v>165</v>
      </c>
      <c r="M45" s="2" t="s">
        <v>176</v>
      </c>
      <c r="N45" s="2" t="s">
        <v>139</v>
      </c>
      <c r="O45" s="2"/>
      <c r="P45" s="2"/>
      <c r="Q45" s="2" t="s">
        <v>123</v>
      </c>
      <c r="R45" s="2" t="s">
        <v>167</v>
      </c>
      <c r="S45" s="2" t="s">
        <v>139</v>
      </c>
      <c r="T45" s="2" t="s">
        <v>120</v>
      </c>
      <c r="U45" s="2" t="s">
        <v>132</v>
      </c>
      <c r="V45" s="2" t="s">
        <v>120</v>
      </c>
      <c r="W45" s="2"/>
      <c r="X45" s="2"/>
      <c r="Y45" s="2" t="s">
        <v>116</v>
      </c>
      <c r="Z45" s="2"/>
      <c r="AA45" s="2"/>
      <c r="AB45" s="2" t="s">
        <v>116</v>
      </c>
      <c r="AC45" s="2" t="s">
        <v>116</v>
      </c>
      <c r="AD45" s="2" t="s">
        <v>116</v>
      </c>
      <c r="AE45" s="2"/>
      <c r="AF45" s="2" t="s">
        <v>103</v>
      </c>
      <c r="AG45" s="2"/>
      <c r="AH45" s="2"/>
      <c r="AI45" s="2"/>
      <c r="AJ45" s="2" t="s">
        <v>150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 t="s">
        <v>230</v>
      </c>
      <c r="AX45" s="2"/>
      <c r="AY45" s="2" t="s">
        <v>132</v>
      </c>
      <c r="AZ45" s="2"/>
      <c r="BA45" s="2"/>
      <c r="BB45" s="2"/>
      <c r="BC45" s="2"/>
      <c r="BD45" s="2" t="s">
        <v>130</v>
      </c>
      <c r="BE45" s="2" t="s">
        <v>109</v>
      </c>
      <c r="BF45" s="2" t="s">
        <v>125</v>
      </c>
      <c r="BG45" s="2" t="s">
        <v>132</v>
      </c>
      <c r="BH45" s="2" t="s">
        <v>125</v>
      </c>
      <c r="BI45" s="2" t="s">
        <v>109</v>
      </c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 t="s">
        <v>123</v>
      </c>
      <c r="BX45" s="2"/>
      <c r="BY45" s="2"/>
      <c r="BZ45" s="2"/>
      <c r="CA45" s="2"/>
      <c r="CB45" s="2"/>
      <c r="CC45" s="2" t="s">
        <v>103</v>
      </c>
      <c r="CD45" s="2" t="s">
        <v>139</v>
      </c>
      <c r="CE45" s="2"/>
      <c r="CF45" s="2"/>
      <c r="CG45" s="2"/>
      <c r="CH45" s="2"/>
      <c r="CI45" s="2" t="s">
        <v>130</v>
      </c>
      <c r="CJ45" s="2" t="s">
        <v>112</v>
      </c>
      <c r="CK45" s="2" t="s">
        <v>132</v>
      </c>
      <c r="CL45" s="2"/>
      <c r="CM45" s="2"/>
      <c r="CN45" s="2"/>
      <c r="CO45" s="2" t="s">
        <v>107</v>
      </c>
      <c r="CP45" s="2"/>
      <c r="CQ45" s="2"/>
      <c r="CR45" s="2"/>
      <c r="CS45" s="2"/>
      <c r="CT45" s="2"/>
      <c r="CU45" s="2"/>
      <c r="CV45" s="2" t="s">
        <v>123</v>
      </c>
      <c r="CW45" s="2"/>
      <c r="CX45" s="2"/>
      <c r="CY45" s="2"/>
    </row>
    <row r="46" ht="15.75" customHeight="1">
      <c r="A46" s="2" t="s">
        <v>118</v>
      </c>
      <c r="B46" s="2" t="s">
        <v>118</v>
      </c>
      <c r="C46" s="2" t="s">
        <v>104</v>
      </c>
      <c r="D46" s="2"/>
      <c r="E46" s="2" t="s">
        <v>103</v>
      </c>
      <c r="F46" s="2"/>
      <c r="G46" s="2"/>
      <c r="H46" s="2" t="s">
        <v>107</v>
      </c>
      <c r="I46" s="2" t="s">
        <v>115</v>
      </c>
      <c r="J46" s="2" t="s">
        <v>111</v>
      </c>
      <c r="K46" s="2"/>
      <c r="L46" s="2" t="s">
        <v>135</v>
      </c>
      <c r="M46" s="2" t="s">
        <v>105</v>
      </c>
      <c r="N46" s="2" t="s">
        <v>139</v>
      </c>
      <c r="O46" s="2" t="s">
        <v>107</v>
      </c>
      <c r="P46" s="2"/>
      <c r="Q46" s="2" t="s">
        <v>119</v>
      </c>
      <c r="R46" s="2" t="s">
        <v>130</v>
      </c>
      <c r="S46" s="2" t="s">
        <v>129</v>
      </c>
      <c r="T46" s="2" t="s">
        <v>119</v>
      </c>
      <c r="U46" s="2" t="s">
        <v>115</v>
      </c>
      <c r="V46" s="2" t="s">
        <v>109</v>
      </c>
      <c r="W46" s="2"/>
      <c r="X46" s="2"/>
      <c r="Y46" s="2" t="s">
        <v>103</v>
      </c>
      <c r="Z46" s="2"/>
      <c r="AA46" s="2"/>
      <c r="AB46" s="2" t="s">
        <v>118</v>
      </c>
      <c r="AC46" s="2" t="s">
        <v>116</v>
      </c>
      <c r="AD46" s="2" t="s">
        <v>125</v>
      </c>
      <c r="AE46" s="2"/>
      <c r="AF46" s="2"/>
      <c r="AG46" s="2"/>
      <c r="AH46" s="2"/>
      <c r="AI46" s="2"/>
      <c r="AJ46" s="2" t="s">
        <v>145</v>
      </c>
      <c r="AK46" s="2"/>
      <c r="AL46" s="2"/>
      <c r="AM46" s="2"/>
      <c r="AN46" s="2"/>
      <c r="AO46" s="2"/>
      <c r="AP46" s="2"/>
      <c r="AQ46" s="2"/>
      <c r="AR46" s="2"/>
      <c r="AS46" s="2"/>
      <c r="AT46" s="2" t="s">
        <v>180</v>
      </c>
      <c r="AU46" s="2" t="s">
        <v>231</v>
      </c>
      <c r="AV46" s="2" t="s">
        <v>130</v>
      </c>
      <c r="AW46" s="2" t="s">
        <v>119</v>
      </c>
      <c r="AX46" s="2"/>
      <c r="AY46" s="2" t="s">
        <v>123</v>
      </c>
      <c r="AZ46" s="2"/>
      <c r="BA46" s="2"/>
      <c r="BB46" s="2"/>
      <c r="BC46" s="2"/>
      <c r="BD46" s="2" t="s">
        <v>103</v>
      </c>
      <c r="BE46" s="2" t="s">
        <v>137</v>
      </c>
      <c r="BF46" s="5">
        <f>1 + (1/2)</f>
        <v>1.5</v>
      </c>
      <c r="BG46" s="2" t="s">
        <v>123</v>
      </c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 t="s">
        <v>150</v>
      </c>
      <c r="BX46" s="2"/>
      <c r="BY46" s="2"/>
      <c r="BZ46" s="2"/>
      <c r="CA46" s="2"/>
      <c r="CB46" s="2"/>
      <c r="CC46" s="2">
        <f>1/2</f>
        <v>0.5</v>
      </c>
      <c r="CD46" s="2" t="s">
        <v>109</v>
      </c>
      <c r="CE46" s="2"/>
      <c r="CF46" s="2"/>
      <c r="CG46" s="2"/>
      <c r="CH46" s="2"/>
      <c r="CI46" s="2"/>
      <c r="CJ46" s="2" t="s">
        <v>119</v>
      </c>
      <c r="CK46" s="2" t="s">
        <v>123</v>
      </c>
      <c r="CL46" s="2"/>
      <c r="CM46" s="2"/>
      <c r="CN46" s="2"/>
      <c r="CO46" s="2" t="s">
        <v>118</v>
      </c>
      <c r="CP46" s="2"/>
      <c r="CQ46" s="2"/>
      <c r="CR46" s="2"/>
      <c r="CS46" s="2"/>
      <c r="CT46" s="2"/>
      <c r="CU46" s="2"/>
      <c r="CV46" s="2"/>
      <c r="CW46" s="2"/>
      <c r="CX46" s="2" t="s">
        <v>111</v>
      </c>
      <c r="CY46" s="2" t="s">
        <v>137</v>
      </c>
    </row>
    <row r="47" ht="15.75" customHeight="1">
      <c r="A47" s="2" t="s">
        <v>124</v>
      </c>
      <c r="B47" s="2" t="s">
        <v>118</v>
      </c>
      <c r="C47" s="2" t="s">
        <v>104</v>
      </c>
      <c r="D47" s="2"/>
      <c r="E47" s="2"/>
      <c r="F47" s="2"/>
      <c r="G47" s="2" t="s">
        <v>103</v>
      </c>
      <c r="H47" s="2" t="s">
        <v>107</v>
      </c>
      <c r="I47" s="2" t="s">
        <v>133</v>
      </c>
      <c r="J47" s="2" t="s">
        <v>107</v>
      </c>
      <c r="K47" s="2"/>
      <c r="L47" s="2" t="s">
        <v>163</v>
      </c>
      <c r="M47" s="2" t="s">
        <v>129</v>
      </c>
      <c r="N47" s="2" t="s">
        <v>145</v>
      </c>
      <c r="O47" s="2" t="s">
        <v>107</v>
      </c>
      <c r="P47" s="2" t="s">
        <v>134</v>
      </c>
      <c r="Q47" s="2"/>
      <c r="R47" s="2"/>
      <c r="S47" s="2" t="s">
        <v>150</v>
      </c>
      <c r="T47" s="2" t="s">
        <v>141</v>
      </c>
      <c r="U47" s="2" t="s">
        <v>133</v>
      </c>
      <c r="V47" s="2" t="s">
        <v>107</v>
      </c>
      <c r="W47" s="2"/>
      <c r="X47" s="2"/>
      <c r="Y47" s="2" t="s">
        <v>130</v>
      </c>
      <c r="Z47" s="2"/>
      <c r="AA47" s="2"/>
      <c r="AB47" s="2" t="s">
        <v>157</v>
      </c>
      <c r="AC47" s="2" t="s">
        <v>124</v>
      </c>
      <c r="AD47" s="2" t="s">
        <v>134</v>
      </c>
      <c r="AE47" s="2" t="s">
        <v>130</v>
      </c>
      <c r="AF47" s="2"/>
      <c r="AG47" s="2"/>
      <c r="AH47" s="2"/>
      <c r="AI47" s="2"/>
      <c r="AJ47" s="2" t="s">
        <v>145</v>
      </c>
      <c r="AK47" s="2"/>
      <c r="AL47" s="2" t="s">
        <v>180</v>
      </c>
      <c r="AM47" s="2" t="s">
        <v>141</v>
      </c>
      <c r="AN47" s="2"/>
      <c r="AO47" s="2" t="s">
        <v>117</v>
      </c>
      <c r="AP47" s="2"/>
      <c r="AQ47" s="2"/>
      <c r="AR47" s="2"/>
      <c r="AS47" s="2"/>
      <c r="AT47" s="2"/>
      <c r="AU47" s="2"/>
      <c r="AV47" s="2" t="s">
        <v>125</v>
      </c>
      <c r="AW47" s="2" t="s">
        <v>119</v>
      </c>
      <c r="AX47" s="2" t="s">
        <v>130</v>
      </c>
      <c r="AY47" s="2" t="s">
        <v>132</v>
      </c>
      <c r="AZ47" s="2"/>
      <c r="BA47" s="2"/>
      <c r="BB47" s="2"/>
      <c r="BC47" s="2"/>
      <c r="BD47" s="2" t="s">
        <v>116</v>
      </c>
      <c r="BE47" s="2" t="s">
        <v>132</v>
      </c>
      <c r="BF47" s="2" t="s">
        <v>124</v>
      </c>
      <c r="BG47" s="2"/>
      <c r="BH47" s="2"/>
      <c r="BI47" s="2"/>
      <c r="BJ47" s="2" t="s">
        <v>130</v>
      </c>
      <c r="BK47" s="2" t="s">
        <v>137</v>
      </c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 t="s">
        <v>150</v>
      </c>
      <c r="BX47" s="2"/>
      <c r="BY47" s="2"/>
      <c r="BZ47" s="2"/>
      <c r="CA47" s="2"/>
      <c r="CB47" s="2"/>
      <c r="CC47" s="2">
        <f>2/3</f>
        <v>0.6666666667</v>
      </c>
      <c r="CD47" s="2" t="s">
        <v>132</v>
      </c>
      <c r="CE47" s="2"/>
      <c r="CF47" s="2"/>
      <c r="CG47" s="2"/>
      <c r="CH47" s="2"/>
      <c r="CI47" s="2" t="s">
        <v>103</v>
      </c>
      <c r="CJ47" s="2" t="s">
        <v>123</v>
      </c>
      <c r="CK47" s="2" t="s">
        <v>129</v>
      </c>
      <c r="CL47" s="2"/>
      <c r="CM47" s="2"/>
      <c r="CN47" s="2"/>
      <c r="CO47" s="2" t="s">
        <v>107</v>
      </c>
      <c r="CP47" s="2"/>
      <c r="CQ47" s="2"/>
      <c r="CR47" s="2"/>
      <c r="CS47" s="2"/>
      <c r="CT47" s="2"/>
      <c r="CU47" s="2"/>
      <c r="CV47" s="2"/>
      <c r="CW47" s="2"/>
      <c r="CX47" s="2" t="s">
        <v>119</v>
      </c>
      <c r="CY47" s="2" t="s">
        <v>169</v>
      </c>
    </row>
    <row r="48" ht="15.75" customHeight="1">
      <c r="A48" s="2" t="s">
        <v>157</v>
      </c>
      <c r="B48" s="2" t="s">
        <v>118</v>
      </c>
      <c r="C48" s="2" t="s">
        <v>104</v>
      </c>
      <c r="D48" s="2"/>
      <c r="E48" s="2" t="s">
        <v>103</v>
      </c>
      <c r="F48" s="2"/>
      <c r="G48" s="2"/>
      <c r="H48" s="2" t="s">
        <v>115</v>
      </c>
      <c r="I48" s="2" t="s">
        <v>223</v>
      </c>
      <c r="J48" s="2" t="s">
        <v>176</v>
      </c>
      <c r="K48" s="2"/>
      <c r="L48" s="2" t="s">
        <v>232</v>
      </c>
      <c r="M48" s="2" t="s">
        <v>176</v>
      </c>
      <c r="N48" s="2" t="s">
        <v>175</v>
      </c>
      <c r="O48" s="2"/>
      <c r="P48" s="2" t="s">
        <v>134</v>
      </c>
      <c r="Q48" s="2" t="s">
        <v>150</v>
      </c>
      <c r="R48" s="2" t="s">
        <v>233</v>
      </c>
      <c r="S48" s="2" t="s">
        <v>234</v>
      </c>
      <c r="T48" s="2" t="s">
        <v>168</v>
      </c>
      <c r="U48" s="2" t="s">
        <v>132</v>
      </c>
      <c r="V48" s="2" t="s">
        <v>112</v>
      </c>
      <c r="W48" s="2"/>
      <c r="X48" s="2"/>
      <c r="Y48" s="2" t="s">
        <v>124</v>
      </c>
      <c r="Z48" s="2"/>
      <c r="AA48" s="2"/>
      <c r="AB48" s="2" t="s">
        <v>157</v>
      </c>
      <c r="AC48" s="2" t="s">
        <v>137</v>
      </c>
      <c r="AD48" s="2" t="s">
        <v>134</v>
      </c>
      <c r="AE48" s="2" t="s">
        <v>111</v>
      </c>
      <c r="AF48" s="2" t="s">
        <v>133</v>
      </c>
      <c r="AG48" s="2" t="s">
        <v>130</v>
      </c>
      <c r="AH48" s="2"/>
      <c r="AI48" s="2"/>
      <c r="AJ48" s="2" t="s">
        <v>186</v>
      </c>
      <c r="AK48" s="2"/>
      <c r="AL48" s="2" t="s">
        <v>198</v>
      </c>
      <c r="AM48" s="2"/>
      <c r="AN48" s="2" t="s">
        <v>180</v>
      </c>
      <c r="AO48" s="2"/>
      <c r="AP48" s="2"/>
      <c r="AQ48" s="2"/>
      <c r="AR48" s="2" t="s">
        <v>120</v>
      </c>
      <c r="AS48" s="2"/>
      <c r="AT48" s="2" t="s">
        <v>198</v>
      </c>
      <c r="AU48" s="2" t="s">
        <v>235</v>
      </c>
      <c r="AV48" s="2" t="s">
        <v>116</v>
      </c>
      <c r="AW48" s="2" t="s">
        <v>181</v>
      </c>
      <c r="AX48" s="2"/>
      <c r="AY48" s="2" t="s">
        <v>146</v>
      </c>
      <c r="AZ48" s="2" t="s">
        <v>103</v>
      </c>
      <c r="BA48" s="2" t="s">
        <v>164</v>
      </c>
      <c r="BB48" s="2"/>
      <c r="BC48" s="2"/>
      <c r="BD48" s="2" t="s">
        <v>157</v>
      </c>
      <c r="BE48" s="2" t="s">
        <v>139</v>
      </c>
      <c r="BF48" s="2" t="s">
        <v>124</v>
      </c>
      <c r="BG48" s="2" t="s">
        <v>129</v>
      </c>
      <c r="BH48" s="2">
        <f>3/4</f>
        <v>0.75</v>
      </c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 t="s">
        <v>103</v>
      </c>
      <c r="CD48" s="2" t="s">
        <v>129</v>
      </c>
      <c r="CE48" s="2"/>
      <c r="CF48" s="2"/>
      <c r="CG48" s="2"/>
      <c r="CH48" s="2"/>
      <c r="CI48" s="2" t="s">
        <v>130</v>
      </c>
      <c r="CJ48" s="2" t="s">
        <v>132</v>
      </c>
      <c r="CK48" s="2" t="s">
        <v>129</v>
      </c>
      <c r="CL48" s="2"/>
      <c r="CM48" s="2"/>
      <c r="CN48" s="2"/>
      <c r="CO48" s="2" t="s">
        <v>137</v>
      </c>
      <c r="CP48" s="2"/>
      <c r="CQ48" s="2"/>
      <c r="CR48" s="2"/>
      <c r="CS48" s="2"/>
      <c r="CT48" s="2"/>
      <c r="CU48" s="2"/>
      <c r="CV48" s="2"/>
      <c r="CW48" s="2"/>
      <c r="CX48" s="2"/>
      <c r="CY48" s="2"/>
    </row>
    <row r="49" ht="15.75" customHeight="1">
      <c r="A49" s="2" t="s">
        <v>134</v>
      </c>
      <c r="B49" s="2" t="s">
        <v>118</v>
      </c>
      <c r="C49" s="2" t="s">
        <v>104</v>
      </c>
      <c r="D49" s="2"/>
      <c r="E49" s="2" t="s">
        <v>103</v>
      </c>
      <c r="F49" s="2"/>
      <c r="G49" s="2"/>
      <c r="H49" s="2" t="s">
        <v>137</v>
      </c>
      <c r="I49" s="2"/>
      <c r="J49" s="2"/>
      <c r="K49" s="2"/>
      <c r="L49" s="2" t="s">
        <v>186</v>
      </c>
      <c r="M49" s="2" t="s">
        <v>197</v>
      </c>
      <c r="N49" s="2" t="s">
        <v>236</v>
      </c>
      <c r="O49" s="2" t="s">
        <v>122</v>
      </c>
      <c r="P49" s="2" t="s">
        <v>130</v>
      </c>
      <c r="Q49" s="2" t="s">
        <v>111</v>
      </c>
      <c r="R49" s="2" t="s">
        <v>130</v>
      </c>
      <c r="S49" s="2" t="s">
        <v>210</v>
      </c>
      <c r="T49" s="2" t="s">
        <v>130</v>
      </c>
      <c r="U49" s="2" t="s">
        <v>134</v>
      </c>
      <c r="V49" s="2" t="s">
        <v>130</v>
      </c>
      <c r="W49" s="2"/>
      <c r="X49" s="2"/>
      <c r="Y49" s="2" t="s">
        <v>130</v>
      </c>
      <c r="Z49" s="2"/>
      <c r="AA49" s="2"/>
      <c r="AB49" s="2" t="s">
        <v>116</v>
      </c>
      <c r="AC49" s="2" t="s">
        <v>130</v>
      </c>
      <c r="AD49" s="2" t="s">
        <v>130</v>
      </c>
      <c r="AE49" s="2" t="s">
        <v>130</v>
      </c>
      <c r="AF49" s="2"/>
      <c r="AG49" s="2"/>
      <c r="AH49" s="2"/>
      <c r="AI49" s="2"/>
      <c r="AJ49" s="2" t="s">
        <v>159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 t="s">
        <v>103</v>
      </c>
      <c r="AW49" s="3" t="s">
        <v>111</v>
      </c>
      <c r="AX49" s="2"/>
      <c r="AY49" s="2" t="s">
        <v>133</v>
      </c>
      <c r="AZ49" s="2"/>
      <c r="BA49" s="2"/>
      <c r="BB49" s="2" t="s">
        <v>103</v>
      </c>
      <c r="BC49" s="2" t="s">
        <v>127</v>
      </c>
      <c r="BD49" s="2" t="s">
        <v>103</v>
      </c>
      <c r="BE49" s="2" t="s">
        <v>122</v>
      </c>
      <c r="BF49" s="2" t="s">
        <v>134</v>
      </c>
      <c r="BG49" s="3" t="s">
        <v>152</v>
      </c>
      <c r="BH49" s="2"/>
      <c r="BI49" s="2" t="s">
        <v>137</v>
      </c>
      <c r="BJ49" s="2"/>
      <c r="BK49" s="2"/>
      <c r="BL49" s="2" t="s">
        <v>134</v>
      </c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 t="s">
        <v>103</v>
      </c>
      <c r="CD49" s="2" t="s">
        <v>140</v>
      </c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</row>
    <row r="50" ht="15.75" customHeight="1">
      <c r="A50" s="2" t="s">
        <v>167</v>
      </c>
      <c r="B50" s="2" t="s">
        <v>118</v>
      </c>
      <c r="C50" s="2" t="s">
        <v>104</v>
      </c>
      <c r="D50" s="2"/>
      <c r="E50" s="2" t="s">
        <v>103</v>
      </c>
      <c r="F50" s="2"/>
      <c r="G50" s="2"/>
      <c r="H50" s="2" t="s">
        <v>115</v>
      </c>
      <c r="I50" s="2" t="s">
        <v>123</v>
      </c>
      <c r="J50" s="2" t="s">
        <v>118</v>
      </c>
      <c r="K50" s="2"/>
      <c r="L50" s="2" t="s">
        <v>170</v>
      </c>
      <c r="M50" s="2" t="s">
        <v>139</v>
      </c>
      <c r="N50" s="2" t="s">
        <v>114</v>
      </c>
      <c r="O50" s="2"/>
      <c r="P50" s="2"/>
      <c r="Q50" s="2"/>
      <c r="R50" s="2"/>
      <c r="S50" s="2" t="s">
        <v>150</v>
      </c>
      <c r="T50" s="2" t="s">
        <v>106</v>
      </c>
      <c r="U50" s="2" t="s">
        <v>191</v>
      </c>
      <c r="V50" s="2" t="s">
        <v>113</v>
      </c>
      <c r="W50" s="2"/>
      <c r="X50" s="2"/>
      <c r="Y50" s="2" t="s">
        <v>124</v>
      </c>
      <c r="Z50" s="2"/>
      <c r="AA50" s="2"/>
      <c r="AB50" s="2" t="s">
        <v>125</v>
      </c>
      <c r="AC50" s="2" t="s">
        <v>157</v>
      </c>
      <c r="AD50" s="2" t="s">
        <v>157</v>
      </c>
      <c r="AE50" s="2" t="s">
        <v>120</v>
      </c>
      <c r="AF50" s="2" t="s">
        <v>134</v>
      </c>
      <c r="AG50" s="2"/>
      <c r="AH50" s="2"/>
      <c r="AI50" s="2"/>
      <c r="AJ50" s="2" t="s">
        <v>114</v>
      </c>
      <c r="AK50" s="2"/>
      <c r="AL50" s="2" t="s">
        <v>137</v>
      </c>
      <c r="AM50" s="2" t="s">
        <v>111</v>
      </c>
      <c r="AN50" s="2"/>
      <c r="AO50" s="2" t="s">
        <v>157</v>
      </c>
      <c r="AP50" s="2"/>
      <c r="AQ50" s="2"/>
      <c r="AR50" s="2"/>
      <c r="AS50" s="2"/>
      <c r="AT50" s="2" t="s">
        <v>137</v>
      </c>
      <c r="AU50" s="2" t="s">
        <v>112</v>
      </c>
      <c r="AV50" s="2" t="s">
        <v>130</v>
      </c>
      <c r="AW50" s="2" t="s">
        <v>141</v>
      </c>
      <c r="AX50" s="2"/>
      <c r="AY50" s="2" t="s">
        <v>123</v>
      </c>
      <c r="AZ50" s="2" t="s">
        <v>130</v>
      </c>
      <c r="BA50" s="2" t="s">
        <v>113</v>
      </c>
      <c r="BB50" s="2" t="s">
        <v>103</v>
      </c>
      <c r="BC50" s="2" t="s">
        <v>134</v>
      </c>
      <c r="BD50" s="2" t="s">
        <v>118</v>
      </c>
      <c r="BE50" s="2" t="s">
        <v>132</v>
      </c>
      <c r="BF50" s="2" t="s">
        <v>118</v>
      </c>
      <c r="BG50" s="2" t="s">
        <v>129</v>
      </c>
      <c r="BH50" s="2"/>
      <c r="BI50" s="2"/>
      <c r="BJ50" s="2" t="s">
        <v>130</v>
      </c>
      <c r="BK50" s="3" t="s">
        <v>133</v>
      </c>
      <c r="BL50" s="2"/>
      <c r="BM50" s="2" t="s">
        <v>116</v>
      </c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5">
        <f>1 + (1/2)</f>
        <v>1.5</v>
      </c>
      <c r="CD50" s="2" t="s">
        <v>112</v>
      </c>
      <c r="CE50" s="2"/>
      <c r="CF50" s="2"/>
      <c r="CG50" s="2"/>
      <c r="CH50" s="2"/>
      <c r="CI50" s="2"/>
      <c r="CJ50" s="2" t="s">
        <v>119</v>
      </c>
      <c r="CK50" s="2" t="s">
        <v>113</v>
      </c>
      <c r="CL50" s="2"/>
      <c r="CM50" s="2"/>
      <c r="CN50" s="2"/>
      <c r="CO50" s="2" t="s">
        <v>130</v>
      </c>
      <c r="CP50" s="2"/>
      <c r="CQ50" s="2"/>
      <c r="CR50" s="2"/>
      <c r="CS50" s="2"/>
      <c r="CT50" s="2"/>
      <c r="CU50" s="2"/>
      <c r="CV50" s="2"/>
      <c r="CW50" s="2"/>
      <c r="CX50" s="2" t="s">
        <v>116</v>
      </c>
      <c r="CY50" s="2" t="s">
        <v>130</v>
      </c>
    </row>
    <row r="51" ht="15.75" customHeight="1">
      <c r="A51" s="2" t="s">
        <v>111</v>
      </c>
      <c r="B51" s="2" t="s">
        <v>118</v>
      </c>
      <c r="C51" s="2" t="s">
        <v>104</v>
      </c>
      <c r="D51" s="2"/>
      <c r="E51" s="2" t="s">
        <v>103</v>
      </c>
      <c r="F51" s="2"/>
      <c r="G51" s="2"/>
      <c r="H51" s="2" t="s">
        <v>109</v>
      </c>
      <c r="I51" s="2" t="s">
        <v>132</v>
      </c>
      <c r="J51" s="2" t="s">
        <v>107</v>
      </c>
      <c r="K51" s="2"/>
      <c r="L51" s="2" t="s">
        <v>144</v>
      </c>
      <c r="M51" s="2" t="s">
        <v>132</v>
      </c>
      <c r="N51" s="2" t="s">
        <v>237</v>
      </c>
      <c r="O51" s="2" t="s">
        <v>123</v>
      </c>
      <c r="P51" s="2"/>
      <c r="Q51" s="2" t="s">
        <v>129</v>
      </c>
      <c r="R51" s="2" t="s">
        <v>177</v>
      </c>
      <c r="S51" s="2" t="s">
        <v>238</v>
      </c>
      <c r="T51" s="2" t="s">
        <v>132</v>
      </c>
      <c r="U51" s="2" t="s">
        <v>109</v>
      </c>
      <c r="V51" s="2" t="s">
        <v>132</v>
      </c>
      <c r="W51" s="2"/>
      <c r="X51" s="2"/>
      <c r="Y51" s="2" t="s">
        <v>157</v>
      </c>
      <c r="Z51" s="2"/>
      <c r="AA51" s="2"/>
      <c r="AB51" s="2" t="s">
        <v>167</v>
      </c>
      <c r="AC51" s="2" t="s">
        <v>157</v>
      </c>
      <c r="AD51" s="2" t="s">
        <v>148</v>
      </c>
      <c r="AE51" s="2"/>
      <c r="AF51" s="2" t="s">
        <v>157</v>
      </c>
      <c r="AG51" s="2"/>
      <c r="AH51" s="2" t="s">
        <v>103</v>
      </c>
      <c r="AI51" s="2"/>
      <c r="AJ51" s="2" t="s">
        <v>182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 t="s">
        <v>116</v>
      </c>
      <c r="AW51" s="2" t="s">
        <v>137</v>
      </c>
      <c r="AX51" s="2"/>
      <c r="AY51" s="2" t="s">
        <v>123</v>
      </c>
      <c r="AZ51" s="2"/>
      <c r="BA51" s="2"/>
      <c r="BB51" s="2"/>
      <c r="BC51" s="2"/>
      <c r="BD51" s="5">
        <f>1 + (1/2)</f>
        <v>1.5</v>
      </c>
      <c r="BE51" s="2" t="s">
        <v>109</v>
      </c>
      <c r="BF51" s="2" t="s">
        <v>125</v>
      </c>
      <c r="BG51" s="2" t="s">
        <v>150</v>
      </c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 t="s">
        <v>129</v>
      </c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 t="s">
        <v>103</v>
      </c>
      <c r="CJ51" s="2" t="s">
        <v>107</v>
      </c>
      <c r="CK51" s="2" t="s">
        <v>132</v>
      </c>
      <c r="CL51" s="2"/>
      <c r="CM51" s="2"/>
      <c r="CN51" s="2"/>
      <c r="CO51" s="2" t="s">
        <v>111</v>
      </c>
      <c r="CP51" s="2"/>
      <c r="CQ51" s="2"/>
      <c r="CR51" s="2"/>
      <c r="CS51" s="2"/>
      <c r="CT51" s="2"/>
      <c r="CU51" s="2"/>
      <c r="CV51" s="2"/>
      <c r="CW51" s="2"/>
      <c r="CX51" s="2" t="s">
        <v>137</v>
      </c>
      <c r="CY51" s="2" t="s">
        <v>137</v>
      </c>
    </row>
    <row r="52" ht="15.75" customHeight="1">
      <c r="A52" s="2" t="s">
        <v>103</v>
      </c>
      <c r="B52" s="2" t="s">
        <v>124</v>
      </c>
      <c r="C52" s="2" t="s">
        <v>104</v>
      </c>
      <c r="D52" s="2"/>
      <c r="E52" s="2" t="s">
        <v>103</v>
      </c>
      <c r="F52" s="2"/>
      <c r="G52" s="2"/>
      <c r="H52" s="2" t="s">
        <v>107</v>
      </c>
      <c r="I52" s="2" t="s">
        <v>156</v>
      </c>
      <c r="J52" s="2" t="s">
        <v>119</v>
      </c>
      <c r="K52" s="2"/>
      <c r="L52" s="2" t="s">
        <v>239</v>
      </c>
      <c r="M52" s="2" t="s">
        <v>150</v>
      </c>
      <c r="N52" s="2" t="s">
        <v>149</v>
      </c>
      <c r="O52" s="2"/>
      <c r="P52" s="2"/>
      <c r="Q52" s="2"/>
      <c r="R52" s="2"/>
      <c r="S52" s="2" t="s">
        <v>197</v>
      </c>
      <c r="T52" s="2" t="s">
        <v>137</v>
      </c>
      <c r="U52" s="2" t="s">
        <v>187</v>
      </c>
      <c r="V52" s="2" t="s">
        <v>137</v>
      </c>
      <c r="W52" s="2"/>
      <c r="X52" s="2"/>
      <c r="Y52" s="2" t="s">
        <v>116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 t="s">
        <v>151</v>
      </c>
      <c r="AM52" s="2" t="s">
        <v>181</v>
      </c>
      <c r="AN52" s="2"/>
      <c r="AO52" s="2"/>
      <c r="AP52" s="2"/>
      <c r="AQ52" s="2"/>
      <c r="AR52" s="2"/>
      <c r="AS52" s="2"/>
      <c r="AT52" s="2" t="s">
        <v>151</v>
      </c>
      <c r="AU52" s="3" t="s">
        <v>175</v>
      </c>
      <c r="AV52" s="2"/>
      <c r="AW52" s="2"/>
      <c r="AX52" s="2"/>
      <c r="AY52" s="2"/>
      <c r="AZ52" s="2"/>
      <c r="BA52" s="2"/>
      <c r="BB52" s="2">
        <f>1/4</f>
        <v>0.25</v>
      </c>
      <c r="BC52" s="2"/>
      <c r="BD52" s="2"/>
      <c r="BE52" s="2" t="s">
        <v>133</v>
      </c>
      <c r="BF52" s="2" t="s">
        <v>116</v>
      </c>
      <c r="BG52" s="2" t="s">
        <v>132</v>
      </c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 t="s">
        <v>103</v>
      </c>
      <c r="CD52" s="2" t="s">
        <v>123</v>
      </c>
      <c r="CE52" s="2"/>
      <c r="CF52" s="2"/>
      <c r="CG52" s="2"/>
      <c r="CH52" s="2"/>
      <c r="CI52" s="2"/>
      <c r="CJ52" s="2" t="s">
        <v>137</v>
      </c>
      <c r="CK52" s="2" t="s">
        <v>132</v>
      </c>
      <c r="CL52" s="2"/>
      <c r="CM52" s="2"/>
      <c r="CN52" s="2"/>
      <c r="CO52" s="2" t="s">
        <v>111</v>
      </c>
      <c r="CP52" s="2"/>
      <c r="CQ52" s="2"/>
      <c r="CR52" s="2"/>
      <c r="CS52" s="2"/>
      <c r="CT52" s="2"/>
      <c r="CU52" s="2"/>
      <c r="CV52" s="2"/>
      <c r="CW52" s="2"/>
      <c r="CX52" s="2"/>
      <c r="CY52" s="2"/>
    </row>
    <row r="53" ht="15.75" customHeight="1">
      <c r="A53" s="2" t="s">
        <v>130</v>
      </c>
      <c r="B53" s="2" t="s">
        <v>124</v>
      </c>
      <c r="C53" s="2" t="s">
        <v>104</v>
      </c>
      <c r="D53" s="2"/>
      <c r="E53" s="2" t="s">
        <v>103</v>
      </c>
      <c r="F53" s="2"/>
      <c r="G53" s="2"/>
      <c r="H53" s="2" t="s">
        <v>202</v>
      </c>
      <c r="I53" s="2" t="s">
        <v>124</v>
      </c>
      <c r="J53" s="2" t="s">
        <v>134</v>
      </c>
      <c r="K53" s="2"/>
      <c r="L53" s="2" t="s">
        <v>163</v>
      </c>
      <c r="M53" s="2" t="s">
        <v>109</v>
      </c>
      <c r="N53" s="2" t="s">
        <v>176</v>
      </c>
      <c r="O53" s="2"/>
      <c r="P53" s="2"/>
      <c r="Q53" s="2"/>
      <c r="R53" s="2"/>
      <c r="S53" s="2" t="s">
        <v>129</v>
      </c>
      <c r="T53" s="2" t="s">
        <v>181</v>
      </c>
      <c r="U53" s="2" t="s">
        <v>119</v>
      </c>
      <c r="V53" s="2" t="s">
        <v>137</v>
      </c>
      <c r="W53" s="2"/>
      <c r="X53" s="2"/>
      <c r="Y53" s="2" t="s">
        <v>103</v>
      </c>
      <c r="Z53" s="2"/>
      <c r="AA53" s="2"/>
      <c r="AB53" s="2" t="s">
        <v>116</v>
      </c>
      <c r="AC53" s="2"/>
      <c r="AD53" s="2" t="s">
        <v>125</v>
      </c>
      <c r="AE53" s="2" t="s">
        <v>103</v>
      </c>
      <c r="AF53" s="2" t="s">
        <v>118</v>
      </c>
      <c r="AG53" s="2"/>
      <c r="AH53" s="2"/>
      <c r="AI53" s="2"/>
      <c r="AJ53" s="2" t="s">
        <v>131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 t="s">
        <v>103</v>
      </c>
      <c r="AW53" s="2" t="s">
        <v>118</v>
      </c>
      <c r="AX53" s="2"/>
      <c r="AY53" s="2" t="s">
        <v>107</v>
      </c>
      <c r="AZ53" s="2"/>
      <c r="BA53" s="2"/>
      <c r="BB53" s="2"/>
      <c r="BC53" s="2" t="s">
        <v>124</v>
      </c>
      <c r="BD53" s="2">
        <f>1/4</f>
        <v>0.25</v>
      </c>
      <c r="BE53" s="2" t="s">
        <v>118</v>
      </c>
      <c r="BF53" s="2" t="s">
        <v>103</v>
      </c>
      <c r="BG53" s="2" t="s">
        <v>124</v>
      </c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>
        <f>1/4</f>
        <v>0.25</v>
      </c>
      <c r="CD53" s="2" t="s">
        <v>107</v>
      </c>
      <c r="CE53" s="2"/>
      <c r="CF53" s="2"/>
      <c r="CG53" s="2"/>
      <c r="CH53" s="2"/>
      <c r="CI53" s="3" t="s">
        <v>116</v>
      </c>
      <c r="CJ53" s="2" t="s">
        <v>137</v>
      </c>
      <c r="CK53" s="2" t="s">
        <v>137</v>
      </c>
      <c r="CL53" s="2"/>
      <c r="CM53" s="2"/>
      <c r="CN53" s="2"/>
      <c r="CO53" s="2" t="s">
        <v>130</v>
      </c>
      <c r="CP53" s="2"/>
      <c r="CQ53" s="2"/>
      <c r="CR53" s="2"/>
      <c r="CS53" s="2"/>
      <c r="CT53" s="2"/>
      <c r="CU53" s="2"/>
      <c r="CV53" s="2"/>
      <c r="CW53" s="2"/>
      <c r="CX53" s="2" t="s">
        <v>125</v>
      </c>
      <c r="CY53" s="2" t="s">
        <v>134</v>
      </c>
    </row>
    <row r="54" ht="15.75" customHeight="1">
      <c r="A54" s="2" t="s">
        <v>116</v>
      </c>
      <c r="B54" s="2" t="s">
        <v>124</v>
      </c>
      <c r="C54" s="2" t="s">
        <v>104</v>
      </c>
      <c r="D54" s="2"/>
      <c r="E54" s="2" t="s">
        <v>103</v>
      </c>
      <c r="F54" s="2"/>
      <c r="G54" s="2"/>
      <c r="H54" s="2" t="s">
        <v>123</v>
      </c>
      <c r="I54" s="2" t="s">
        <v>240</v>
      </c>
      <c r="J54" s="2" t="s">
        <v>224</v>
      </c>
      <c r="K54" s="2"/>
      <c r="L54" s="2" t="s">
        <v>174</v>
      </c>
      <c r="M54" s="2" t="s">
        <v>129</v>
      </c>
      <c r="N54" s="2" t="s">
        <v>186</v>
      </c>
      <c r="O54" s="2"/>
      <c r="P54" s="2"/>
      <c r="Q54" s="2" t="s">
        <v>132</v>
      </c>
      <c r="R54" s="2" t="s">
        <v>111</v>
      </c>
      <c r="S54" s="2" t="s">
        <v>241</v>
      </c>
      <c r="T54" s="2" t="s">
        <v>123</v>
      </c>
      <c r="U54" s="2" t="s">
        <v>240</v>
      </c>
      <c r="V54" s="2" t="s">
        <v>158</v>
      </c>
      <c r="W54" s="2"/>
      <c r="X54" s="2"/>
      <c r="Y54" s="2" t="s">
        <v>103</v>
      </c>
      <c r="Z54" s="2"/>
      <c r="AA54" s="2" t="s">
        <v>103</v>
      </c>
      <c r="AB54" s="2" t="s">
        <v>118</v>
      </c>
      <c r="AC54" s="2" t="s">
        <v>211</v>
      </c>
      <c r="AD54" s="2" t="s">
        <v>125</v>
      </c>
      <c r="AE54" s="2" t="s">
        <v>211</v>
      </c>
      <c r="AF54" s="2" t="s">
        <v>211</v>
      </c>
      <c r="AG54" s="2" t="s">
        <v>116</v>
      </c>
      <c r="AH54" s="2"/>
      <c r="AI54" s="2"/>
      <c r="AJ54" s="2" t="s">
        <v>114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 t="s">
        <v>111</v>
      </c>
      <c r="AX54" s="2"/>
      <c r="AY54" s="2" t="s">
        <v>132</v>
      </c>
      <c r="AZ54" s="2"/>
      <c r="BA54" s="2"/>
      <c r="BB54" s="2"/>
      <c r="BC54" s="2"/>
      <c r="BD54" s="2"/>
      <c r="BE54" s="2"/>
      <c r="BF54" s="2" t="s">
        <v>116</v>
      </c>
      <c r="BG54" s="2" t="s">
        <v>132</v>
      </c>
      <c r="BH54" s="2"/>
      <c r="BI54" s="2"/>
      <c r="BJ54" s="5">
        <f>2 + (1/2)</f>
        <v>2.5</v>
      </c>
      <c r="BK54" s="2" t="s">
        <v>242</v>
      </c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>
        <f t="shared" ref="CC54:CC57" si="9">1/2</f>
        <v>0.5</v>
      </c>
      <c r="CD54" s="2" t="s">
        <v>123</v>
      </c>
      <c r="CE54" s="2"/>
      <c r="CF54" s="2"/>
      <c r="CG54" s="2"/>
      <c r="CH54" s="2"/>
      <c r="CI54" s="2"/>
      <c r="CJ54" s="2" t="s">
        <v>132</v>
      </c>
      <c r="CK54" s="2" t="s">
        <v>129</v>
      </c>
      <c r="CL54" s="2"/>
      <c r="CM54" s="2"/>
      <c r="CN54" s="2"/>
      <c r="CO54" s="2" t="s">
        <v>137</v>
      </c>
      <c r="CP54" s="2"/>
      <c r="CQ54" s="2"/>
      <c r="CR54" s="2"/>
      <c r="CS54" s="2"/>
      <c r="CT54" s="2"/>
      <c r="CU54" s="2"/>
      <c r="CV54" s="2"/>
      <c r="CW54" s="2"/>
      <c r="CX54" s="2" t="s">
        <v>118</v>
      </c>
      <c r="CY54" s="2" t="s">
        <v>118</v>
      </c>
    </row>
    <row r="55" ht="15.75" customHeight="1">
      <c r="A55" s="2" t="s">
        <v>125</v>
      </c>
      <c r="B55" s="2" t="s">
        <v>124</v>
      </c>
      <c r="C55" s="2" t="s">
        <v>104</v>
      </c>
      <c r="D55" s="2"/>
      <c r="E55" s="2" t="s">
        <v>103</v>
      </c>
      <c r="F55" s="2"/>
      <c r="G55" s="2"/>
      <c r="H55" s="2" t="s">
        <v>127</v>
      </c>
      <c r="I55" s="2"/>
      <c r="J55" s="2"/>
      <c r="K55" s="2"/>
      <c r="L55" s="2" t="s">
        <v>145</v>
      </c>
      <c r="M55" s="2" t="s">
        <v>107</v>
      </c>
      <c r="N55" s="2" t="s">
        <v>132</v>
      </c>
      <c r="O55" s="2"/>
      <c r="P55" s="2"/>
      <c r="Q55" s="2"/>
      <c r="R55" s="2"/>
      <c r="S55" s="2" t="s">
        <v>132</v>
      </c>
      <c r="T55" s="2" t="s">
        <v>116</v>
      </c>
      <c r="U55" s="2" t="s">
        <v>117</v>
      </c>
      <c r="V55" s="2" t="s">
        <v>116</v>
      </c>
      <c r="W55" s="2"/>
      <c r="X55" s="2"/>
      <c r="Y55" s="2" t="s">
        <v>103</v>
      </c>
      <c r="Z55" s="2"/>
      <c r="AA55" s="2"/>
      <c r="AB55" s="2" t="s">
        <v>130</v>
      </c>
      <c r="AC55" s="2"/>
      <c r="AD55" s="2" t="s">
        <v>130</v>
      </c>
      <c r="AE55" s="2"/>
      <c r="AF55" s="2"/>
      <c r="AG55" s="2"/>
      <c r="AH55" s="2"/>
      <c r="AI55" s="2"/>
      <c r="AJ55" s="2" t="s">
        <v>129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 t="s">
        <v>130</v>
      </c>
      <c r="AW55" s="2" t="s">
        <v>124</v>
      </c>
      <c r="AX55" s="2"/>
      <c r="AY55" s="2" t="s">
        <v>123</v>
      </c>
      <c r="AZ55" s="2"/>
      <c r="BA55" s="2"/>
      <c r="BB55" s="2"/>
      <c r="BC55" s="2"/>
      <c r="BD55" s="2">
        <f>1 + (1/4)</f>
        <v>1.25</v>
      </c>
      <c r="BE55" s="2" t="s">
        <v>113</v>
      </c>
      <c r="BF55" s="2" t="s">
        <v>103</v>
      </c>
      <c r="BG55" s="2" t="s">
        <v>133</v>
      </c>
      <c r="BH55" s="2" t="s">
        <v>157</v>
      </c>
      <c r="BI55" s="2" t="s">
        <v>123</v>
      </c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>
        <f t="shared" si="9"/>
        <v>0.5</v>
      </c>
      <c r="CD55" s="2" t="s">
        <v>106</v>
      </c>
      <c r="CE55" s="2"/>
      <c r="CF55" s="2"/>
      <c r="CG55" s="2"/>
      <c r="CH55" s="2"/>
      <c r="CI55" s="2"/>
      <c r="CJ55" s="2" t="s">
        <v>119</v>
      </c>
      <c r="CK55" s="2" t="s">
        <v>115</v>
      </c>
      <c r="CL55" s="2"/>
      <c r="CM55" s="2"/>
      <c r="CN55" s="2"/>
      <c r="CO55" s="2" t="s">
        <v>124</v>
      </c>
      <c r="CP55" s="2"/>
      <c r="CQ55" s="2"/>
      <c r="CR55" s="2"/>
      <c r="CS55" s="2"/>
      <c r="CT55" s="2"/>
      <c r="CU55" s="2"/>
      <c r="CV55" s="2"/>
      <c r="CW55" s="2"/>
      <c r="CX55" s="2"/>
      <c r="CY55" s="2"/>
    </row>
    <row r="56" ht="15.75" customHeight="1">
      <c r="A56" s="2" t="s">
        <v>118</v>
      </c>
      <c r="B56" s="2" t="s">
        <v>124</v>
      </c>
      <c r="C56" s="2" t="s">
        <v>104</v>
      </c>
      <c r="D56" s="2"/>
      <c r="E56" s="2"/>
      <c r="F56" s="2" t="s">
        <v>103</v>
      </c>
      <c r="G56" s="2"/>
      <c r="H56" s="2" t="s">
        <v>224</v>
      </c>
      <c r="I56" s="2" t="s">
        <v>158</v>
      </c>
      <c r="J56" s="2" t="s">
        <v>243</v>
      </c>
      <c r="K56" s="2"/>
      <c r="L56" s="2" t="s">
        <v>244</v>
      </c>
      <c r="M56" s="2" t="s">
        <v>112</v>
      </c>
      <c r="N56" s="2" t="s">
        <v>245</v>
      </c>
      <c r="O56" s="2"/>
      <c r="P56" s="2"/>
      <c r="Q56" s="2" t="s">
        <v>109</v>
      </c>
      <c r="R56" s="2" t="s">
        <v>119</v>
      </c>
      <c r="S56" s="2" t="s">
        <v>246</v>
      </c>
      <c r="T56" s="2" t="s">
        <v>123</v>
      </c>
      <c r="U56" s="2" t="s">
        <v>191</v>
      </c>
      <c r="V56" s="2" t="s">
        <v>123</v>
      </c>
      <c r="W56" s="2"/>
      <c r="X56" s="2"/>
      <c r="Y56" s="2" t="s">
        <v>130</v>
      </c>
      <c r="Z56" s="2"/>
      <c r="AA56" s="2"/>
      <c r="AB56" s="2" t="s">
        <v>119</v>
      </c>
      <c r="AC56" s="2"/>
      <c r="AD56" s="2" t="s">
        <v>119</v>
      </c>
      <c r="AE56" s="2"/>
      <c r="AF56" s="2" t="s">
        <v>134</v>
      </c>
      <c r="AG56" s="2" t="s">
        <v>103</v>
      </c>
      <c r="AH56" s="2"/>
      <c r="AI56" s="2"/>
      <c r="AJ56" s="2" t="s">
        <v>247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 t="s">
        <v>116</v>
      </c>
      <c r="AW56" s="2" t="s">
        <v>141</v>
      </c>
      <c r="AX56" s="2"/>
      <c r="AY56" s="2" t="s">
        <v>132</v>
      </c>
      <c r="AZ56" s="2"/>
      <c r="BA56" s="2"/>
      <c r="BB56" s="2"/>
      <c r="BC56" s="2"/>
      <c r="BD56" s="2" t="s">
        <v>130</v>
      </c>
      <c r="BE56" s="2" t="s">
        <v>123</v>
      </c>
      <c r="BF56" s="2" t="s">
        <v>124</v>
      </c>
      <c r="BG56" s="2" t="s">
        <v>112</v>
      </c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 t="s">
        <v>129</v>
      </c>
      <c r="BX56" s="2"/>
      <c r="BY56" s="2"/>
      <c r="BZ56" s="2"/>
      <c r="CA56" s="2"/>
      <c r="CB56" s="2"/>
      <c r="CC56" s="2">
        <f t="shared" si="9"/>
        <v>0.5</v>
      </c>
      <c r="CD56" s="2" t="s">
        <v>123</v>
      </c>
      <c r="CE56" s="2"/>
      <c r="CF56" s="2"/>
      <c r="CG56" s="2"/>
      <c r="CH56" s="2"/>
      <c r="CI56" s="2" t="s">
        <v>130</v>
      </c>
      <c r="CJ56" s="3" t="s">
        <v>248</v>
      </c>
      <c r="CK56" s="2" t="s">
        <v>129</v>
      </c>
      <c r="CL56" s="2"/>
      <c r="CM56" s="2"/>
      <c r="CN56" s="2"/>
      <c r="CO56" s="2" t="s">
        <v>115</v>
      </c>
      <c r="CP56" s="2"/>
      <c r="CQ56" s="2"/>
      <c r="CR56" s="2"/>
      <c r="CS56" s="2"/>
      <c r="CT56" s="2"/>
      <c r="CU56" s="2"/>
      <c r="CV56" s="2"/>
      <c r="CW56" s="2"/>
      <c r="CX56" s="2" t="s">
        <v>169</v>
      </c>
      <c r="CY56" s="2" t="s">
        <v>153</v>
      </c>
    </row>
    <row r="57" ht="15.75" customHeight="1">
      <c r="A57" s="2" t="s">
        <v>124</v>
      </c>
      <c r="B57" s="2" t="s">
        <v>124</v>
      </c>
      <c r="C57" s="2" t="s">
        <v>104</v>
      </c>
      <c r="D57" s="2"/>
      <c r="E57" s="2"/>
      <c r="F57" s="2"/>
      <c r="G57" s="2" t="s">
        <v>103</v>
      </c>
      <c r="H57" s="2" t="s">
        <v>117</v>
      </c>
      <c r="I57" s="2" t="s">
        <v>202</v>
      </c>
      <c r="J57" s="2" t="s">
        <v>137</v>
      </c>
      <c r="K57" s="2"/>
      <c r="L57" s="2" t="s">
        <v>239</v>
      </c>
      <c r="M57" s="2" t="s">
        <v>111</v>
      </c>
      <c r="N57" s="2" t="s">
        <v>132</v>
      </c>
      <c r="O57" s="2"/>
      <c r="P57" s="2"/>
      <c r="Q57" s="2"/>
      <c r="R57" s="2"/>
      <c r="S57" s="2" t="s">
        <v>112</v>
      </c>
      <c r="T57" s="2" t="s">
        <v>167</v>
      </c>
      <c r="U57" s="2" t="s">
        <v>133</v>
      </c>
      <c r="V57" s="2" t="s">
        <v>111</v>
      </c>
      <c r="W57" s="2"/>
      <c r="X57" s="2"/>
      <c r="Y57" s="2" t="s">
        <v>103</v>
      </c>
      <c r="Z57" s="2"/>
      <c r="AA57" s="2"/>
      <c r="AB57" s="2" t="s">
        <v>116</v>
      </c>
      <c r="AC57" s="2"/>
      <c r="AD57" s="2" t="s">
        <v>116</v>
      </c>
      <c r="AE57" s="2"/>
      <c r="AF57" s="2" t="s">
        <v>103</v>
      </c>
      <c r="AG57" s="2" t="s">
        <v>130</v>
      </c>
      <c r="AH57" s="2"/>
      <c r="AI57" s="2"/>
      <c r="AJ57" s="2" t="s">
        <v>186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 t="s">
        <v>130</v>
      </c>
      <c r="AW57" s="2" t="s">
        <v>118</v>
      </c>
      <c r="AX57" s="2"/>
      <c r="AY57" s="2" t="s">
        <v>109</v>
      </c>
      <c r="AZ57" s="2"/>
      <c r="BA57" s="2"/>
      <c r="BB57" s="2"/>
      <c r="BC57" s="2"/>
      <c r="BD57" s="5">
        <f>1 + (1/2)</f>
        <v>1.5</v>
      </c>
      <c r="BE57" s="2" t="s">
        <v>106</v>
      </c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>
        <f t="shared" si="9"/>
        <v>0.5</v>
      </c>
      <c r="CD57" s="2" t="s">
        <v>113</v>
      </c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</row>
    <row r="58" ht="15.75" customHeight="1">
      <c r="A58" s="2" t="s">
        <v>157</v>
      </c>
      <c r="B58" s="2" t="s">
        <v>124</v>
      </c>
      <c r="C58" s="2" t="s">
        <v>104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</row>
    <row r="59" ht="15.75" customHeight="1">
      <c r="A59" s="2" t="s">
        <v>134</v>
      </c>
      <c r="B59" s="2" t="s">
        <v>124</v>
      </c>
      <c r="C59" s="2" t="s">
        <v>104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</row>
    <row r="60" ht="15.75" customHeight="1">
      <c r="A60" s="2" t="s">
        <v>167</v>
      </c>
      <c r="B60" s="2" t="s">
        <v>124</v>
      </c>
      <c r="C60" s="2" t="s">
        <v>104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</row>
    <row r="61" ht="15.75" customHeight="1">
      <c r="A61" s="2" t="s">
        <v>111</v>
      </c>
      <c r="B61" s="2" t="s">
        <v>124</v>
      </c>
      <c r="C61" s="2" t="s">
        <v>104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</row>
    <row r="62" ht="15.75" customHeight="1">
      <c r="A62" s="2" t="s">
        <v>103</v>
      </c>
      <c r="B62" s="2" t="s">
        <v>157</v>
      </c>
      <c r="C62" s="2" t="s">
        <v>104</v>
      </c>
      <c r="D62" s="2"/>
      <c r="E62" s="2"/>
      <c r="F62" s="2"/>
      <c r="G62" s="2" t="s">
        <v>103</v>
      </c>
      <c r="H62" s="2" t="s">
        <v>122</v>
      </c>
      <c r="I62" s="3" t="s">
        <v>107</v>
      </c>
      <c r="J62" s="2" t="s">
        <v>137</v>
      </c>
      <c r="K62" s="2"/>
      <c r="L62" s="2" t="s">
        <v>135</v>
      </c>
      <c r="M62" s="2" t="s">
        <v>151</v>
      </c>
      <c r="N62" s="2" t="s">
        <v>229</v>
      </c>
      <c r="O62" s="2"/>
      <c r="P62" s="2"/>
      <c r="Q62" s="2"/>
      <c r="R62" s="2"/>
      <c r="S62" s="2" t="s">
        <v>114</v>
      </c>
      <c r="T62" s="2" t="s">
        <v>122</v>
      </c>
      <c r="U62" s="2" t="s">
        <v>137</v>
      </c>
      <c r="V62" s="2" t="s">
        <v>133</v>
      </c>
      <c r="W62" s="2"/>
      <c r="X62" s="2"/>
      <c r="Y62" s="2" t="s">
        <v>130</v>
      </c>
      <c r="Z62" s="2"/>
      <c r="AA62" s="2"/>
      <c r="AB62" s="2" t="s">
        <v>157</v>
      </c>
      <c r="AC62" s="2" t="s">
        <v>124</v>
      </c>
      <c r="AD62" s="2" t="s">
        <v>134</v>
      </c>
      <c r="AE62" s="2" t="s">
        <v>103</v>
      </c>
      <c r="AF62" s="2" t="s">
        <v>134</v>
      </c>
      <c r="AG62" s="2" t="s">
        <v>103</v>
      </c>
      <c r="AH62" s="2"/>
      <c r="AI62" s="2"/>
      <c r="AJ62" s="2" t="s">
        <v>149</v>
      </c>
      <c r="AK62" s="2"/>
      <c r="AL62" s="2" t="s">
        <v>137</v>
      </c>
      <c r="AM62" s="2" t="s">
        <v>134</v>
      </c>
      <c r="AN62" s="2"/>
      <c r="AO62" s="2"/>
      <c r="AP62" s="2" t="s">
        <v>103</v>
      </c>
      <c r="AQ62" s="2"/>
      <c r="AR62" s="2"/>
      <c r="AS62" s="2"/>
      <c r="AT62" s="2" t="s">
        <v>137</v>
      </c>
      <c r="AU62" s="2" t="s">
        <v>249</v>
      </c>
      <c r="AV62" s="2" t="s">
        <v>130</v>
      </c>
      <c r="AW62" s="2" t="s">
        <v>107</v>
      </c>
      <c r="AX62" s="2"/>
      <c r="AY62" s="2" t="s">
        <v>112</v>
      </c>
      <c r="AZ62" s="2"/>
      <c r="BA62" s="2"/>
      <c r="BB62" s="2"/>
      <c r="BC62" s="2"/>
      <c r="BD62" s="2" t="s">
        <v>103</v>
      </c>
      <c r="BE62" s="2" t="s">
        <v>113</v>
      </c>
      <c r="BF62" s="2" t="s">
        <v>125</v>
      </c>
      <c r="BG62" s="2" t="s">
        <v>197</v>
      </c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>
        <f t="shared" ref="CC62:CC63" si="10">1/2</f>
        <v>0.5</v>
      </c>
      <c r="CD62" s="2" t="s">
        <v>191</v>
      </c>
      <c r="CE62" s="2"/>
      <c r="CF62" s="2"/>
      <c r="CG62" s="2"/>
      <c r="CH62" s="2"/>
      <c r="CI62" s="2"/>
      <c r="CJ62" s="2" t="s">
        <v>120</v>
      </c>
      <c r="CK62" s="2" t="s">
        <v>132</v>
      </c>
      <c r="CL62" s="2"/>
      <c r="CM62" s="2"/>
      <c r="CN62" s="2"/>
      <c r="CO62" s="2" t="s">
        <v>111</v>
      </c>
      <c r="CP62" s="2"/>
      <c r="CQ62" s="2"/>
      <c r="CR62" s="2"/>
      <c r="CS62" s="2"/>
      <c r="CT62" s="2"/>
      <c r="CU62" s="2"/>
      <c r="CV62" s="2"/>
      <c r="CW62" s="2"/>
      <c r="CX62" s="2" t="s">
        <v>107</v>
      </c>
      <c r="CY62" s="2" t="s">
        <v>133</v>
      </c>
    </row>
    <row r="63" ht="15.75" customHeight="1">
      <c r="A63" s="2" t="s">
        <v>130</v>
      </c>
      <c r="B63" s="2" t="s">
        <v>157</v>
      </c>
      <c r="C63" s="2" t="s">
        <v>104</v>
      </c>
      <c r="D63" s="2"/>
      <c r="E63" s="2"/>
      <c r="F63" s="2" t="s">
        <v>103</v>
      </c>
      <c r="G63" s="2"/>
      <c r="H63" s="2" t="s">
        <v>134</v>
      </c>
      <c r="I63" s="2" t="s">
        <v>134</v>
      </c>
      <c r="J63" s="2"/>
      <c r="K63" s="2"/>
      <c r="L63" s="2" t="s">
        <v>159</v>
      </c>
      <c r="M63" s="2" t="s">
        <v>118</v>
      </c>
      <c r="N63" s="2" t="s">
        <v>123</v>
      </c>
      <c r="O63" s="2"/>
      <c r="P63" s="2"/>
      <c r="Q63" s="2"/>
      <c r="R63" s="2"/>
      <c r="S63" s="2" t="s">
        <v>250</v>
      </c>
      <c r="T63" s="2" t="s">
        <v>124</v>
      </c>
      <c r="U63" s="2" t="s">
        <v>130</v>
      </c>
      <c r="V63" s="2" t="s">
        <v>118</v>
      </c>
      <c r="W63" s="2"/>
      <c r="X63" s="2"/>
      <c r="Y63" s="2"/>
      <c r="Z63" s="2"/>
      <c r="AA63" s="2"/>
      <c r="AB63" s="2" t="s">
        <v>130</v>
      </c>
      <c r="AC63" s="2"/>
      <c r="AD63" s="2" t="s">
        <v>103</v>
      </c>
      <c r="AE63" s="2"/>
      <c r="AF63" s="2"/>
      <c r="AG63" s="2"/>
      <c r="AH63" s="2"/>
      <c r="AI63" s="2"/>
      <c r="AJ63" s="2" t="s">
        <v>129</v>
      </c>
      <c r="AK63" s="2"/>
      <c r="AL63" s="2" t="s">
        <v>103</v>
      </c>
      <c r="AM63" s="2"/>
      <c r="AN63" s="2"/>
      <c r="AO63" s="2"/>
      <c r="AP63" s="2"/>
      <c r="AQ63" s="2"/>
      <c r="AR63" s="2"/>
      <c r="AS63" s="2"/>
      <c r="AT63" s="2" t="s">
        <v>103</v>
      </c>
      <c r="AU63" s="2" t="s">
        <v>134</v>
      </c>
      <c r="AV63" s="2" t="s">
        <v>130</v>
      </c>
      <c r="AW63" s="2" t="s">
        <v>111</v>
      </c>
      <c r="AX63" s="2"/>
      <c r="AY63" s="2" t="s">
        <v>123</v>
      </c>
      <c r="AZ63" s="2"/>
      <c r="BA63" s="2"/>
      <c r="BB63" s="2"/>
      <c r="BC63" s="2"/>
      <c r="BD63" s="2">
        <f t="shared" ref="BD63:BD64" si="11">1/2</f>
        <v>0.5</v>
      </c>
      <c r="BE63" s="2" t="s">
        <v>120</v>
      </c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>
        <f t="shared" si="10"/>
        <v>0.5</v>
      </c>
      <c r="CD63" s="2" t="s">
        <v>160</v>
      </c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</row>
    <row r="64" ht="15.75" customHeight="1">
      <c r="A64" s="2" t="s">
        <v>116</v>
      </c>
      <c r="B64" s="2" t="s">
        <v>157</v>
      </c>
      <c r="C64" s="2" t="s">
        <v>104</v>
      </c>
      <c r="D64" s="2"/>
      <c r="E64" s="2" t="s">
        <v>103</v>
      </c>
      <c r="F64" s="2"/>
      <c r="G64" s="2"/>
      <c r="H64" s="2" t="s">
        <v>133</v>
      </c>
      <c r="I64" s="2" t="s">
        <v>160</v>
      </c>
      <c r="J64" s="2" t="s">
        <v>137</v>
      </c>
      <c r="K64" s="2"/>
      <c r="L64" s="2" t="s">
        <v>251</v>
      </c>
      <c r="M64" s="2" t="s">
        <v>132</v>
      </c>
      <c r="N64" s="2" t="s">
        <v>252</v>
      </c>
      <c r="O64" s="2" t="s">
        <v>118</v>
      </c>
      <c r="P64" s="2"/>
      <c r="Q64" s="2"/>
      <c r="R64" s="2"/>
      <c r="S64" s="2" t="s">
        <v>253</v>
      </c>
      <c r="T64" s="2" t="s">
        <v>156</v>
      </c>
      <c r="U64" s="2" t="s">
        <v>133</v>
      </c>
      <c r="V64" s="2" t="s">
        <v>180</v>
      </c>
      <c r="W64" s="2"/>
      <c r="X64" s="2"/>
      <c r="Y64" s="2" t="s">
        <v>118</v>
      </c>
      <c r="Z64" s="2"/>
      <c r="AA64" s="2"/>
      <c r="AB64" s="2" t="s">
        <v>118</v>
      </c>
      <c r="AC64" s="2"/>
      <c r="AD64" s="2" t="s">
        <v>125</v>
      </c>
      <c r="AE64" s="2"/>
      <c r="AF64" s="2" t="s">
        <v>118</v>
      </c>
      <c r="AG64" s="2"/>
      <c r="AH64" s="2"/>
      <c r="AI64" s="2"/>
      <c r="AJ64" s="2" t="s">
        <v>186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 t="s">
        <v>103</v>
      </c>
      <c r="AW64" s="2" t="s">
        <v>180</v>
      </c>
      <c r="AX64" s="2"/>
      <c r="AY64" s="2" t="s">
        <v>132</v>
      </c>
      <c r="AZ64" s="2"/>
      <c r="BA64" s="2"/>
      <c r="BB64" s="2"/>
      <c r="BC64" s="2"/>
      <c r="BD64" s="2">
        <f t="shared" si="11"/>
        <v>0.5</v>
      </c>
      <c r="BE64" s="2" t="s">
        <v>106</v>
      </c>
      <c r="BF64" s="2" t="s">
        <v>118</v>
      </c>
      <c r="BG64" s="2" t="s">
        <v>254</v>
      </c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 t="s">
        <v>255</v>
      </c>
      <c r="BX64" s="2" t="s">
        <v>141</v>
      </c>
      <c r="BY64" s="2"/>
      <c r="BZ64" s="2"/>
      <c r="CA64" s="2"/>
      <c r="CB64" s="2"/>
      <c r="CC64" s="2" t="s">
        <v>103</v>
      </c>
      <c r="CD64" s="2" t="s">
        <v>151</v>
      </c>
      <c r="CE64" s="2"/>
      <c r="CF64" s="2"/>
      <c r="CG64" s="2"/>
      <c r="CH64" s="2"/>
      <c r="CI64" s="2"/>
      <c r="CJ64" s="2" t="s">
        <v>120</v>
      </c>
      <c r="CK64" s="2" t="s">
        <v>128</v>
      </c>
      <c r="CL64" s="2"/>
      <c r="CM64" s="2"/>
      <c r="CN64" s="2"/>
      <c r="CO64" s="2" t="s">
        <v>111</v>
      </c>
      <c r="CP64" s="2"/>
      <c r="CQ64" s="2"/>
      <c r="CR64" s="2"/>
      <c r="CS64" s="2"/>
      <c r="CT64" s="2"/>
      <c r="CU64" s="2"/>
      <c r="CV64" s="2"/>
      <c r="CW64" s="2"/>
      <c r="CX64" s="2" t="s">
        <v>111</v>
      </c>
      <c r="CY64" s="2" t="s">
        <v>137</v>
      </c>
    </row>
    <row r="65" ht="15.75" customHeight="1">
      <c r="A65" s="2" t="s">
        <v>125</v>
      </c>
      <c r="B65" s="2" t="s">
        <v>157</v>
      </c>
      <c r="C65" s="2" t="s">
        <v>104</v>
      </c>
      <c r="D65" s="2"/>
      <c r="E65" s="2" t="s">
        <v>103</v>
      </c>
      <c r="F65" s="2"/>
      <c r="G65" s="2"/>
      <c r="H65" s="2" t="s">
        <v>162</v>
      </c>
      <c r="I65" s="2" t="s">
        <v>120</v>
      </c>
      <c r="J65" s="2" t="s">
        <v>111</v>
      </c>
      <c r="K65" s="2"/>
      <c r="L65" s="2" t="s">
        <v>159</v>
      </c>
      <c r="M65" s="2" t="s">
        <v>118</v>
      </c>
      <c r="N65" s="2" t="s">
        <v>107</v>
      </c>
      <c r="O65" s="2"/>
      <c r="P65" s="2"/>
      <c r="Q65" s="2" t="s">
        <v>137</v>
      </c>
      <c r="R65" s="2" t="s">
        <v>116</v>
      </c>
      <c r="S65" s="2" t="s">
        <v>129</v>
      </c>
      <c r="T65" s="2" t="s">
        <v>127</v>
      </c>
      <c r="U65" s="2" t="s">
        <v>181</v>
      </c>
      <c r="V65" s="2" t="s">
        <v>119</v>
      </c>
      <c r="W65" s="2"/>
      <c r="X65" s="2"/>
      <c r="Y65" s="2"/>
      <c r="Z65" s="2"/>
      <c r="AA65" s="2"/>
      <c r="AB65" s="2" t="s">
        <v>103</v>
      </c>
      <c r="AC65" s="2"/>
      <c r="AD65" s="2" t="s">
        <v>130</v>
      </c>
      <c r="AE65" s="2"/>
      <c r="AF65" s="2" t="s">
        <v>103</v>
      </c>
      <c r="AG65" s="2"/>
      <c r="AH65" s="2"/>
      <c r="AI65" s="2"/>
      <c r="AJ65" s="2" t="s">
        <v>139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 t="s">
        <v>103</v>
      </c>
      <c r="AW65" s="2" t="s">
        <v>157</v>
      </c>
      <c r="AX65" s="2"/>
      <c r="AY65" s="2" t="s">
        <v>107</v>
      </c>
      <c r="AZ65" s="2"/>
      <c r="BA65" s="2"/>
      <c r="BB65" s="2"/>
      <c r="BC65" s="2"/>
      <c r="BD65" s="2" t="s">
        <v>130</v>
      </c>
      <c r="BE65" s="2" t="s">
        <v>106</v>
      </c>
      <c r="BF65" s="4">
        <f>1 + (1/2)</f>
        <v>1.5</v>
      </c>
      <c r="BG65" s="2" t="s">
        <v>113</v>
      </c>
      <c r="BH65" s="2"/>
      <c r="BI65" s="2"/>
      <c r="BJ65" s="5">
        <f>7 + (1/2)</f>
        <v>7.5</v>
      </c>
      <c r="BK65" s="2" t="s">
        <v>107</v>
      </c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 t="s">
        <v>130</v>
      </c>
      <c r="CD65" s="2" t="s">
        <v>129</v>
      </c>
      <c r="CE65" s="2"/>
      <c r="CF65" s="2"/>
      <c r="CG65" s="2"/>
      <c r="CH65" s="2"/>
      <c r="CI65" s="2"/>
      <c r="CJ65" s="2" t="s">
        <v>137</v>
      </c>
      <c r="CK65" s="2" t="s">
        <v>113</v>
      </c>
      <c r="CL65" s="2"/>
      <c r="CM65" s="2"/>
      <c r="CN65" s="2"/>
      <c r="CO65" s="2" t="s">
        <v>118</v>
      </c>
      <c r="CP65" s="2"/>
      <c r="CQ65" s="2"/>
      <c r="CR65" s="2"/>
      <c r="CS65" s="2"/>
      <c r="CT65" s="2"/>
      <c r="CU65" s="2"/>
      <c r="CV65" s="2"/>
      <c r="CW65" s="2"/>
      <c r="CX65" s="2" t="s">
        <v>119</v>
      </c>
      <c r="CY65" s="2" t="s">
        <v>180</v>
      </c>
    </row>
    <row r="66" ht="15.75" customHeight="1">
      <c r="A66" s="2" t="s">
        <v>118</v>
      </c>
      <c r="B66" s="2" t="s">
        <v>157</v>
      </c>
      <c r="C66" s="2" t="s">
        <v>104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>
        <f t="shared" ref="CC66:CC67" si="12">1/2</f>
        <v>0.5</v>
      </c>
      <c r="CD66" s="2" t="s">
        <v>133</v>
      </c>
      <c r="CE66" s="2"/>
      <c r="CF66" s="2"/>
      <c r="CG66" s="2"/>
      <c r="CH66" s="2"/>
      <c r="CI66" s="3" t="s">
        <v>157</v>
      </c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</row>
    <row r="67" ht="15.75" customHeight="1">
      <c r="A67" s="2" t="s">
        <v>124</v>
      </c>
      <c r="B67" s="2" t="s">
        <v>157</v>
      </c>
      <c r="C67" s="2" t="s">
        <v>104</v>
      </c>
      <c r="D67" s="2"/>
      <c r="E67" s="2" t="s">
        <v>103</v>
      </c>
      <c r="F67" s="2"/>
      <c r="G67" s="2"/>
      <c r="H67" s="2" t="s">
        <v>103</v>
      </c>
      <c r="I67" s="2"/>
      <c r="J67" s="2" t="s">
        <v>137</v>
      </c>
      <c r="K67" s="2"/>
      <c r="L67" s="2" t="s">
        <v>150</v>
      </c>
      <c r="M67" s="2"/>
      <c r="N67" s="2"/>
      <c r="O67" s="2"/>
      <c r="P67" s="2"/>
      <c r="Q67" s="2"/>
      <c r="R67" s="2"/>
      <c r="S67" s="2" t="s">
        <v>111</v>
      </c>
      <c r="T67" s="2"/>
      <c r="U67" s="2" t="s">
        <v>243</v>
      </c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 t="s">
        <v>125</v>
      </c>
      <c r="AX67" s="2"/>
      <c r="AY67" s="2" t="s">
        <v>107</v>
      </c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>
        <f t="shared" si="12"/>
        <v>0.5</v>
      </c>
      <c r="CD67" s="2" t="s">
        <v>133</v>
      </c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 t="s">
        <v>111</v>
      </c>
      <c r="CY67" s="2" t="s">
        <v>120</v>
      </c>
    </row>
    <row r="68" ht="15.75" customHeight="1">
      <c r="A68" s="2" t="s">
        <v>157</v>
      </c>
      <c r="B68" s="2" t="s">
        <v>157</v>
      </c>
      <c r="C68" s="2" t="s">
        <v>104</v>
      </c>
      <c r="D68" s="2"/>
      <c r="E68" s="2" t="s">
        <v>103</v>
      </c>
      <c r="F68" s="2"/>
      <c r="G68" s="2"/>
      <c r="H68" s="2" t="s">
        <v>116</v>
      </c>
      <c r="I68" s="2"/>
      <c r="J68" s="2"/>
      <c r="K68" s="2"/>
      <c r="L68" s="2" t="s">
        <v>114</v>
      </c>
      <c r="M68" s="2" t="s">
        <v>118</v>
      </c>
      <c r="N68" s="2"/>
      <c r="O68" s="2"/>
      <c r="P68" s="2"/>
      <c r="Q68" s="2"/>
      <c r="R68" s="2"/>
      <c r="S68" s="2" t="s">
        <v>120</v>
      </c>
      <c r="T68" s="2"/>
      <c r="U68" s="2" t="s">
        <v>116</v>
      </c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 t="s">
        <v>130</v>
      </c>
      <c r="BE68" s="2" t="s">
        <v>107</v>
      </c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>
        <f>3/4</f>
        <v>0.75</v>
      </c>
      <c r="CD68" s="2" t="s">
        <v>109</v>
      </c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</row>
    <row r="69" ht="15.75" customHeight="1">
      <c r="A69" s="2" t="s">
        <v>134</v>
      </c>
      <c r="B69" s="2" t="s">
        <v>157</v>
      </c>
      <c r="C69" s="2" t="s">
        <v>104</v>
      </c>
      <c r="D69" s="2"/>
      <c r="E69" s="2" t="s">
        <v>103</v>
      </c>
      <c r="F69" s="2"/>
      <c r="G69" s="2"/>
      <c r="H69" s="2" t="s">
        <v>120</v>
      </c>
      <c r="I69" s="2" t="s">
        <v>111</v>
      </c>
      <c r="J69" s="2" t="s">
        <v>123</v>
      </c>
      <c r="K69" s="2"/>
      <c r="L69" s="2" t="s">
        <v>159</v>
      </c>
      <c r="M69" s="2" t="s">
        <v>123</v>
      </c>
      <c r="N69" s="2" t="s">
        <v>176</v>
      </c>
      <c r="O69" s="2" t="s">
        <v>107</v>
      </c>
      <c r="P69" s="2"/>
      <c r="Q69" s="2"/>
      <c r="R69" s="2"/>
      <c r="S69" s="2" t="s">
        <v>256</v>
      </c>
      <c r="T69" s="2" t="s">
        <v>111</v>
      </c>
      <c r="U69" s="2" t="s">
        <v>119</v>
      </c>
      <c r="V69" s="2" t="s">
        <v>141</v>
      </c>
      <c r="W69" s="2"/>
      <c r="X69" s="2"/>
      <c r="Y69" s="2" t="s">
        <v>103</v>
      </c>
      <c r="Z69" s="2"/>
      <c r="AA69" s="2"/>
      <c r="AB69" s="2" t="s">
        <v>125</v>
      </c>
      <c r="AC69" s="2"/>
      <c r="AD69" s="2" t="s">
        <v>130</v>
      </c>
      <c r="AE69" s="2"/>
      <c r="AF69" s="2"/>
      <c r="AG69" s="2"/>
      <c r="AH69" s="2" t="s">
        <v>103</v>
      </c>
      <c r="AI69" s="2"/>
      <c r="AJ69" s="2" t="s">
        <v>139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 t="s">
        <v>157</v>
      </c>
      <c r="AX69" s="2"/>
      <c r="AY69" s="2" t="s">
        <v>151</v>
      </c>
      <c r="AZ69" s="2" t="s">
        <v>103</v>
      </c>
      <c r="BA69" s="2" t="s">
        <v>120</v>
      </c>
      <c r="BB69" s="2"/>
      <c r="BC69" s="2"/>
      <c r="BD69" s="2" t="s">
        <v>130</v>
      </c>
      <c r="BE69" s="2" t="s">
        <v>113</v>
      </c>
      <c r="BF69" s="2"/>
      <c r="BG69" s="2"/>
      <c r="BH69" s="2"/>
      <c r="BI69" s="2" t="s">
        <v>137</v>
      </c>
      <c r="BJ69" s="2" t="s">
        <v>103</v>
      </c>
      <c r="BK69" s="2" t="s">
        <v>111</v>
      </c>
      <c r="BL69" s="2"/>
      <c r="BM69" s="2" t="s">
        <v>103</v>
      </c>
      <c r="BN69" s="2"/>
      <c r="BO69" s="2"/>
      <c r="BP69" s="2"/>
      <c r="BQ69" s="2"/>
      <c r="BR69" s="2"/>
      <c r="BS69" s="2"/>
      <c r="BT69" s="2"/>
      <c r="BU69" s="2"/>
      <c r="BV69" s="2"/>
      <c r="BW69" s="2" t="s">
        <v>115</v>
      </c>
      <c r="BX69" s="2"/>
      <c r="BY69" s="2"/>
      <c r="BZ69" s="2"/>
      <c r="CA69" s="2"/>
      <c r="CB69" s="2"/>
      <c r="CC69" s="2" t="s">
        <v>103</v>
      </c>
      <c r="CD69" s="2" t="s">
        <v>132</v>
      </c>
      <c r="CE69" s="2"/>
      <c r="CF69" s="2"/>
      <c r="CG69" s="2"/>
      <c r="CH69" s="2"/>
      <c r="CI69" s="2"/>
      <c r="CJ69" s="2" t="s">
        <v>133</v>
      </c>
      <c r="CK69" s="2" t="s">
        <v>107</v>
      </c>
      <c r="CL69" s="2"/>
      <c r="CM69" s="2"/>
      <c r="CN69" s="2"/>
      <c r="CO69" s="2" t="s">
        <v>130</v>
      </c>
      <c r="CP69" s="2"/>
      <c r="CQ69" s="2"/>
      <c r="CR69" s="2"/>
      <c r="CS69" s="2"/>
      <c r="CT69" s="2"/>
      <c r="CU69" s="2"/>
      <c r="CV69" s="2"/>
      <c r="CW69" s="2"/>
      <c r="CX69" s="2" t="s">
        <v>119</v>
      </c>
      <c r="CY69" s="2" t="s">
        <v>169</v>
      </c>
    </row>
    <row r="70" ht="15.75" customHeight="1">
      <c r="A70" s="2" t="s">
        <v>167</v>
      </c>
      <c r="B70" s="2" t="s">
        <v>157</v>
      </c>
      <c r="C70" s="2" t="s">
        <v>104</v>
      </c>
      <c r="D70" s="2"/>
      <c r="E70" s="2" t="s">
        <v>103</v>
      </c>
      <c r="F70" s="2"/>
      <c r="G70" s="2"/>
      <c r="H70" s="2" t="s">
        <v>119</v>
      </c>
      <c r="I70" s="2" t="s">
        <v>111</v>
      </c>
      <c r="J70" s="2" t="s">
        <v>132</v>
      </c>
      <c r="K70" s="2"/>
      <c r="L70" s="2" t="s">
        <v>257</v>
      </c>
      <c r="M70" s="2" t="s">
        <v>107</v>
      </c>
      <c r="N70" s="2" t="s">
        <v>172</v>
      </c>
      <c r="O70" s="2"/>
      <c r="P70" s="2"/>
      <c r="Q70" s="2"/>
      <c r="R70" s="2"/>
      <c r="S70" s="2" t="s">
        <v>129</v>
      </c>
      <c r="T70" s="2" t="s">
        <v>118</v>
      </c>
      <c r="U70" s="2" t="s">
        <v>119</v>
      </c>
      <c r="V70" s="2" t="s">
        <v>118</v>
      </c>
      <c r="W70" s="2"/>
      <c r="X70" s="2"/>
      <c r="Y70" s="2" t="s">
        <v>103</v>
      </c>
      <c r="Z70" s="2"/>
      <c r="AA70" s="2"/>
      <c r="AB70" s="2" t="s">
        <v>124</v>
      </c>
      <c r="AC70" s="2" t="s">
        <v>103</v>
      </c>
      <c r="AD70" s="2" t="s">
        <v>157</v>
      </c>
      <c r="AE70" s="2"/>
      <c r="AF70" s="2" t="s">
        <v>124</v>
      </c>
      <c r="AG70" s="2"/>
      <c r="AH70" s="2" t="s">
        <v>103</v>
      </c>
      <c r="AI70" s="2"/>
      <c r="AJ70" s="2" t="s">
        <v>155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 t="s">
        <v>103</v>
      </c>
      <c r="AW70" s="2" t="s">
        <v>157</v>
      </c>
      <c r="AX70" s="2"/>
      <c r="AY70" s="2" t="s">
        <v>132</v>
      </c>
      <c r="AZ70" s="2"/>
      <c r="BA70" s="2"/>
      <c r="BB70" s="2"/>
      <c r="BC70" s="2"/>
      <c r="BD70" s="2" t="s">
        <v>125</v>
      </c>
      <c r="BE70" s="2" t="s">
        <v>176</v>
      </c>
      <c r="BF70" s="2"/>
      <c r="BG70" s="2"/>
      <c r="BH70" s="2"/>
      <c r="BI70" s="2" t="s">
        <v>134</v>
      </c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 t="s">
        <v>103</v>
      </c>
      <c r="CD70" s="2" t="s">
        <v>132</v>
      </c>
      <c r="CE70" s="2"/>
      <c r="CF70" s="2"/>
      <c r="CG70" s="2"/>
      <c r="CH70" s="2"/>
      <c r="CI70" s="2"/>
      <c r="CJ70" s="2" t="s">
        <v>123</v>
      </c>
      <c r="CK70" s="2" t="s">
        <v>109</v>
      </c>
      <c r="CL70" s="2"/>
      <c r="CM70" s="2"/>
      <c r="CN70" s="2"/>
      <c r="CO70" s="2" t="s">
        <v>157</v>
      </c>
      <c r="CP70" s="2"/>
      <c r="CQ70" s="2"/>
      <c r="CR70" s="2"/>
      <c r="CS70" s="2"/>
      <c r="CT70" s="2"/>
      <c r="CU70" s="2"/>
      <c r="CV70" s="2"/>
      <c r="CW70" s="2"/>
      <c r="CX70" s="2" t="s">
        <v>137</v>
      </c>
      <c r="CY70" s="2" t="s">
        <v>137</v>
      </c>
    </row>
    <row r="71" ht="15.75" customHeight="1">
      <c r="A71" s="2" t="s">
        <v>111</v>
      </c>
      <c r="B71" s="2" t="s">
        <v>157</v>
      </c>
      <c r="C71" s="2" t="s">
        <v>104</v>
      </c>
      <c r="D71" s="2"/>
      <c r="E71" s="2" t="s">
        <v>103</v>
      </c>
      <c r="F71" s="2"/>
      <c r="G71" s="2"/>
      <c r="H71" s="2" t="s">
        <v>111</v>
      </c>
      <c r="I71" s="2"/>
      <c r="J71" s="2" t="s">
        <v>258</v>
      </c>
      <c r="K71" s="2"/>
      <c r="L71" s="2" t="s">
        <v>114</v>
      </c>
      <c r="M71" s="2"/>
      <c r="N71" s="2" t="s">
        <v>123</v>
      </c>
      <c r="O71" s="2"/>
      <c r="P71" s="2"/>
      <c r="Q71" s="2"/>
      <c r="R71" s="2"/>
      <c r="S71" s="2" t="s">
        <v>132</v>
      </c>
      <c r="T71" s="2"/>
      <c r="U71" s="2" t="s">
        <v>148</v>
      </c>
      <c r="V71" s="2"/>
      <c r="W71" s="2"/>
      <c r="X71" s="2"/>
      <c r="Y71" s="2" t="s">
        <v>103</v>
      </c>
      <c r="Z71" s="2"/>
      <c r="AA71" s="2"/>
      <c r="AB71" s="2" t="s">
        <v>103</v>
      </c>
      <c r="AC71" s="2"/>
      <c r="AD71" s="2"/>
      <c r="AE71" s="2"/>
      <c r="AF71" s="2" t="s">
        <v>103</v>
      </c>
      <c r="AG71" s="2"/>
      <c r="AH71" s="2"/>
      <c r="AI71" s="2"/>
      <c r="AJ71" s="2" t="s">
        <v>123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 t="s">
        <v>103</v>
      </c>
      <c r="AW71" s="2" t="s">
        <v>119</v>
      </c>
      <c r="AX71" s="2"/>
      <c r="AY71" s="2" t="s">
        <v>156</v>
      </c>
      <c r="AZ71" s="2"/>
      <c r="BA71" s="2"/>
      <c r="BB71" s="2" t="s">
        <v>130</v>
      </c>
      <c r="BC71" s="2" t="s">
        <v>214</v>
      </c>
      <c r="BD71" s="2" t="s">
        <v>103</v>
      </c>
      <c r="BE71" s="2" t="s">
        <v>119</v>
      </c>
      <c r="BF71" s="2" t="s">
        <v>103</v>
      </c>
      <c r="BG71" s="2" t="s">
        <v>120</v>
      </c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 t="s">
        <v>103</v>
      </c>
      <c r="CD71" s="2" t="s">
        <v>128</v>
      </c>
      <c r="CE71" s="2"/>
      <c r="CF71" s="2"/>
      <c r="CG71" s="2"/>
      <c r="CH71" s="2"/>
      <c r="CI71" s="2"/>
      <c r="CJ71" s="2" t="s">
        <v>259</v>
      </c>
      <c r="CK71" s="2" t="s">
        <v>113</v>
      </c>
      <c r="CL71" s="2"/>
      <c r="CM71" s="2"/>
      <c r="CN71" s="2"/>
      <c r="CO71" s="2" t="s">
        <v>118</v>
      </c>
      <c r="CP71" s="2"/>
      <c r="CQ71" s="2"/>
      <c r="CR71" s="2"/>
      <c r="CS71" s="2"/>
      <c r="CT71" s="2"/>
      <c r="CU71" s="2"/>
      <c r="CV71" s="2"/>
      <c r="CW71" s="2"/>
      <c r="CX71" s="2" t="s">
        <v>111</v>
      </c>
      <c r="CY71" s="2" t="s">
        <v>111</v>
      </c>
    </row>
    <row r="72" ht="15.75" customHeight="1">
      <c r="A72" s="2" t="s">
        <v>103</v>
      </c>
      <c r="B72" s="2" t="s">
        <v>134</v>
      </c>
      <c r="C72" s="2" t="s">
        <v>104</v>
      </c>
      <c r="D72" s="2"/>
      <c r="E72" s="2" t="s">
        <v>103</v>
      </c>
      <c r="F72" s="2"/>
      <c r="G72" s="2"/>
      <c r="H72" s="2" t="s">
        <v>120</v>
      </c>
      <c r="I72" s="2" t="s">
        <v>122</v>
      </c>
      <c r="J72" s="2" t="s">
        <v>103</v>
      </c>
      <c r="K72" s="2" t="s">
        <v>141</v>
      </c>
      <c r="L72" s="2" t="s">
        <v>131</v>
      </c>
      <c r="M72" s="2" t="s">
        <v>134</v>
      </c>
      <c r="N72" s="2" t="s">
        <v>109</v>
      </c>
      <c r="O72" s="2"/>
      <c r="P72" s="2"/>
      <c r="Q72" s="2"/>
      <c r="R72" s="2"/>
      <c r="S72" s="2" t="s">
        <v>191</v>
      </c>
      <c r="T72" s="2" t="s">
        <v>111</v>
      </c>
      <c r="U72" s="2" t="s">
        <v>113</v>
      </c>
      <c r="V72" s="2" t="s">
        <v>118</v>
      </c>
      <c r="W72" s="2"/>
      <c r="X72" s="2"/>
      <c r="Y72" s="2" t="s">
        <v>103</v>
      </c>
      <c r="Z72" s="2"/>
      <c r="AA72" s="2"/>
      <c r="AB72" s="2" t="s">
        <v>116</v>
      </c>
      <c r="AC72" s="2" t="s">
        <v>103</v>
      </c>
      <c r="AD72" s="2" t="s">
        <v>116</v>
      </c>
      <c r="AE72" s="2"/>
      <c r="AF72" s="2" t="s">
        <v>125</v>
      </c>
      <c r="AG72" s="2"/>
      <c r="AH72" s="2"/>
      <c r="AI72" s="2"/>
      <c r="AJ72" s="2" t="s">
        <v>150</v>
      </c>
      <c r="AK72" s="2"/>
      <c r="AL72" s="2" t="s">
        <v>116</v>
      </c>
      <c r="AM72" s="2"/>
      <c r="AN72" s="2"/>
      <c r="AO72" s="2"/>
      <c r="AP72" s="2"/>
      <c r="AQ72" s="2"/>
      <c r="AR72" s="2"/>
      <c r="AS72" s="2"/>
      <c r="AT72" s="2" t="s">
        <v>116</v>
      </c>
      <c r="AU72" s="2" t="s">
        <v>107</v>
      </c>
      <c r="AV72" s="2" t="s">
        <v>103</v>
      </c>
      <c r="AW72" s="2" t="s">
        <v>111</v>
      </c>
      <c r="AX72" s="2"/>
      <c r="AY72" s="2" t="s">
        <v>109</v>
      </c>
      <c r="AZ72" s="2"/>
      <c r="BA72" s="2"/>
      <c r="BB72" s="2"/>
      <c r="BC72" s="2"/>
      <c r="BD72" s="2" t="s">
        <v>103</v>
      </c>
      <c r="BE72" s="2" t="s">
        <v>119</v>
      </c>
      <c r="BF72" s="2"/>
      <c r="BG72" s="2"/>
      <c r="BH72" s="2" t="s">
        <v>130</v>
      </c>
      <c r="BI72" s="2" t="s">
        <v>141</v>
      </c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 t="s">
        <v>103</v>
      </c>
      <c r="CD72" s="2" t="s">
        <v>133</v>
      </c>
      <c r="CE72" s="2"/>
      <c r="CF72" s="2"/>
      <c r="CG72" s="2"/>
      <c r="CH72" s="2"/>
      <c r="CI72" s="2"/>
      <c r="CJ72" s="2" t="s">
        <v>130</v>
      </c>
      <c r="CK72" s="2" t="s">
        <v>123</v>
      </c>
      <c r="CL72" s="2"/>
      <c r="CM72" s="2"/>
      <c r="CN72" s="2"/>
      <c r="CO72" s="2" t="s">
        <v>118</v>
      </c>
      <c r="CP72" s="2"/>
      <c r="CQ72" s="2"/>
      <c r="CR72" s="2"/>
      <c r="CS72" s="2"/>
      <c r="CT72" s="2"/>
      <c r="CU72" s="2"/>
      <c r="CV72" s="2"/>
      <c r="CW72" s="2"/>
      <c r="CX72" s="2"/>
      <c r="CY72" s="2"/>
    </row>
    <row r="73" ht="15.75" customHeight="1">
      <c r="A73" s="2" t="s">
        <v>130</v>
      </c>
      <c r="B73" s="2" t="s">
        <v>134</v>
      </c>
      <c r="C73" s="2" t="s">
        <v>104</v>
      </c>
      <c r="D73" s="2"/>
      <c r="E73" s="2" t="s">
        <v>103</v>
      </c>
      <c r="F73" s="2"/>
      <c r="G73" s="2"/>
      <c r="H73" s="2" t="s">
        <v>125</v>
      </c>
      <c r="I73" s="2" t="s">
        <v>111</v>
      </c>
      <c r="J73" s="2" t="s">
        <v>164</v>
      </c>
      <c r="K73" s="2"/>
      <c r="L73" s="2" t="s">
        <v>114</v>
      </c>
      <c r="M73" s="2" t="s">
        <v>118</v>
      </c>
      <c r="N73" s="2" t="s">
        <v>132</v>
      </c>
      <c r="O73" s="2"/>
      <c r="P73" s="2"/>
      <c r="Q73" s="2"/>
      <c r="R73" s="2"/>
      <c r="S73" s="2" t="s">
        <v>107</v>
      </c>
      <c r="T73" s="2"/>
      <c r="U73" s="2" t="s">
        <v>141</v>
      </c>
      <c r="V73" s="2"/>
      <c r="W73" s="2"/>
      <c r="X73" s="2"/>
      <c r="Y73" s="2" t="s">
        <v>103</v>
      </c>
      <c r="Z73" s="2"/>
      <c r="AA73" s="2"/>
      <c r="AB73" s="2" t="s">
        <v>103</v>
      </c>
      <c r="AC73" s="2"/>
      <c r="AD73" s="2"/>
      <c r="AE73" s="2"/>
      <c r="AF73" s="2"/>
      <c r="AG73" s="2"/>
      <c r="AH73" s="2"/>
      <c r="AI73" s="2"/>
      <c r="AJ73" s="2" t="s">
        <v>123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 t="s">
        <v>125</v>
      </c>
      <c r="AX73" s="2"/>
      <c r="AY73" s="2" t="s">
        <v>119</v>
      </c>
      <c r="AZ73" s="2"/>
      <c r="BA73" s="2"/>
      <c r="BB73" s="2"/>
      <c r="BC73" s="2"/>
      <c r="BD73" s="2">
        <f>1/2</f>
        <v>0.5</v>
      </c>
      <c r="BE73" s="2" t="s">
        <v>111</v>
      </c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>
        <f>1/2</f>
        <v>0.5</v>
      </c>
      <c r="CD73" s="2" t="s">
        <v>107</v>
      </c>
      <c r="CE73" s="2"/>
      <c r="CF73" s="2"/>
      <c r="CG73" s="2"/>
      <c r="CH73" s="2"/>
      <c r="CI73" s="2"/>
      <c r="CJ73" s="2" t="s">
        <v>107</v>
      </c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</row>
    <row r="74" ht="15.75" customHeight="1">
      <c r="A74" s="2" t="s">
        <v>116</v>
      </c>
      <c r="B74" s="2" t="s">
        <v>134</v>
      </c>
      <c r="C74" s="2" t="s">
        <v>104</v>
      </c>
      <c r="D74" s="2"/>
      <c r="E74" s="2"/>
      <c r="F74" s="2"/>
      <c r="G74" s="2" t="s">
        <v>103</v>
      </c>
      <c r="H74" s="2" t="s">
        <v>124</v>
      </c>
      <c r="I74" s="2" t="s">
        <v>260</v>
      </c>
      <c r="J74" s="3" t="s">
        <v>129</v>
      </c>
      <c r="K74" s="2"/>
      <c r="L74" s="2" t="s">
        <v>170</v>
      </c>
      <c r="M74" s="2" t="s">
        <v>112</v>
      </c>
      <c r="N74" s="2" t="s">
        <v>261</v>
      </c>
      <c r="O74" s="2" t="s">
        <v>133</v>
      </c>
      <c r="P74" s="2"/>
      <c r="Q74" s="2" t="s">
        <v>112</v>
      </c>
      <c r="R74" s="2" t="s">
        <v>132</v>
      </c>
      <c r="S74" s="2" t="s">
        <v>262</v>
      </c>
      <c r="T74" s="2" t="s">
        <v>113</v>
      </c>
      <c r="U74" s="2" t="s">
        <v>129</v>
      </c>
      <c r="V74" s="2" t="s">
        <v>109</v>
      </c>
      <c r="W74" s="2"/>
      <c r="X74" s="2"/>
      <c r="Y74" s="2" t="s">
        <v>130</v>
      </c>
      <c r="Z74" s="2"/>
      <c r="AA74" s="2"/>
      <c r="AB74" s="2" t="s">
        <v>119</v>
      </c>
      <c r="AC74" s="2" t="s">
        <v>156</v>
      </c>
      <c r="AD74" s="2" t="s">
        <v>119</v>
      </c>
      <c r="AE74" s="2"/>
      <c r="AF74" s="2" t="s">
        <v>118</v>
      </c>
      <c r="AG74" s="3" t="s">
        <v>134</v>
      </c>
      <c r="AH74" s="2"/>
      <c r="AI74" s="2"/>
      <c r="AJ74" s="2" t="s">
        <v>159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 t="s">
        <v>118</v>
      </c>
      <c r="AW74" s="2" t="s">
        <v>107</v>
      </c>
      <c r="AX74" s="2"/>
      <c r="AY74" s="2" t="s">
        <v>132</v>
      </c>
      <c r="AZ74" s="2"/>
      <c r="BA74" s="2"/>
      <c r="BB74" s="2" t="s">
        <v>103</v>
      </c>
      <c r="BC74" s="2" t="s">
        <v>120</v>
      </c>
      <c r="BD74" s="2" t="s">
        <v>134</v>
      </c>
      <c r="BE74" s="2" t="s">
        <v>139</v>
      </c>
      <c r="BF74" s="2" t="s">
        <v>127</v>
      </c>
      <c r="BG74" s="2" t="s">
        <v>183</v>
      </c>
      <c r="BH74" s="2" t="s">
        <v>133</v>
      </c>
      <c r="BI74" s="2" t="s">
        <v>150</v>
      </c>
      <c r="BJ74" s="2" t="s">
        <v>103</v>
      </c>
      <c r="BK74" s="2" t="s">
        <v>119</v>
      </c>
      <c r="BL74" s="2"/>
      <c r="BM74" s="2" t="s">
        <v>118</v>
      </c>
      <c r="BN74" s="2"/>
      <c r="BO74" s="2"/>
      <c r="BP74" s="2"/>
      <c r="BQ74" s="2"/>
      <c r="BR74" s="2"/>
      <c r="BS74" s="2"/>
      <c r="BT74" s="2"/>
      <c r="BU74" s="2"/>
      <c r="BV74" s="2"/>
      <c r="BW74" s="2" t="s">
        <v>129</v>
      </c>
      <c r="BX74" s="2"/>
      <c r="BY74" s="2"/>
      <c r="BZ74" s="2"/>
      <c r="CA74" s="2"/>
      <c r="CB74" s="2"/>
      <c r="CC74" s="2" t="s">
        <v>134</v>
      </c>
      <c r="CD74" s="2" t="s">
        <v>155</v>
      </c>
      <c r="CE74" s="2"/>
      <c r="CF74" s="2"/>
      <c r="CG74" s="2"/>
      <c r="CH74" s="2"/>
      <c r="CI74" s="2"/>
      <c r="CJ74" s="2" t="s">
        <v>107</v>
      </c>
      <c r="CK74" s="2" t="s">
        <v>123</v>
      </c>
      <c r="CL74" s="2"/>
      <c r="CM74" s="2"/>
      <c r="CN74" s="2"/>
      <c r="CO74" s="2" t="s">
        <v>118</v>
      </c>
      <c r="CP74" s="2"/>
      <c r="CQ74" s="2"/>
      <c r="CR74" s="2"/>
      <c r="CS74" s="2"/>
      <c r="CT74" s="2"/>
      <c r="CU74" s="2"/>
      <c r="CV74" s="2"/>
      <c r="CW74" s="2"/>
      <c r="CX74" s="2" t="s">
        <v>168</v>
      </c>
      <c r="CY74" s="2" t="s">
        <v>263</v>
      </c>
    </row>
    <row r="75" ht="15.75" customHeight="1">
      <c r="A75" s="2" t="s">
        <v>125</v>
      </c>
      <c r="B75" s="2" t="s">
        <v>134</v>
      </c>
      <c r="C75" s="2" t="s">
        <v>104</v>
      </c>
      <c r="D75" s="2"/>
      <c r="E75" s="2" t="s">
        <v>103</v>
      </c>
      <c r="F75" s="2"/>
      <c r="G75" s="2"/>
      <c r="H75" s="3" t="s">
        <v>167</v>
      </c>
      <c r="I75" s="2" t="s">
        <v>141</v>
      </c>
      <c r="J75" s="2" t="s">
        <v>133</v>
      </c>
      <c r="K75" s="2"/>
      <c r="L75" s="2" t="s">
        <v>186</v>
      </c>
      <c r="M75" s="2" t="s">
        <v>115</v>
      </c>
      <c r="N75" s="2" t="s">
        <v>264</v>
      </c>
      <c r="O75" s="2" t="s">
        <v>137</v>
      </c>
      <c r="P75" s="2"/>
      <c r="Q75" s="2" t="s">
        <v>157</v>
      </c>
      <c r="R75" s="2" t="s">
        <v>130</v>
      </c>
      <c r="S75" s="2" t="s">
        <v>265</v>
      </c>
      <c r="T75" s="2" t="s">
        <v>103</v>
      </c>
      <c r="U75" s="2" t="s">
        <v>141</v>
      </c>
      <c r="V75" s="3" t="s">
        <v>189</v>
      </c>
      <c r="W75" s="2"/>
      <c r="X75" s="2"/>
      <c r="Y75" s="2" t="s">
        <v>130</v>
      </c>
      <c r="Z75" s="2"/>
      <c r="AA75" s="2"/>
      <c r="AB75" s="2" t="s">
        <v>116</v>
      </c>
      <c r="AC75" s="2"/>
      <c r="AD75" s="2" t="s">
        <v>103</v>
      </c>
      <c r="AE75" s="2"/>
      <c r="AF75" s="2" t="s">
        <v>103</v>
      </c>
      <c r="AG75" s="2" t="s">
        <v>103</v>
      </c>
      <c r="AH75" s="2"/>
      <c r="AI75" s="2"/>
      <c r="AJ75" s="2" t="s">
        <v>176</v>
      </c>
      <c r="AK75" s="2"/>
      <c r="AL75" s="2" t="s">
        <v>130</v>
      </c>
      <c r="AM75" s="2"/>
      <c r="AN75" s="2"/>
      <c r="AO75" s="2"/>
      <c r="AP75" s="2"/>
      <c r="AQ75" s="2"/>
      <c r="AR75" s="2"/>
      <c r="AS75" s="2"/>
      <c r="AT75" s="2"/>
      <c r="AU75" s="2"/>
      <c r="AV75" s="2" t="s">
        <v>130</v>
      </c>
      <c r="AW75" s="2" t="s">
        <v>141</v>
      </c>
      <c r="AX75" s="2"/>
      <c r="AY75" s="2" t="s">
        <v>197</v>
      </c>
      <c r="AZ75" s="2"/>
      <c r="BA75" s="2"/>
      <c r="BB75" s="2">
        <f>1/4</f>
        <v>0.25</v>
      </c>
      <c r="BC75" s="2" t="s">
        <v>130</v>
      </c>
      <c r="BD75" s="2" t="s">
        <v>116</v>
      </c>
      <c r="BE75" s="2" t="s">
        <v>123</v>
      </c>
      <c r="BF75" s="2" t="s">
        <v>103</v>
      </c>
      <c r="BG75" s="2" t="s">
        <v>127</v>
      </c>
      <c r="BH75" s="2" t="s">
        <v>103</v>
      </c>
      <c r="BI75" s="2" t="s">
        <v>125</v>
      </c>
      <c r="BJ75" s="2"/>
      <c r="BK75" s="2"/>
      <c r="BL75" s="2"/>
      <c r="BM75" s="2" t="s">
        <v>103</v>
      </c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 t="s">
        <v>116</v>
      </c>
      <c r="CD75" s="2" t="s">
        <v>112</v>
      </c>
      <c r="CE75" s="2"/>
      <c r="CF75" s="2"/>
      <c r="CG75" s="2"/>
      <c r="CH75" s="2"/>
      <c r="CI75" s="2"/>
      <c r="CJ75" s="2" t="s">
        <v>134</v>
      </c>
      <c r="CK75" s="2" t="s">
        <v>103</v>
      </c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 t="s">
        <v>120</v>
      </c>
      <c r="CY75" s="2" t="s">
        <v>133</v>
      </c>
    </row>
    <row r="76" ht="15.75" customHeight="1">
      <c r="A76" s="2" t="s">
        <v>118</v>
      </c>
      <c r="B76" s="2" t="s">
        <v>134</v>
      </c>
      <c r="C76" s="2" t="s">
        <v>104</v>
      </c>
      <c r="D76" s="2"/>
      <c r="E76" s="2" t="s">
        <v>103</v>
      </c>
      <c r="F76" s="2"/>
      <c r="G76" s="2"/>
      <c r="H76" s="2" t="s">
        <v>113</v>
      </c>
      <c r="I76" s="2" t="s">
        <v>137</v>
      </c>
      <c r="J76" s="2" t="s">
        <v>119</v>
      </c>
      <c r="K76" s="2"/>
      <c r="L76" s="2" t="s">
        <v>182</v>
      </c>
      <c r="M76" s="2" t="s">
        <v>123</v>
      </c>
      <c r="N76" s="2" t="s">
        <v>192</v>
      </c>
      <c r="O76" s="2" t="s">
        <v>120</v>
      </c>
      <c r="P76" s="2" t="s">
        <v>189</v>
      </c>
      <c r="Q76" s="2" t="s">
        <v>119</v>
      </c>
      <c r="R76" s="2"/>
      <c r="S76" s="2" t="s">
        <v>139</v>
      </c>
      <c r="T76" s="2" t="s">
        <v>137</v>
      </c>
      <c r="U76" s="2" t="s">
        <v>137</v>
      </c>
      <c r="V76" s="2" t="s">
        <v>120</v>
      </c>
      <c r="W76" s="2"/>
      <c r="X76" s="2"/>
      <c r="Y76" s="2" t="s">
        <v>116</v>
      </c>
      <c r="Z76" s="2"/>
      <c r="AA76" s="2"/>
      <c r="AB76" s="2" t="s">
        <v>116</v>
      </c>
      <c r="AC76" s="2" t="s">
        <v>103</v>
      </c>
      <c r="AD76" s="2" t="s">
        <v>125</v>
      </c>
      <c r="AE76" s="2"/>
      <c r="AF76" s="2" t="s">
        <v>118</v>
      </c>
      <c r="AG76" s="2" t="s">
        <v>103</v>
      </c>
      <c r="AH76" s="2"/>
      <c r="AI76" s="2"/>
      <c r="AJ76" s="2" t="s">
        <v>114</v>
      </c>
      <c r="AK76" s="2"/>
      <c r="AL76" s="2"/>
      <c r="AM76" s="2"/>
      <c r="AN76" s="2"/>
      <c r="AO76" s="2"/>
      <c r="AP76" s="2"/>
      <c r="AQ76" s="2"/>
      <c r="AR76" s="2"/>
      <c r="AS76" s="2"/>
      <c r="AT76" s="2" t="s">
        <v>130</v>
      </c>
      <c r="AU76" s="2" t="s">
        <v>119</v>
      </c>
      <c r="AV76" s="2" t="s">
        <v>130</v>
      </c>
      <c r="AW76" s="2" t="s">
        <v>119</v>
      </c>
      <c r="AX76" s="2"/>
      <c r="AY76" s="2" t="s">
        <v>128</v>
      </c>
      <c r="AZ76" s="2"/>
      <c r="BA76" s="2"/>
      <c r="BB76" s="5">
        <f>2 + (1/2)</f>
        <v>2.5</v>
      </c>
      <c r="BC76" s="2" t="s">
        <v>107</v>
      </c>
      <c r="BD76" s="2" t="s">
        <v>116</v>
      </c>
      <c r="BE76" s="2" t="s">
        <v>132</v>
      </c>
      <c r="BF76" s="3">
        <f>3/4</f>
        <v>0.75</v>
      </c>
      <c r="BG76" s="2" t="s">
        <v>137</v>
      </c>
      <c r="BH76" s="2" t="s">
        <v>167</v>
      </c>
      <c r="BI76" s="2" t="s">
        <v>132</v>
      </c>
      <c r="BJ76" s="2"/>
      <c r="BK76" s="2"/>
      <c r="BL76" s="2"/>
      <c r="BM76" s="2" t="s">
        <v>134</v>
      </c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 t="s">
        <v>111</v>
      </c>
      <c r="BY76" s="2"/>
      <c r="BZ76" s="2"/>
      <c r="CA76" s="2"/>
      <c r="CB76" s="2"/>
      <c r="CC76" s="2" t="s">
        <v>130</v>
      </c>
      <c r="CD76" s="2" t="s">
        <v>129</v>
      </c>
      <c r="CE76" s="2"/>
      <c r="CF76" s="2"/>
      <c r="CG76" s="2"/>
      <c r="CH76" s="2"/>
      <c r="CI76" s="2" t="s">
        <v>116</v>
      </c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 t="s">
        <v>111</v>
      </c>
      <c r="CY76" s="2" t="s">
        <v>137</v>
      </c>
    </row>
    <row r="77" ht="15.75" customHeight="1">
      <c r="A77" s="2" t="s">
        <v>124</v>
      </c>
      <c r="B77" s="2" t="s">
        <v>134</v>
      </c>
      <c r="C77" s="2" t="s">
        <v>104</v>
      </c>
      <c r="D77" s="2"/>
      <c r="E77" s="2" t="s">
        <v>103</v>
      </c>
      <c r="F77" s="2"/>
      <c r="G77" s="2"/>
      <c r="H77" s="2" t="s">
        <v>118</v>
      </c>
      <c r="I77" s="2"/>
      <c r="J77" s="2"/>
      <c r="K77" s="2" t="s">
        <v>118</v>
      </c>
      <c r="L77" s="2" t="s">
        <v>129</v>
      </c>
      <c r="M77" s="2"/>
      <c r="N77" s="2" t="s">
        <v>107</v>
      </c>
      <c r="O77" s="2"/>
      <c r="P77" s="2"/>
      <c r="Q77" s="2"/>
      <c r="R77" s="2"/>
      <c r="S77" s="2" t="s">
        <v>137</v>
      </c>
      <c r="T77" s="2" t="s">
        <v>103</v>
      </c>
      <c r="U77" s="2" t="s">
        <v>125</v>
      </c>
      <c r="V77" s="2">
        <f>1/2</f>
        <v>0.5</v>
      </c>
      <c r="W77" s="2"/>
      <c r="X77" s="2"/>
      <c r="Y77" s="2"/>
      <c r="Z77" s="2"/>
      <c r="AA77" s="2"/>
      <c r="AB77" s="2" t="s">
        <v>103</v>
      </c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 t="s">
        <v>103</v>
      </c>
      <c r="AW77" s="2" t="s">
        <v>125</v>
      </c>
      <c r="AX77" s="2"/>
      <c r="AY77" s="2" t="s">
        <v>107</v>
      </c>
      <c r="AZ77" s="2"/>
      <c r="BA77" s="2"/>
      <c r="BB77" s="2"/>
      <c r="BC77" s="2"/>
      <c r="BD77" s="2" t="s">
        <v>103</v>
      </c>
      <c r="BE77" s="2" t="s">
        <v>111</v>
      </c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 t="s">
        <v>103</v>
      </c>
      <c r="CD77" s="2" t="s">
        <v>113</v>
      </c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</row>
    <row r="78" ht="15.75" customHeight="1">
      <c r="A78" s="2" t="s">
        <v>157</v>
      </c>
      <c r="B78" s="2" t="s">
        <v>134</v>
      </c>
      <c r="C78" s="2" t="s">
        <v>104</v>
      </c>
      <c r="D78" s="2"/>
      <c r="E78" s="2" t="s">
        <v>103</v>
      </c>
      <c r="F78" s="2"/>
      <c r="G78" s="2"/>
      <c r="H78" s="2" t="s">
        <v>118</v>
      </c>
      <c r="I78" s="2" t="s">
        <v>130</v>
      </c>
      <c r="J78" s="2"/>
      <c r="K78" s="2"/>
      <c r="L78" s="2" t="s">
        <v>139</v>
      </c>
      <c r="M78" s="2"/>
      <c r="N78" s="2" t="s">
        <v>137</v>
      </c>
      <c r="O78" s="2"/>
      <c r="P78" s="2"/>
      <c r="Q78" s="2"/>
      <c r="R78" s="2"/>
      <c r="S78" s="2" t="s">
        <v>107</v>
      </c>
      <c r="T78" s="2"/>
      <c r="U78" s="2"/>
      <c r="V78" s="2"/>
      <c r="W78" s="2"/>
      <c r="X78" s="2"/>
      <c r="Y78" s="2"/>
      <c r="Z78" s="2"/>
      <c r="AA78" s="2"/>
      <c r="AB78" s="2" t="s">
        <v>103</v>
      </c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 t="s">
        <v>103</v>
      </c>
      <c r="AW78" s="2" t="s">
        <v>125</v>
      </c>
      <c r="AX78" s="2"/>
      <c r="AY78" s="2" t="s">
        <v>119</v>
      </c>
      <c r="AZ78" s="2"/>
      <c r="BA78" s="2"/>
      <c r="BB78" s="2"/>
      <c r="BC78" s="2"/>
      <c r="BD78" s="2" t="s">
        <v>130</v>
      </c>
      <c r="BE78" s="2" t="s">
        <v>133</v>
      </c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 t="s">
        <v>103</v>
      </c>
      <c r="CD78" s="2" t="s">
        <v>123</v>
      </c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 t="s">
        <v>118</v>
      </c>
      <c r="CY78" s="2" t="s">
        <v>118</v>
      </c>
    </row>
    <row r="79" ht="15.75" customHeight="1">
      <c r="A79" s="2" t="s">
        <v>134</v>
      </c>
      <c r="B79" s="2" t="s">
        <v>134</v>
      </c>
      <c r="C79" s="2" t="s">
        <v>104</v>
      </c>
      <c r="D79" s="2"/>
      <c r="E79" s="2" t="s">
        <v>103</v>
      </c>
      <c r="F79" s="2"/>
      <c r="G79" s="2"/>
      <c r="H79" s="2" t="s">
        <v>120</v>
      </c>
      <c r="I79" s="2" t="s">
        <v>106</v>
      </c>
      <c r="J79" s="2" t="s">
        <v>137</v>
      </c>
      <c r="K79" s="2"/>
      <c r="L79" s="2" t="s">
        <v>145</v>
      </c>
      <c r="M79" s="2" t="s">
        <v>107</v>
      </c>
      <c r="N79" s="2" t="s">
        <v>176</v>
      </c>
      <c r="O79" s="2"/>
      <c r="P79" s="2"/>
      <c r="Q79" s="2"/>
      <c r="R79" s="2"/>
      <c r="S79" s="2" t="s">
        <v>132</v>
      </c>
      <c r="T79" s="2" t="s">
        <v>118</v>
      </c>
      <c r="U79" s="2" t="s">
        <v>106</v>
      </c>
      <c r="V79" s="3" t="s">
        <v>167</v>
      </c>
      <c r="W79" s="2"/>
      <c r="X79" s="2"/>
      <c r="Y79" s="2" t="s">
        <v>125</v>
      </c>
      <c r="Z79" s="2"/>
      <c r="AA79" s="2"/>
      <c r="AB79" s="2" t="s">
        <v>130</v>
      </c>
      <c r="AC79" s="2"/>
      <c r="AD79" s="2"/>
      <c r="AE79" s="2"/>
      <c r="AF79" s="2"/>
      <c r="AG79" s="2"/>
      <c r="AH79" s="2"/>
      <c r="AI79" s="2"/>
      <c r="AJ79" s="2" t="s">
        <v>112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 t="s">
        <v>103</v>
      </c>
      <c r="AW79" s="2" t="s">
        <v>141</v>
      </c>
      <c r="AX79" s="2"/>
      <c r="AY79" s="2" t="s">
        <v>109</v>
      </c>
      <c r="AZ79" s="2"/>
      <c r="BA79" s="2"/>
      <c r="BB79" s="2" t="s">
        <v>103</v>
      </c>
      <c r="BC79" s="2" t="s">
        <v>134</v>
      </c>
      <c r="BD79" s="2" t="s">
        <v>130</v>
      </c>
      <c r="BE79" s="2" t="s">
        <v>158</v>
      </c>
      <c r="BF79" s="2">
        <f>1/4</f>
        <v>0.25</v>
      </c>
      <c r="BG79" s="2" t="s">
        <v>118</v>
      </c>
      <c r="BH79" s="2" t="s">
        <v>125</v>
      </c>
      <c r="BI79" s="2" t="s">
        <v>122</v>
      </c>
      <c r="BJ79" s="2" t="s">
        <v>130</v>
      </c>
      <c r="BK79" s="2" t="s">
        <v>127</v>
      </c>
      <c r="BL79" s="2" t="s">
        <v>130</v>
      </c>
      <c r="BM79" s="5">
        <f>1 + (1/2)</f>
        <v>1.5</v>
      </c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>
        <f>1/2</f>
        <v>0.5</v>
      </c>
      <c r="CD79" s="2" t="s">
        <v>133</v>
      </c>
      <c r="CE79" s="2"/>
      <c r="CF79" s="2"/>
      <c r="CG79" s="2"/>
      <c r="CH79" s="2"/>
      <c r="CI79" s="2"/>
      <c r="CJ79" s="2" t="s">
        <v>119</v>
      </c>
      <c r="CK79" s="2" t="s">
        <v>137</v>
      </c>
      <c r="CL79" s="2"/>
      <c r="CM79" s="2"/>
      <c r="CN79" s="2"/>
      <c r="CO79" s="2" t="s">
        <v>130</v>
      </c>
      <c r="CP79" s="2"/>
      <c r="CQ79" s="2"/>
      <c r="CR79" s="2"/>
      <c r="CS79" s="2"/>
      <c r="CT79" s="2"/>
      <c r="CU79" s="2"/>
      <c r="CV79" s="2"/>
      <c r="CW79" s="2"/>
      <c r="CX79" s="2"/>
      <c r="CY79" s="2"/>
    </row>
    <row r="80" ht="15.75" customHeight="1">
      <c r="A80" s="2" t="s">
        <v>167</v>
      </c>
      <c r="B80" s="2" t="s">
        <v>134</v>
      </c>
      <c r="C80" s="2" t="s">
        <v>104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</row>
    <row r="81" ht="15.75" customHeight="1">
      <c r="A81" s="2" t="s">
        <v>111</v>
      </c>
      <c r="B81" s="2" t="s">
        <v>134</v>
      </c>
      <c r="C81" s="2" t="s">
        <v>104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</row>
    <row r="82" ht="15.75" customHeight="1">
      <c r="A82" s="2" t="s">
        <v>103</v>
      </c>
      <c r="B82" s="2" t="s">
        <v>167</v>
      </c>
      <c r="C82" s="2" t="s">
        <v>104</v>
      </c>
      <c r="D82" s="2"/>
      <c r="E82" s="2" t="s">
        <v>103</v>
      </c>
      <c r="F82" s="2"/>
      <c r="G82" s="2"/>
      <c r="H82" s="2" t="s">
        <v>162</v>
      </c>
      <c r="I82" s="2" t="s">
        <v>111</v>
      </c>
      <c r="J82" s="2" t="s">
        <v>120</v>
      </c>
      <c r="K82" s="2" t="s">
        <v>103</v>
      </c>
      <c r="L82" s="2" t="s">
        <v>159</v>
      </c>
      <c r="M82" s="2" t="s">
        <v>120</v>
      </c>
      <c r="N82" s="2" t="s">
        <v>266</v>
      </c>
      <c r="O82" s="2"/>
      <c r="P82" s="2"/>
      <c r="Q82" s="2" t="s">
        <v>133</v>
      </c>
      <c r="R82" s="2" t="s">
        <v>125</v>
      </c>
      <c r="S82" s="2" t="s">
        <v>267</v>
      </c>
      <c r="T82" s="2" t="s">
        <v>211</v>
      </c>
      <c r="U82" s="2" t="s">
        <v>111</v>
      </c>
      <c r="V82" s="2" t="s">
        <v>119</v>
      </c>
      <c r="W82" s="2"/>
      <c r="X82" s="2"/>
      <c r="Y82" s="2" t="s">
        <v>116</v>
      </c>
      <c r="Z82" s="2"/>
      <c r="AA82" s="2"/>
      <c r="AB82" s="2" t="s">
        <v>118</v>
      </c>
      <c r="AC82" s="2"/>
      <c r="AD82" s="2" t="s">
        <v>125</v>
      </c>
      <c r="AE82" s="2"/>
      <c r="AF82" s="2" t="s">
        <v>125</v>
      </c>
      <c r="AG82" s="2"/>
      <c r="AH82" s="2"/>
      <c r="AI82" s="2"/>
      <c r="AJ82" s="2" t="s">
        <v>114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 t="s">
        <v>103</v>
      </c>
      <c r="AW82" s="2" t="s">
        <v>181</v>
      </c>
      <c r="AX82" s="2" t="s">
        <v>181</v>
      </c>
      <c r="AY82" s="2" t="s">
        <v>109</v>
      </c>
      <c r="AZ82" s="2"/>
      <c r="BA82" s="2"/>
      <c r="BB82" s="2">
        <f>1/2</f>
        <v>0.5</v>
      </c>
      <c r="BC82" s="2" t="s">
        <v>134</v>
      </c>
      <c r="BD82" s="2" t="s">
        <v>103</v>
      </c>
      <c r="BE82" s="2" t="s">
        <v>181</v>
      </c>
      <c r="BF82" s="2" t="s">
        <v>130</v>
      </c>
      <c r="BG82" s="2" t="s">
        <v>113</v>
      </c>
      <c r="BH82" s="2"/>
      <c r="BI82" s="2"/>
      <c r="BJ82" s="2" t="s">
        <v>103</v>
      </c>
      <c r="BK82" s="2" t="s">
        <v>134</v>
      </c>
      <c r="BL82" s="2" t="s">
        <v>124</v>
      </c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>
        <f t="shared" ref="CC82:CC83" si="13">1/4</f>
        <v>0.25</v>
      </c>
      <c r="CD82" s="2" t="s">
        <v>119</v>
      </c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 t="s">
        <v>134</v>
      </c>
      <c r="CY82" s="2" t="s">
        <v>111</v>
      </c>
    </row>
    <row r="83" ht="15.75" customHeight="1">
      <c r="A83" s="2" t="s">
        <v>130</v>
      </c>
      <c r="B83" s="2" t="s">
        <v>167</v>
      </c>
      <c r="C83" s="2" t="s">
        <v>104</v>
      </c>
      <c r="D83" s="2"/>
      <c r="E83" s="2" t="s">
        <v>103</v>
      </c>
      <c r="F83" s="2"/>
      <c r="G83" s="2"/>
      <c r="H83" s="2" t="s">
        <v>189</v>
      </c>
      <c r="I83" s="2" t="s">
        <v>115</v>
      </c>
      <c r="J83" s="2" t="s">
        <v>164</v>
      </c>
      <c r="K83" s="2"/>
      <c r="L83" s="2" t="s">
        <v>203</v>
      </c>
      <c r="M83" s="2" t="s">
        <v>128</v>
      </c>
      <c r="N83" s="2" t="s">
        <v>268</v>
      </c>
      <c r="O83" s="2"/>
      <c r="P83" s="2"/>
      <c r="Q83" s="2"/>
      <c r="R83" s="2"/>
      <c r="S83" s="2" t="s">
        <v>269</v>
      </c>
      <c r="T83" s="2" t="s">
        <v>122</v>
      </c>
      <c r="U83" s="2" t="s">
        <v>133</v>
      </c>
      <c r="V83" s="2" t="s">
        <v>123</v>
      </c>
      <c r="W83" s="2"/>
      <c r="X83" s="2"/>
      <c r="Y83" s="2" t="s">
        <v>116</v>
      </c>
      <c r="Z83" s="2"/>
      <c r="AA83" s="2"/>
      <c r="AB83" s="2" t="s">
        <v>157</v>
      </c>
      <c r="AC83" s="2" t="s">
        <v>118</v>
      </c>
      <c r="AD83" s="2" t="s">
        <v>124</v>
      </c>
      <c r="AE83" s="2"/>
      <c r="AF83" s="2" t="s">
        <v>103</v>
      </c>
      <c r="AG83" s="2" t="s">
        <v>130</v>
      </c>
      <c r="AH83" s="2"/>
      <c r="AI83" s="2"/>
      <c r="AJ83" s="2" t="s">
        <v>161</v>
      </c>
      <c r="AK83" s="2"/>
      <c r="AL83" s="2" t="s">
        <v>120</v>
      </c>
      <c r="AM83" s="2"/>
      <c r="AN83" s="2"/>
      <c r="AO83" s="2"/>
      <c r="AP83" s="2"/>
      <c r="AQ83" s="2"/>
      <c r="AR83" s="2"/>
      <c r="AS83" s="2"/>
      <c r="AT83" s="2" t="s">
        <v>120</v>
      </c>
      <c r="AU83" s="2" t="s">
        <v>151</v>
      </c>
      <c r="AV83" s="2" t="s">
        <v>130</v>
      </c>
      <c r="AW83" s="2" t="s">
        <v>141</v>
      </c>
      <c r="AX83" s="2"/>
      <c r="AY83" s="2" t="s">
        <v>115</v>
      </c>
      <c r="AZ83" s="2"/>
      <c r="BA83" s="2"/>
      <c r="BB83" s="2"/>
      <c r="BC83" s="2"/>
      <c r="BD83" s="2" t="s">
        <v>103</v>
      </c>
      <c r="BE83" s="2" t="s">
        <v>122</v>
      </c>
      <c r="BF83" s="2"/>
      <c r="BG83" s="2"/>
      <c r="BH83" s="2"/>
      <c r="BI83" s="2"/>
      <c r="BJ83" s="2" t="s">
        <v>103</v>
      </c>
      <c r="BK83" s="2" t="s">
        <v>141</v>
      </c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>
        <f t="shared" si="13"/>
        <v>0.25</v>
      </c>
      <c r="CD83" s="2" t="s">
        <v>119</v>
      </c>
      <c r="CE83" s="2"/>
      <c r="CF83" s="2"/>
      <c r="CG83" s="2"/>
      <c r="CH83" s="2"/>
      <c r="CI83" s="2"/>
      <c r="CJ83" s="2" t="s">
        <v>119</v>
      </c>
      <c r="CK83" s="2" t="s">
        <v>132</v>
      </c>
      <c r="CL83" s="2"/>
      <c r="CM83" s="2"/>
      <c r="CN83" s="2"/>
      <c r="CO83" s="2" t="s">
        <v>111</v>
      </c>
      <c r="CP83" s="2"/>
      <c r="CQ83" s="2"/>
      <c r="CR83" s="2"/>
      <c r="CS83" s="2"/>
      <c r="CT83" s="2"/>
      <c r="CU83" s="2"/>
      <c r="CV83" s="2"/>
      <c r="CW83" s="2"/>
      <c r="CX83" s="2" t="s">
        <v>181</v>
      </c>
      <c r="CY83" s="2" t="s">
        <v>270</v>
      </c>
    </row>
    <row r="84" ht="15.75" customHeight="1">
      <c r="A84" s="2" t="s">
        <v>116</v>
      </c>
      <c r="B84" s="2" t="s">
        <v>167</v>
      </c>
      <c r="C84" s="2" t="s">
        <v>104</v>
      </c>
      <c r="D84" s="2"/>
      <c r="E84" s="2"/>
      <c r="F84" s="2"/>
      <c r="G84" s="2" t="s">
        <v>103</v>
      </c>
      <c r="H84" s="2" t="s">
        <v>109</v>
      </c>
      <c r="I84" s="2" t="s">
        <v>122</v>
      </c>
      <c r="J84" s="2" t="s">
        <v>122</v>
      </c>
      <c r="K84" s="2"/>
      <c r="L84" s="2" t="s">
        <v>271</v>
      </c>
      <c r="M84" s="2" t="s">
        <v>129</v>
      </c>
      <c r="N84" s="2" t="s">
        <v>272</v>
      </c>
      <c r="O84" s="2"/>
      <c r="P84" s="2"/>
      <c r="Q84" s="2" t="s">
        <v>223</v>
      </c>
      <c r="R84" s="2" t="s">
        <v>133</v>
      </c>
      <c r="S84" s="2" t="s">
        <v>183</v>
      </c>
      <c r="T84" s="2" t="s">
        <v>273</v>
      </c>
      <c r="U84" s="2" t="s">
        <v>158</v>
      </c>
      <c r="V84" s="2" t="s">
        <v>122</v>
      </c>
      <c r="W84" s="2"/>
      <c r="X84" s="2"/>
      <c r="Y84" s="2" t="s">
        <v>116</v>
      </c>
      <c r="Z84" s="2"/>
      <c r="AA84" s="2"/>
      <c r="AB84" s="2" t="s">
        <v>167</v>
      </c>
      <c r="AC84" s="2" t="s">
        <v>125</v>
      </c>
      <c r="AD84" s="2" t="s">
        <v>111</v>
      </c>
      <c r="AE84" s="2" t="s">
        <v>103</v>
      </c>
      <c r="AF84" s="2" t="s">
        <v>116</v>
      </c>
      <c r="AG84" s="2" t="s">
        <v>124</v>
      </c>
      <c r="AH84" s="2"/>
      <c r="AI84" s="2"/>
      <c r="AJ84" s="2" t="s">
        <v>121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 t="s">
        <v>130</v>
      </c>
      <c r="AW84" s="2" t="s">
        <v>148</v>
      </c>
      <c r="AX84" s="2"/>
      <c r="AY84" s="2" t="s">
        <v>113</v>
      </c>
      <c r="AZ84" s="2"/>
      <c r="BA84" s="2"/>
      <c r="BB84" s="2"/>
      <c r="BC84" s="2"/>
      <c r="BD84" s="2" t="s">
        <v>130</v>
      </c>
      <c r="BE84" s="2" t="s">
        <v>109</v>
      </c>
      <c r="BF84" s="2" t="s">
        <v>124</v>
      </c>
      <c r="BG84" s="2" t="s">
        <v>112</v>
      </c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 t="s">
        <v>123</v>
      </c>
      <c r="BX84" s="2"/>
      <c r="BY84" s="2"/>
      <c r="BZ84" s="2"/>
      <c r="CA84" s="2"/>
      <c r="CB84" s="2"/>
      <c r="CC84" s="2">
        <f>1/2</f>
        <v>0.5</v>
      </c>
      <c r="CD84" s="2" t="s">
        <v>113</v>
      </c>
      <c r="CE84" s="2"/>
      <c r="CF84" s="2"/>
      <c r="CG84" s="2"/>
      <c r="CH84" s="2"/>
      <c r="CI84" s="2"/>
      <c r="CJ84" s="2" t="s">
        <v>137</v>
      </c>
      <c r="CK84" s="2" t="s">
        <v>197</v>
      </c>
      <c r="CL84" s="2"/>
      <c r="CM84" s="2"/>
      <c r="CN84" s="2"/>
      <c r="CO84" s="2" t="s">
        <v>119</v>
      </c>
      <c r="CP84" s="2"/>
      <c r="CQ84" s="2"/>
      <c r="CR84" s="2"/>
      <c r="CS84" s="2"/>
      <c r="CT84" s="2"/>
      <c r="CU84" s="2"/>
      <c r="CV84" s="2"/>
      <c r="CW84" s="2"/>
      <c r="CX84" s="2" t="s">
        <v>119</v>
      </c>
      <c r="CY84" s="2" t="s">
        <v>193</v>
      </c>
    </row>
    <row r="85" ht="15.75" customHeight="1">
      <c r="A85" s="2" t="s">
        <v>125</v>
      </c>
      <c r="B85" s="2" t="s">
        <v>167</v>
      </c>
      <c r="C85" s="2" t="s">
        <v>104</v>
      </c>
      <c r="D85" s="2"/>
      <c r="E85" s="2" t="s">
        <v>103</v>
      </c>
      <c r="F85" s="2"/>
      <c r="G85" s="2"/>
      <c r="H85" s="2" t="s">
        <v>177</v>
      </c>
      <c r="I85" s="2" t="s">
        <v>179</v>
      </c>
      <c r="J85" s="2" t="s">
        <v>122</v>
      </c>
      <c r="K85" s="2"/>
      <c r="L85" s="2" t="s">
        <v>274</v>
      </c>
      <c r="M85" s="2" t="s">
        <v>129</v>
      </c>
      <c r="N85" s="2" t="s">
        <v>145</v>
      </c>
      <c r="O85" s="2"/>
      <c r="P85" s="2"/>
      <c r="Q85" s="2" t="s">
        <v>155</v>
      </c>
      <c r="R85" s="2" t="s">
        <v>233</v>
      </c>
      <c r="S85" s="2" t="s">
        <v>159</v>
      </c>
      <c r="T85" s="2" t="s">
        <v>197</v>
      </c>
      <c r="U85" s="2" t="s">
        <v>132</v>
      </c>
      <c r="V85" s="2" t="s">
        <v>128</v>
      </c>
      <c r="W85" s="2"/>
      <c r="X85" s="2"/>
      <c r="Y85" s="2" t="s">
        <v>116</v>
      </c>
      <c r="Z85" s="2"/>
      <c r="AA85" s="2"/>
      <c r="AB85" s="2" t="s">
        <v>118</v>
      </c>
      <c r="AC85" s="2" t="s">
        <v>243</v>
      </c>
      <c r="AD85" s="2" t="s">
        <v>124</v>
      </c>
      <c r="AE85" s="2" t="s">
        <v>113</v>
      </c>
      <c r="AF85" s="2" t="s">
        <v>242</v>
      </c>
      <c r="AG85" s="2" t="s">
        <v>103</v>
      </c>
      <c r="AH85" s="2"/>
      <c r="AI85" s="2"/>
      <c r="AJ85" s="2" t="s">
        <v>161</v>
      </c>
      <c r="AK85" s="2"/>
      <c r="AL85" s="2" t="s">
        <v>115</v>
      </c>
      <c r="AM85" s="2" t="s">
        <v>137</v>
      </c>
      <c r="AN85" s="2"/>
      <c r="AO85" s="2" t="s">
        <v>137</v>
      </c>
      <c r="AP85" s="2"/>
      <c r="AQ85" s="2"/>
      <c r="AR85" s="2" t="s">
        <v>118</v>
      </c>
      <c r="AS85" s="2"/>
      <c r="AT85" s="2" t="s">
        <v>137</v>
      </c>
      <c r="AU85" s="2" t="s">
        <v>172</v>
      </c>
      <c r="AV85" s="2" t="s">
        <v>130</v>
      </c>
      <c r="AW85" s="2" t="s">
        <v>202</v>
      </c>
      <c r="AX85" s="2"/>
      <c r="AY85" s="2" t="s">
        <v>112</v>
      </c>
      <c r="AZ85" s="2"/>
      <c r="BA85" s="2"/>
      <c r="BB85" s="2"/>
      <c r="BC85" s="2"/>
      <c r="BD85" s="2" t="s">
        <v>130</v>
      </c>
      <c r="BE85" s="2" t="s">
        <v>123</v>
      </c>
      <c r="BF85" s="2" t="s">
        <v>157</v>
      </c>
      <c r="BG85" s="2" t="s">
        <v>150</v>
      </c>
      <c r="BH85" s="2"/>
      <c r="BI85" s="2"/>
      <c r="BJ85" s="2"/>
      <c r="BK85" s="2"/>
      <c r="BL85" s="2" t="s">
        <v>111</v>
      </c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5">
        <f>1 + (1/2)</f>
        <v>1.5</v>
      </c>
      <c r="CD85" s="2" t="s">
        <v>150</v>
      </c>
      <c r="CE85" s="2"/>
      <c r="CF85" s="2"/>
      <c r="CG85" s="2"/>
      <c r="CH85" s="2"/>
      <c r="CI85" s="2"/>
      <c r="CJ85" s="2" t="s">
        <v>112</v>
      </c>
      <c r="CK85" s="2" t="s">
        <v>145</v>
      </c>
      <c r="CL85" s="2"/>
      <c r="CM85" s="2"/>
      <c r="CN85" s="2"/>
      <c r="CO85" s="2" t="s">
        <v>105</v>
      </c>
      <c r="CP85" s="2"/>
      <c r="CQ85" s="2"/>
      <c r="CR85" s="2"/>
      <c r="CS85" s="2"/>
      <c r="CT85" s="2"/>
      <c r="CU85" s="2"/>
      <c r="CV85" s="2"/>
      <c r="CW85" s="2"/>
      <c r="CX85" s="2" t="s">
        <v>107</v>
      </c>
      <c r="CY85" s="2" t="s">
        <v>209</v>
      </c>
    </row>
    <row r="86" ht="15.75" customHeight="1">
      <c r="A86" s="2" t="s">
        <v>118</v>
      </c>
      <c r="B86" s="2" t="s">
        <v>167</v>
      </c>
      <c r="C86" s="2" t="s">
        <v>104</v>
      </c>
      <c r="D86" s="2"/>
      <c r="E86" s="2"/>
      <c r="F86" s="2" t="s">
        <v>103</v>
      </c>
      <c r="G86" s="2"/>
      <c r="H86" s="2" t="s">
        <v>137</v>
      </c>
      <c r="I86" s="2" t="s">
        <v>128</v>
      </c>
      <c r="J86" s="2" t="s">
        <v>226</v>
      </c>
      <c r="K86" s="2"/>
      <c r="L86" s="2" t="s">
        <v>239</v>
      </c>
      <c r="M86" s="2"/>
      <c r="N86" s="2" t="s">
        <v>112</v>
      </c>
      <c r="O86" s="2"/>
      <c r="P86" s="2"/>
      <c r="Q86" s="2" t="s">
        <v>111</v>
      </c>
      <c r="R86" s="2" t="s">
        <v>116</v>
      </c>
      <c r="S86" s="2" t="s">
        <v>223</v>
      </c>
      <c r="T86" s="2" t="s">
        <v>137</v>
      </c>
      <c r="U86" s="2" t="s">
        <v>128</v>
      </c>
      <c r="V86" s="2" t="s">
        <v>137</v>
      </c>
      <c r="W86" s="2"/>
      <c r="X86" s="2"/>
      <c r="Y86" s="2" t="s">
        <v>130</v>
      </c>
      <c r="Z86" s="2"/>
      <c r="AA86" s="2"/>
      <c r="AB86" s="2" t="s">
        <v>103</v>
      </c>
      <c r="AC86" s="2" t="s">
        <v>118</v>
      </c>
      <c r="AD86" s="2"/>
      <c r="AE86" s="2"/>
      <c r="AF86" s="2"/>
      <c r="AG86" s="2"/>
      <c r="AH86" s="2"/>
      <c r="AI86" s="2"/>
      <c r="AJ86" s="2"/>
      <c r="AK86" s="2"/>
      <c r="AL86" s="2" t="s">
        <v>125</v>
      </c>
      <c r="AM86" s="2"/>
      <c r="AN86" s="2"/>
      <c r="AO86" s="2"/>
      <c r="AP86" s="2"/>
      <c r="AQ86" s="2"/>
      <c r="AR86" s="2"/>
      <c r="AS86" s="2"/>
      <c r="AT86" s="2" t="s">
        <v>125</v>
      </c>
      <c r="AU86" s="2" t="s">
        <v>113</v>
      </c>
      <c r="AV86" s="2" t="s">
        <v>103</v>
      </c>
      <c r="AW86" s="2" t="s">
        <v>127</v>
      </c>
      <c r="AX86" s="2"/>
      <c r="AY86" s="2" t="s">
        <v>123</v>
      </c>
      <c r="AZ86" s="2"/>
      <c r="BA86" s="2"/>
      <c r="BB86" s="2"/>
      <c r="BC86" s="2"/>
      <c r="BD86" s="2" t="s">
        <v>130</v>
      </c>
      <c r="BE86" s="2" t="s">
        <v>133</v>
      </c>
      <c r="BF86" s="2" t="s">
        <v>116</v>
      </c>
      <c r="BG86" s="2" t="s">
        <v>270</v>
      </c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>
        <f>3/4</f>
        <v>0.75</v>
      </c>
      <c r="CD86" s="2" t="s">
        <v>113</v>
      </c>
      <c r="CE86" s="2"/>
      <c r="CF86" s="2"/>
      <c r="CG86" s="2"/>
      <c r="CH86" s="2"/>
      <c r="CI86" s="2" t="s">
        <v>134</v>
      </c>
      <c r="CJ86" s="2" t="s">
        <v>107</v>
      </c>
      <c r="CK86" s="2" t="s">
        <v>123</v>
      </c>
      <c r="CL86" s="2"/>
      <c r="CM86" s="2"/>
      <c r="CN86" s="2"/>
      <c r="CO86" s="2" t="s">
        <v>118</v>
      </c>
      <c r="CP86" s="2"/>
      <c r="CQ86" s="2"/>
      <c r="CR86" s="2"/>
      <c r="CS86" s="2"/>
      <c r="CT86" s="2"/>
      <c r="CU86" s="2"/>
      <c r="CV86" s="2"/>
      <c r="CW86" s="2"/>
      <c r="CX86" s="2" t="s">
        <v>118</v>
      </c>
      <c r="CY86" s="2" t="s">
        <v>134</v>
      </c>
    </row>
    <row r="87" ht="15.75" customHeight="1">
      <c r="A87" s="2" t="s">
        <v>124</v>
      </c>
      <c r="B87" s="2" t="s">
        <v>167</v>
      </c>
      <c r="C87" s="2" t="s">
        <v>104</v>
      </c>
      <c r="D87" s="2"/>
      <c r="E87" s="2" t="s">
        <v>103</v>
      </c>
      <c r="F87" s="2"/>
      <c r="G87" s="2"/>
      <c r="H87" s="2" t="s">
        <v>156</v>
      </c>
      <c r="I87" s="2" t="s">
        <v>248</v>
      </c>
      <c r="J87" s="2" t="s">
        <v>151</v>
      </c>
      <c r="K87" s="2"/>
      <c r="L87" s="2" t="s">
        <v>244</v>
      </c>
      <c r="M87" s="2" t="s">
        <v>129</v>
      </c>
      <c r="N87" s="2" t="s">
        <v>275</v>
      </c>
      <c r="O87" s="2" t="s">
        <v>137</v>
      </c>
      <c r="P87" s="2"/>
      <c r="Q87" s="2" t="s">
        <v>129</v>
      </c>
      <c r="R87" s="2" t="s">
        <v>258</v>
      </c>
      <c r="S87" s="2" t="s">
        <v>276</v>
      </c>
      <c r="T87" s="2" t="s">
        <v>191</v>
      </c>
      <c r="U87" s="2" t="s">
        <v>128</v>
      </c>
      <c r="V87" s="2" t="s">
        <v>115</v>
      </c>
      <c r="W87" s="2"/>
      <c r="X87" s="2"/>
      <c r="Y87" s="2" t="s">
        <v>130</v>
      </c>
      <c r="Z87" s="2"/>
      <c r="AA87" s="2"/>
      <c r="AB87" s="2" t="s">
        <v>157</v>
      </c>
      <c r="AC87" s="2" t="s">
        <v>157</v>
      </c>
      <c r="AD87" s="2" t="s">
        <v>134</v>
      </c>
      <c r="AE87" s="2" t="s">
        <v>118</v>
      </c>
      <c r="AF87" s="2" t="s">
        <v>157</v>
      </c>
      <c r="AG87" s="2" t="s">
        <v>103</v>
      </c>
      <c r="AH87" s="2"/>
      <c r="AI87" s="2"/>
      <c r="AJ87" s="2" t="s">
        <v>110</v>
      </c>
      <c r="AK87" s="2"/>
      <c r="AL87" s="2" t="s">
        <v>109</v>
      </c>
      <c r="AM87" s="2" t="s">
        <v>156</v>
      </c>
      <c r="AN87" s="2" t="s">
        <v>137</v>
      </c>
      <c r="AO87" s="2" t="s">
        <v>111</v>
      </c>
      <c r="AP87" s="2" t="s">
        <v>130</v>
      </c>
      <c r="AQ87" s="2"/>
      <c r="AR87" s="2" t="s">
        <v>124</v>
      </c>
      <c r="AS87" s="2" t="s">
        <v>130</v>
      </c>
      <c r="AT87" s="2" t="s">
        <v>128</v>
      </c>
      <c r="AU87" s="2" t="s">
        <v>136</v>
      </c>
      <c r="AV87" s="2" t="s">
        <v>124</v>
      </c>
      <c r="AW87" s="2" t="s">
        <v>127</v>
      </c>
      <c r="AX87" s="2"/>
      <c r="AY87" s="2" t="s">
        <v>115</v>
      </c>
      <c r="AZ87" s="2"/>
      <c r="BA87" s="2"/>
      <c r="BB87" s="2"/>
      <c r="BC87" s="2"/>
      <c r="BD87" s="5">
        <f>3 + (1/2)</f>
        <v>3.5</v>
      </c>
      <c r="BE87" s="2" t="s">
        <v>109</v>
      </c>
      <c r="BF87" s="2" t="s">
        <v>118</v>
      </c>
      <c r="BG87" s="2" t="s">
        <v>277</v>
      </c>
      <c r="BH87" s="2"/>
      <c r="BI87" s="2"/>
      <c r="BJ87" s="2"/>
      <c r="BK87" s="2"/>
      <c r="BL87" s="2"/>
      <c r="BM87" s="2" t="s">
        <v>116</v>
      </c>
      <c r="BN87" s="2"/>
      <c r="BO87" s="2"/>
      <c r="BP87" s="2"/>
      <c r="BQ87" s="2"/>
      <c r="BR87" s="2"/>
      <c r="BS87" s="2"/>
      <c r="BT87" s="2"/>
      <c r="BU87" s="2"/>
      <c r="BV87" s="2"/>
      <c r="BW87" s="2" t="s">
        <v>150</v>
      </c>
      <c r="BX87" s="2"/>
      <c r="BY87" s="2"/>
      <c r="BZ87" s="2"/>
      <c r="CA87" s="2"/>
      <c r="CB87" s="2"/>
      <c r="CC87" s="5">
        <f>1 + (1/2)</f>
        <v>1.5</v>
      </c>
      <c r="CD87" s="2" t="s">
        <v>143</v>
      </c>
      <c r="CE87" s="2"/>
      <c r="CF87" s="2"/>
      <c r="CG87" s="2"/>
      <c r="CH87" s="2"/>
      <c r="CI87" s="2"/>
      <c r="CJ87" s="2" t="s">
        <v>132</v>
      </c>
      <c r="CK87" s="2" t="s">
        <v>129</v>
      </c>
      <c r="CL87" s="2"/>
      <c r="CM87" s="2"/>
      <c r="CN87" s="2"/>
      <c r="CO87" s="2" t="s">
        <v>137</v>
      </c>
      <c r="CP87" s="2"/>
      <c r="CQ87" s="2"/>
      <c r="CR87" s="2"/>
      <c r="CS87" s="2"/>
      <c r="CT87" s="2"/>
      <c r="CU87" s="2"/>
      <c r="CV87" s="2"/>
      <c r="CW87" s="2"/>
      <c r="CX87" s="2" t="s">
        <v>113</v>
      </c>
      <c r="CY87" s="2" t="s">
        <v>132</v>
      </c>
    </row>
    <row r="88" ht="15.75" customHeight="1">
      <c r="A88" s="2" t="s">
        <v>157</v>
      </c>
      <c r="B88" s="2" t="s">
        <v>167</v>
      </c>
      <c r="C88" s="2" t="s">
        <v>104</v>
      </c>
      <c r="D88" s="2"/>
      <c r="E88" s="2" t="s">
        <v>103</v>
      </c>
      <c r="F88" s="2"/>
      <c r="G88" s="2"/>
      <c r="H88" s="2" t="s">
        <v>107</v>
      </c>
      <c r="I88" s="2" t="s">
        <v>109</v>
      </c>
      <c r="J88" s="2" t="s">
        <v>122</v>
      </c>
      <c r="K88" s="2"/>
      <c r="L88" s="2" t="s">
        <v>165</v>
      </c>
      <c r="M88" s="2" t="s">
        <v>109</v>
      </c>
      <c r="N88" s="2" t="s">
        <v>150</v>
      </c>
      <c r="O88" s="2" t="s">
        <v>107</v>
      </c>
      <c r="P88" s="2"/>
      <c r="Q88" s="2" t="s">
        <v>123</v>
      </c>
      <c r="R88" s="2" t="s">
        <v>117</v>
      </c>
      <c r="S88" s="2" t="s">
        <v>219</v>
      </c>
      <c r="T88" s="2" t="s">
        <v>122</v>
      </c>
      <c r="U88" s="2" t="s">
        <v>109</v>
      </c>
      <c r="V88" s="2" t="s">
        <v>106</v>
      </c>
      <c r="W88" s="2"/>
      <c r="X88" s="2"/>
      <c r="Y88" s="2" t="s">
        <v>130</v>
      </c>
      <c r="Z88" s="2"/>
      <c r="AA88" s="2"/>
      <c r="AB88" s="2" t="s">
        <v>119</v>
      </c>
      <c r="AC88" s="2" t="s">
        <v>125</v>
      </c>
      <c r="AD88" s="2" t="s">
        <v>111</v>
      </c>
      <c r="AE88" s="2"/>
      <c r="AF88" s="3" t="s">
        <v>157</v>
      </c>
      <c r="AG88" s="2" t="s">
        <v>130</v>
      </c>
      <c r="AH88" s="2"/>
      <c r="AI88" s="2"/>
      <c r="AJ88" s="2" t="s">
        <v>145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 t="s">
        <v>103</v>
      </c>
      <c r="AW88" s="2" t="s">
        <v>181</v>
      </c>
      <c r="AX88" s="2"/>
      <c r="AY88" s="2" t="s">
        <v>115</v>
      </c>
      <c r="AZ88" s="2"/>
      <c r="BA88" s="2"/>
      <c r="BB88" s="2"/>
      <c r="BC88" s="2"/>
      <c r="BD88" s="2" t="s">
        <v>130</v>
      </c>
      <c r="BE88" s="2" t="s">
        <v>133</v>
      </c>
      <c r="BF88" s="2" t="s">
        <v>103</v>
      </c>
      <c r="BG88" s="2" t="s">
        <v>230</v>
      </c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 t="s">
        <v>139</v>
      </c>
      <c r="BX88" s="2"/>
      <c r="BY88" s="2"/>
      <c r="BZ88" s="2"/>
      <c r="CA88" s="2"/>
      <c r="CB88" s="2"/>
      <c r="CC88" s="2">
        <f>3/4</f>
        <v>0.75</v>
      </c>
      <c r="CD88" s="2" t="s">
        <v>133</v>
      </c>
      <c r="CE88" s="2"/>
      <c r="CF88" s="2"/>
      <c r="CG88" s="2"/>
      <c r="CH88" s="2"/>
      <c r="CI88" s="2"/>
      <c r="CJ88" s="2" t="s">
        <v>133</v>
      </c>
      <c r="CK88" s="2" t="s">
        <v>109</v>
      </c>
      <c r="CL88" s="2"/>
      <c r="CM88" s="2"/>
      <c r="CN88" s="2"/>
      <c r="CO88" s="2" t="s">
        <v>157</v>
      </c>
      <c r="CP88" s="2"/>
      <c r="CQ88" s="2"/>
      <c r="CR88" s="2"/>
      <c r="CS88" s="2"/>
      <c r="CT88" s="2"/>
      <c r="CU88" s="2"/>
      <c r="CV88" s="2"/>
      <c r="CW88" s="2"/>
      <c r="CX88" s="2" t="s">
        <v>137</v>
      </c>
      <c r="CY88" s="2" t="s">
        <v>113</v>
      </c>
    </row>
    <row r="89" ht="15.75" customHeight="1">
      <c r="A89" s="2" t="s">
        <v>134</v>
      </c>
      <c r="B89" s="2" t="s">
        <v>167</v>
      </c>
      <c r="C89" s="2" t="s">
        <v>104</v>
      </c>
      <c r="D89" s="2"/>
      <c r="E89" s="2"/>
      <c r="F89" s="2" t="s">
        <v>103</v>
      </c>
      <c r="G89" s="2"/>
      <c r="H89" s="2" t="s">
        <v>137</v>
      </c>
      <c r="I89" s="2" t="s">
        <v>277</v>
      </c>
      <c r="J89" s="2" t="s">
        <v>180</v>
      </c>
      <c r="K89" s="2"/>
      <c r="L89" s="2" t="s">
        <v>165</v>
      </c>
      <c r="M89" s="2"/>
      <c r="N89" s="2"/>
      <c r="O89" s="2"/>
      <c r="P89" s="2"/>
      <c r="Q89" s="2" t="s">
        <v>158</v>
      </c>
      <c r="R89" s="2" t="s">
        <v>125</v>
      </c>
      <c r="S89" s="2" t="s">
        <v>278</v>
      </c>
      <c r="T89" s="2" t="s">
        <v>113</v>
      </c>
      <c r="U89" s="2" t="s">
        <v>258</v>
      </c>
      <c r="V89" s="2" t="s">
        <v>133</v>
      </c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 t="s">
        <v>137</v>
      </c>
      <c r="AX89" s="2"/>
      <c r="AY89" s="2" t="s">
        <v>123</v>
      </c>
      <c r="AZ89" s="2"/>
      <c r="BA89" s="2"/>
      <c r="BB89" s="2"/>
      <c r="BC89" s="2"/>
      <c r="BD89" s="2"/>
      <c r="BE89" s="2"/>
      <c r="BF89" s="2" t="s">
        <v>181</v>
      </c>
      <c r="BG89" s="2" t="s">
        <v>114</v>
      </c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</row>
    <row r="90" ht="15.75" customHeight="1">
      <c r="A90" s="2" t="s">
        <v>167</v>
      </c>
      <c r="B90" s="2" t="s">
        <v>167</v>
      </c>
      <c r="C90" s="2" t="s">
        <v>104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</row>
    <row r="91" ht="15.75" customHeight="1">
      <c r="A91" s="2" t="s">
        <v>111</v>
      </c>
      <c r="B91" s="2" t="s">
        <v>167</v>
      </c>
      <c r="C91" s="2" t="s">
        <v>104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</row>
    <row r="92" ht="15.75" customHeight="1">
      <c r="A92" s="2" t="s">
        <v>103</v>
      </c>
      <c r="B92" s="2" t="s">
        <v>111</v>
      </c>
      <c r="C92" s="2" t="s">
        <v>104</v>
      </c>
      <c r="D92" s="2"/>
      <c r="E92" s="2" t="s">
        <v>103</v>
      </c>
      <c r="F92" s="2"/>
      <c r="G92" s="2"/>
      <c r="H92" s="2" t="s">
        <v>129</v>
      </c>
      <c r="I92" s="2" t="s">
        <v>112</v>
      </c>
      <c r="J92" s="2" t="s">
        <v>109</v>
      </c>
      <c r="K92" s="2"/>
      <c r="L92" s="3" t="s">
        <v>279</v>
      </c>
      <c r="M92" s="2" t="s">
        <v>129</v>
      </c>
      <c r="N92" s="2" t="s">
        <v>182</v>
      </c>
      <c r="O92" s="2" t="s">
        <v>107</v>
      </c>
      <c r="P92" s="2"/>
      <c r="Q92" s="2" t="s">
        <v>131</v>
      </c>
      <c r="R92" s="2" t="s">
        <v>197</v>
      </c>
      <c r="S92" s="2" t="s">
        <v>280</v>
      </c>
      <c r="T92" s="2" t="s">
        <v>143</v>
      </c>
      <c r="U92" s="2" t="s">
        <v>138</v>
      </c>
      <c r="V92" s="2" t="s">
        <v>112</v>
      </c>
      <c r="W92" s="2"/>
      <c r="X92" s="2"/>
      <c r="Y92" s="2" t="s">
        <v>134</v>
      </c>
      <c r="Z92" s="2"/>
      <c r="AA92" s="2"/>
      <c r="AB92" s="2" t="s">
        <v>211</v>
      </c>
      <c r="AC92" s="2" t="s">
        <v>130</v>
      </c>
      <c r="AD92" s="2" t="s">
        <v>181</v>
      </c>
      <c r="AE92" s="2"/>
      <c r="AF92" s="2" t="s">
        <v>107</v>
      </c>
      <c r="AG92" s="2"/>
      <c r="AH92" s="2"/>
      <c r="AI92" s="2"/>
      <c r="AJ92" s="2" t="s">
        <v>170</v>
      </c>
      <c r="AK92" s="2"/>
      <c r="AL92" s="2" t="s">
        <v>107</v>
      </c>
      <c r="AM92" s="2" t="s">
        <v>119</v>
      </c>
      <c r="AN92" s="2"/>
      <c r="AO92" s="2"/>
      <c r="AP92" s="2"/>
      <c r="AQ92" s="2"/>
      <c r="AR92" s="2"/>
      <c r="AS92" s="2"/>
      <c r="AT92" s="2" t="s">
        <v>243</v>
      </c>
      <c r="AU92" s="2" t="s">
        <v>281</v>
      </c>
      <c r="AV92" s="2" t="s">
        <v>148</v>
      </c>
      <c r="AW92" s="2" t="s">
        <v>148</v>
      </c>
      <c r="AX92" s="2"/>
      <c r="AY92" s="2" t="s">
        <v>107</v>
      </c>
      <c r="AZ92" s="2" t="s">
        <v>103</v>
      </c>
      <c r="BA92" s="2" t="s">
        <v>120</v>
      </c>
      <c r="BB92" s="2"/>
      <c r="BC92" s="2"/>
      <c r="BD92" s="2" t="s">
        <v>130</v>
      </c>
      <c r="BE92" s="2" t="s">
        <v>123</v>
      </c>
      <c r="BF92" s="2" t="s">
        <v>127</v>
      </c>
      <c r="BG92" s="2" t="s">
        <v>131</v>
      </c>
      <c r="BH92" s="2"/>
      <c r="BI92" s="2"/>
      <c r="BJ92" s="2"/>
      <c r="BK92" s="2"/>
      <c r="BL92" s="2"/>
      <c r="BM92" s="2" t="s">
        <v>130</v>
      </c>
      <c r="BN92" s="2"/>
      <c r="BO92" s="2"/>
      <c r="BP92" s="2"/>
      <c r="BQ92" s="2"/>
      <c r="BR92" s="2"/>
      <c r="BS92" s="2"/>
      <c r="BT92" s="2"/>
      <c r="BU92" s="2"/>
      <c r="BV92" s="2"/>
      <c r="BW92" s="2" t="s">
        <v>197</v>
      </c>
      <c r="BX92" s="2"/>
      <c r="BY92" s="2"/>
      <c r="BZ92" s="2"/>
      <c r="CA92" s="2"/>
      <c r="CB92" s="2"/>
      <c r="CC92" s="2" t="s">
        <v>103</v>
      </c>
      <c r="CD92" s="2" t="s">
        <v>123</v>
      </c>
      <c r="CE92" s="2"/>
      <c r="CF92" s="2"/>
      <c r="CG92" s="2"/>
      <c r="CH92" s="2"/>
      <c r="CI92" s="2"/>
      <c r="CJ92" s="2" t="s">
        <v>137</v>
      </c>
      <c r="CK92" s="2" t="s">
        <v>109</v>
      </c>
      <c r="CL92" s="2"/>
      <c r="CM92" s="2" t="s">
        <v>103</v>
      </c>
      <c r="CN92" s="2"/>
      <c r="CO92" s="2" t="s">
        <v>111</v>
      </c>
      <c r="CP92" s="2"/>
      <c r="CQ92" s="2"/>
      <c r="CR92" s="2"/>
      <c r="CS92" s="2"/>
      <c r="CT92" s="2"/>
      <c r="CU92" s="2"/>
      <c r="CV92" s="2"/>
      <c r="CW92" s="2"/>
      <c r="CX92" s="2" t="s">
        <v>119</v>
      </c>
      <c r="CY92" s="2" t="s">
        <v>169</v>
      </c>
    </row>
    <row r="93" ht="15.75" customHeight="1">
      <c r="A93" s="2" t="s">
        <v>130</v>
      </c>
      <c r="B93" s="2" t="s">
        <v>111</v>
      </c>
      <c r="C93" s="2" t="s">
        <v>104</v>
      </c>
      <c r="D93" s="2"/>
      <c r="E93" s="2" t="s">
        <v>103</v>
      </c>
      <c r="F93" s="2"/>
      <c r="G93" s="2"/>
      <c r="H93" s="2" t="s">
        <v>120</v>
      </c>
      <c r="I93" s="2" t="s">
        <v>133</v>
      </c>
      <c r="J93" s="2" t="s">
        <v>118</v>
      </c>
      <c r="K93" s="2"/>
      <c r="L93" s="2" t="s">
        <v>135</v>
      </c>
      <c r="M93" s="2" t="s">
        <v>107</v>
      </c>
      <c r="N93" s="2" t="s">
        <v>206</v>
      </c>
      <c r="O93" s="2"/>
      <c r="P93" s="2"/>
      <c r="Q93" s="2" t="s">
        <v>107</v>
      </c>
      <c r="R93" s="2" t="s">
        <v>123</v>
      </c>
      <c r="S93" s="2" t="s">
        <v>132</v>
      </c>
      <c r="T93" s="2" t="s">
        <v>134</v>
      </c>
      <c r="U93" s="2" t="s">
        <v>160</v>
      </c>
      <c r="V93" s="2" t="s">
        <v>134</v>
      </c>
      <c r="W93" s="2"/>
      <c r="X93" s="2"/>
      <c r="Y93" s="2" t="s">
        <v>116</v>
      </c>
      <c r="Z93" s="2"/>
      <c r="AA93" s="2"/>
      <c r="AB93" s="2" t="s">
        <v>116</v>
      </c>
      <c r="AC93" s="2"/>
      <c r="AD93" s="2" t="s">
        <v>130</v>
      </c>
      <c r="AE93" s="2"/>
      <c r="AF93" s="2" t="s">
        <v>103</v>
      </c>
      <c r="AG93" s="2" t="s">
        <v>189</v>
      </c>
      <c r="AH93" s="2"/>
      <c r="AI93" s="2"/>
      <c r="AJ93" s="2" t="s">
        <v>132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103</v>
      </c>
      <c r="AW93" s="2" t="s">
        <v>119</v>
      </c>
      <c r="AX93" s="2"/>
      <c r="AY93" s="2" t="s">
        <v>123</v>
      </c>
      <c r="AZ93" s="2"/>
      <c r="BA93" s="2"/>
      <c r="BB93" s="2" t="s">
        <v>103</v>
      </c>
      <c r="BC93" s="2" t="s">
        <v>111</v>
      </c>
      <c r="BD93" s="2" t="s">
        <v>103</v>
      </c>
      <c r="BE93" s="2" t="s">
        <v>113</v>
      </c>
      <c r="BF93" s="3">
        <f>1 + (1/4)</f>
        <v>1.25</v>
      </c>
      <c r="BG93" s="2" t="s">
        <v>107</v>
      </c>
      <c r="BH93" s="2"/>
      <c r="BI93" s="2"/>
      <c r="BJ93" s="2" t="s">
        <v>103</v>
      </c>
      <c r="BK93" s="2" t="s">
        <v>141</v>
      </c>
      <c r="BL93" s="2" t="s">
        <v>141</v>
      </c>
      <c r="BM93" s="2" t="s">
        <v>130</v>
      </c>
      <c r="BN93" s="2"/>
      <c r="BO93" s="2"/>
      <c r="BP93" s="2"/>
      <c r="BQ93" s="2"/>
      <c r="BR93" s="2"/>
      <c r="BS93" s="2"/>
      <c r="BT93" s="2"/>
      <c r="BU93" s="2"/>
      <c r="BV93" s="2"/>
      <c r="BW93" s="2" t="s">
        <v>109</v>
      </c>
      <c r="BX93" s="2"/>
      <c r="BY93" s="2"/>
      <c r="BZ93" s="2"/>
      <c r="CA93" s="2"/>
      <c r="CB93" s="2"/>
      <c r="CC93" s="3">
        <f>1/2</f>
        <v>0.5</v>
      </c>
      <c r="CD93" s="2" t="s">
        <v>113</v>
      </c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</row>
    <row r="94" ht="15.75" customHeight="1">
      <c r="A94" s="2" t="s">
        <v>116</v>
      </c>
      <c r="B94" s="2" t="s">
        <v>111</v>
      </c>
      <c r="C94" s="2" t="s">
        <v>104</v>
      </c>
      <c r="D94" s="2"/>
      <c r="E94" s="2"/>
      <c r="F94" s="2" t="s">
        <v>103</v>
      </c>
      <c r="G94" s="2"/>
      <c r="H94" s="2" t="s">
        <v>107</v>
      </c>
      <c r="I94" s="2" t="s">
        <v>180</v>
      </c>
      <c r="J94" s="2" t="s">
        <v>116</v>
      </c>
      <c r="K94" s="2"/>
      <c r="L94" s="2" t="s">
        <v>135</v>
      </c>
      <c r="M94" s="2" t="s">
        <v>107</v>
      </c>
      <c r="N94" s="2" t="s">
        <v>282</v>
      </c>
      <c r="O94" s="2"/>
      <c r="P94" s="2"/>
      <c r="Q94" s="2"/>
      <c r="R94" s="2"/>
      <c r="S94" s="2" t="s">
        <v>129</v>
      </c>
      <c r="T94" s="2" t="s">
        <v>148</v>
      </c>
      <c r="U94" s="2" t="s">
        <v>226</v>
      </c>
      <c r="V94" s="2" t="s">
        <v>141</v>
      </c>
      <c r="W94" s="2"/>
      <c r="X94" s="2"/>
      <c r="Y94" s="2" t="s">
        <v>116</v>
      </c>
      <c r="Z94" s="2"/>
      <c r="AA94" s="2"/>
      <c r="AB94" s="2" t="s">
        <v>130</v>
      </c>
      <c r="AC94" s="2"/>
      <c r="AD94" s="2" t="s">
        <v>116</v>
      </c>
      <c r="AE94" s="2" t="s">
        <v>103</v>
      </c>
      <c r="AF94" s="2" t="s">
        <v>130</v>
      </c>
      <c r="AG94" s="2" t="s">
        <v>103</v>
      </c>
      <c r="AH94" s="2"/>
      <c r="AI94" s="2"/>
      <c r="AJ94" s="2" t="s">
        <v>131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 t="s">
        <v>116</v>
      </c>
      <c r="AW94" s="2" t="s">
        <v>119</v>
      </c>
      <c r="AX94" s="2"/>
      <c r="AY94" s="2" t="s">
        <v>115</v>
      </c>
      <c r="AZ94" s="3">
        <f>2/3</f>
        <v>0.6666666667</v>
      </c>
      <c r="BA94" s="2" t="s">
        <v>111</v>
      </c>
      <c r="BB94" s="2"/>
      <c r="BC94" s="2"/>
      <c r="BD94" s="2" t="s">
        <v>116</v>
      </c>
      <c r="BE94" s="2" t="s">
        <v>189</v>
      </c>
      <c r="BF94" s="2" t="s">
        <v>116</v>
      </c>
      <c r="BG94" s="2" t="s">
        <v>191</v>
      </c>
      <c r="BH94" s="2"/>
      <c r="BI94" s="2"/>
      <c r="BJ94" s="2" t="s">
        <v>103</v>
      </c>
      <c r="BK94" s="2" t="s">
        <v>167</v>
      </c>
      <c r="BL94" s="2" t="s">
        <v>130</v>
      </c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 t="s">
        <v>197</v>
      </c>
      <c r="BX94" s="2"/>
      <c r="BY94" s="2"/>
      <c r="BZ94" s="2"/>
      <c r="CA94" s="2"/>
      <c r="CB94" s="2"/>
      <c r="CC94" s="2" t="s">
        <v>130</v>
      </c>
      <c r="CD94" s="2" t="s">
        <v>132</v>
      </c>
      <c r="CE94" s="2"/>
      <c r="CF94" s="2"/>
      <c r="CG94" s="2"/>
      <c r="CH94" s="2"/>
      <c r="CI94" s="2"/>
      <c r="CJ94" s="2" t="s">
        <v>119</v>
      </c>
      <c r="CK94" s="2" t="s">
        <v>115</v>
      </c>
      <c r="CL94" s="2"/>
      <c r="CM94" s="2"/>
      <c r="CN94" s="2"/>
      <c r="CO94" s="2" t="s">
        <v>124</v>
      </c>
      <c r="CP94" s="2"/>
      <c r="CQ94" s="2"/>
      <c r="CR94" s="2"/>
      <c r="CS94" s="2"/>
      <c r="CT94" s="2"/>
      <c r="CU94" s="2"/>
      <c r="CV94" s="2"/>
      <c r="CW94" s="2"/>
      <c r="CX94" s="2" t="s">
        <v>124</v>
      </c>
      <c r="CY94" s="2" t="s">
        <v>119</v>
      </c>
    </row>
    <row r="95" ht="15.75" customHeight="1">
      <c r="A95" s="2" t="s">
        <v>125</v>
      </c>
      <c r="B95" s="2" t="s">
        <v>111</v>
      </c>
      <c r="C95" s="2" t="s">
        <v>104</v>
      </c>
      <c r="D95" s="2"/>
      <c r="E95" s="2"/>
      <c r="F95" s="2" t="s">
        <v>103</v>
      </c>
      <c r="G95" s="2"/>
      <c r="H95" s="2" t="s">
        <v>113</v>
      </c>
      <c r="I95" s="2" t="s">
        <v>277</v>
      </c>
      <c r="J95" s="2" t="s">
        <v>133</v>
      </c>
      <c r="K95" s="2"/>
      <c r="L95" s="2" t="s">
        <v>203</v>
      </c>
      <c r="M95" s="2" t="s">
        <v>176</v>
      </c>
      <c r="N95" s="3" t="s">
        <v>155</v>
      </c>
      <c r="O95" s="2"/>
      <c r="P95" s="2"/>
      <c r="Q95" s="2"/>
      <c r="R95" s="2"/>
      <c r="S95" s="2" t="s">
        <v>283</v>
      </c>
      <c r="T95" s="2" t="s">
        <v>123</v>
      </c>
      <c r="U95" s="2" t="s">
        <v>128</v>
      </c>
      <c r="V95" s="2" t="s">
        <v>123</v>
      </c>
      <c r="W95" s="2"/>
      <c r="X95" s="2"/>
      <c r="Y95" s="2" t="s">
        <v>124</v>
      </c>
      <c r="Z95" s="2"/>
      <c r="AA95" s="2"/>
      <c r="AB95" s="2" t="s">
        <v>157</v>
      </c>
      <c r="AC95" s="2" t="s">
        <v>130</v>
      </c>
      <c r="AD95" s="2" t="s">
        <v>124</v>
      </c>
      <c r="AE95" s="2" t="s">
        <v>103</v>
      </c>
      <c r="AF95" s="2" t="s">
        <v>125</v>
      </c>
      <c r="AG95" s="2"/>
      <c r="AH95" s="2"/>
      <c r="AI95" s="2"/>
      <c r="AJ95" s="2" t="s">
        <v>155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 t="s">
        <v>119</v>
      </c>
      <c r="AX95" s="2"/>
      <c r="AY95" s="2" t="s">
        <v>115</v>
      </c>
      <c r="AZ95" s="2" t="s">
        <v>103</v>
      </c>
      <c r="BA95" s="2" t="s">
        <v>133</v>
      </c>
      <c r="BB95" s="2"/>
      <c r="BC95" s="2"/>
      <c r="BD95" s="2" t="s">
        <v>118</v>
      </c>
      <c r="BE95" s="2" t="s">
        <v>209</v>
      </c>
      <c r="BF95" s="2" t="s">
        <v>137</v>
      </c>
      <c r="BG95" s="2" t="s">
        <v>252</v>
      </c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4">
        <f>2 + (1/2)</f>
        <v>2.5</v>
      </c>
      <c r="CD95" s="2" t="s">
        <v>112</v>
      </c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 t="s">
        <v>111</v>
      </c>
      <c r="CY95" s="2" t="s">
        <v>137</v>
      </c>
    </row>
    <row r="96" ht="15.75" customHeight="1">
      <c r="A96" s="2" t="s">
        <v>118</v>
      </c>
      <c r="B96" s="2" t="s">
        <v>111</v>
      </c>
      <c r="C96" s="2" t="s">
        <v>104</v>
      </c>
      <c r="D96" s="2"/>
      <c r="E96" s="2"/>
      <c r="F96" s="2"/>
      <c r="G96" s="2" t="s">
        <v>103</v>
      </c>
      <c r="H96" s="2" t="s">
        <v>107</v>
      </c>
      <c r="I96" s="2" t="s">
        <v>132</v>
      </c>
      <c r="J96" s="2" t="s">
        <v>197</v>
      </c>
      <c r="K96" s="2"/>
      <c r="L96" s="2" t="s">
        <v>170</v>
      </c>
      <c r="M96" s="2" t="s">
        <v>109</v>
      </c>
      <c r="N96" s="2" t="s">
        <v>136</v>
      </c>
      <c r="O96" s="2"/>
      <c r="P96" s="2"/>
      <c r="Q96" s="2"/>
      <c r="R96" s="2"/>
      <c r="S96" s="2" t="s">
        <v>139</v>
      </c>
      <c r="T96" s="2" t="s">
        <v>113</v>
      </c>
      <c r="U96" s="2" t="s">
        <v>158</v>
      </c>
      <c r="V96" s="2" t="s">
        <v>123</v>
      </c>
      <c r="W96" s="2"/>
      <c r="X96" s="2"/>
      <c r="Y96" s="2" t="s">
        <v>130</v>
      </c>
      <c r="Z96" s="2"/>
      <c r="AA96" s="2"/>
      <c r="AB96" s="2" t="s">
        <v>111</v>
      </c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3" t="s">
        <v>116</v>
      </c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</row>
    <row r="97" ht="15.75" customHeight="1">
      <c r="A97" s="2" t="s">
        <v>124</v>
      </c>
      <c r="B97" s="2" t="s">
        <v>111</v>
      </c>
      <c r="C97" s="2" t="s">
        <v>104</v>
      </c>
      <c r="D97" s="2"/>
      <c r="E97" s="2" t="s">
        <v>103</v>
      </c>
      <c r="F97" s="2"/>
      <c r="G97" s="2"/>
      <c r="H97" s="2" t="s">
        <v>124</v>
      </c>
      <c r="I97" s="2"/>
      <c r="J97" s="2"/>
      <c r="K97" s="2"/>
      <c r="L97" s="2" t="s">
        <v>131</v>
      </c>
      <c r="M97" s="2"/>
      <c r="N97" s="2" t="s">
        <v>260</v>
      </c>
      <c r="O97" s="2"/>
      <c r="P97" s="2"/>
      <c r="Q97" s="2"/>
      <c r="R97" s="2"/>
      <c r="S97" s="2" t="s">
        <v>123</v>
      </c>
      <c r="T97" s="2" t="s">
        <v>103</v>
      </c>
      <c r="U97" s="2"/>
      <c r="V97" s="2" t="s">
        <v>103</v>
      </c>
      <c r="W97" s="2"/>
      <c r="X97" s="2"/>
      <c r="Y97" s="2" t="s">
        <v>130</v>
      </c>
      <c r="Z97" s="2"/>
      <c r="AA97" s="2"/>
      <c r="AB97" s="2" t="s">
        <v>103</v>
      </c>
      <c r="AC97" s="2"/>
      <c r="AD97" s="2"/>
      <c r="AE97" s="2"/>
      <c r="AF97" s="2"/>
      <c r="AG97" s="2"/>
      <c r="AH97" s="2"/>
      <c r="AI97" s="2"/>
      <c r="AJ97" s="2" t="s">
        <v>123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 t="s">
        <v>130</v>
      </c>
      <c r="AW97" s="2" t="s">
        <v>124</v>
      </c>
      <c r="AX97" s="2"/>
      <c r="AY97" s="2" t="s">
        <v>133</v>
      </c>
      <c r="AZ97" s="2" t="s">
        <v>103</v>
      </c>
      <c r="BA97" s="2" t="s">
        <v>137</v>
      </c>
      <c r="BB97" s="2"/>
      <c r="BC97" s="2"/>
      <c r="BD97" s="2" t="s">
        <v>103</v>
      </c>
      <c r="BE97" s="2" t="s">
        <v>120</v>
      </c>
      <c r="BF97" s="2"/>
      <c r="BG97" s="2"/>
      <c r="BH97" s="2"/>
      <c r="BI97" s="2"/>
      <c r="BJ97" s="2" t="s">
        <v>103</v>
      </c>
      <c r="BK97" s="2" t="s">
        <v>120</v>
      </c>
      <c r="BL97" s="2"/>
      <c r="BM97" s="2" t="s">
        <v>103</v>
      </c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</row>
    <row r="98" ht="15.75" customHeight="1">
      <c r="A98" s="2" t="s">
        <v>157</v>
      </c>
      <c r="B98" s="2" t="s">
        <v>111</v>
      </c>
      <c r="C98" s="2" t="s">
        <v>104</v>
      </c>
      <c r="D98" s="2"/>
      <c r="E98" s="2" t="s">
        <v>103</v>
      </c>
      <c r="F98" s="2"/>
      <c r="G98" s="2"/>
      <c r="H98" s="2" t="s">
        <v>115</v>
      </c>
      <c r="I98" s="2" t="s">
        <v>115</v>
      </c>
      <c r="J98" s="2" t="s">
        <v>111</v>
      </c>
      <c r="K98" s="2"/>
      <c r="L98" s="2" t="s">
        <v>284</v>
      </c>
      <c r="M98" s="2" t="s">
        <v>129</v>
      </c>
      <c r="N98" s="2" t="s">
        <v>285</v>
      </c>
      <c r="O98" s="2"/>
      <c r="P98" s="2"/>
      <c r="Q98" s="2" t="s">
        <v>107</v>
      </c>
      <c r="R98" s="2"/>
      <c r="S98" s="2" t="s">
        <v>175</v>
      </c>
      <c r="T98" s="2" t="s">
        <v>123</v>
      </c>
      <c r="U98" s="2" t="s">
        <v>115</v>
      </c>
      <c r="V98" s="2" t="s">
        <v>123</v>
      </c>
      <c r="W98" s="2"/>
      <c r="X98" s="2"/>
      <c r="Y98" s="2" t="s">
        <v>130</v>
      </c>
      <c r="Z98" s="2"/>
      <c r="AA98" s="2"/>
      <c r="AB98" s="2" t="s">
        <v>148</v>
      </c>
      <c r="AC98" s="2" t="s">
        <v>148</v>
      </c>
      <c r="AD98" s="2" t="s">
        <v>120</v>
      </c>
      <c r="AE98" s="2"/>
      <c r="AF98" s="2" t="s">
        <v>137</v>
      </c>
      <c r="AG98" s="2" t="s">
        <v>125</v>
      </c>
      <c r="AH98" s="2"/>
      <c r="AI98" s="2"/>
      <c r="AJ98" s="2" t="s">
        <v>121</v>
      </c>
      <c r="AK98" s="2"/>
      <c r="AL98" s="2" t="s">
        <v>105</v>
      </c>
      <c r="AM98" s="2" t="s">
        <v>107</v>
      </c>
      <c r="AN98" s="2" t="s">
        <v>286</v>
      </c>
      <c r="AO98" s="2" t="s">
        <v>127</v>
      </c>
      <c r="AP98" s="2"/>
      <c r="AQ98" s="2"/>
      <c r="AR98" s="2"/>
      <c r="AS98" s="2"/>
      <c r="AT98" s="2" t="s">
        <v>105</v>
      </c>
      <c r="AU98" s="2" t="s">
        <v>287</v>
      </c>
      <c r="AV98" s="2" t="s">
        <v>103</v>
      </c>
      <c r="AW98" s="2" t="s">
        <v>181</v>
      </c>
      <c r="AX98" s="2"/>
      <c r="AY98" s="2" t="s">
        <v>132</v>
      </c>
      <c r="AZ98" s="2"/>
      <c r="BA98" s="2"/>
      <c r="BB98" s="2" t="s">
        <v>103</v>
      </c>
      <c r="BC98" s="2" t="s">
        <v>180</v>
      </c>
      <c r="BD98" s="2" t="s">
        <v>130</v>
      </c>
      <c r="BE98" s="2" t="s">
        <v>107</v>
      </c>
      <c r="BF98" s="2" t="s">
        <v>118</v>
      </c>
      <c r="BG98" s="2" t="s">
        <v>112</v>
      </c>
      <c r="BH98" s="2"/>
      <c r="BI98" s="2"/>
      <c r="BJ98" s="2"/>
      <c r="BK98" s="2"/>
      <c r="BL98" s="2"/>
      <c r="BM98" s="2" t="s">
        <v>119</v>
      </c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3">
        <f>1/2</f>
        <v>0.5</v>
      </c>
      <c r="CD98" s="2" t="s">
        <v>123</v>
      </c>
      <c r="CE98" s="2"/>
      <c r="CF98" s="2"/>
      <c r="CG98" s="2"/>
      <c r="CH98" s="2"/>
      <c r="CI98" s="2"/>
      <c r="CJ98" s="2" t="s">
        <v>119</v>
      </c>
      <c r="CK98" s="2" t="s">
        <v>123</v>
      </c>
      <c r="CL98" s="2"/>
      <c r="CM98" s="2"/>
      <c r="CN98" s="2"/>
      <c r="CO98" s="2" t="s">
        <v>118</v>
      </c>
      <c r="CP98" s="2"/>
      <c r="CQ98" s="2"/>
      <c r="CR98" s="2"/>
      <c r="CS98" s="2"/>
      <c r="CT98" s="2"/>
      <c r="CU98" s="2"/>
      <c r="CV98" s="2"/>
      <c r="CW98" s="2"/>
      <c r="CX98" s="2" t="s">
        <v>111</v>
      </c>
      <c r="CY98" s="2" t="s">
        <v>137</v>
      </c>
    </row>
    <row r="99" ht="15.75" customHeight="1">
      <c r="A99" s="2" t="s">
        <v>134</v>
      </c>
      <c r="B99" s="2" t="s">
        <v>111</v>
      </c>
      <c r="C99" s="2" t="s">
        <v>104</v>
      </c>
      <c r="D99" s="2"/>
      <c r="E99" s="2" t="s">
        <v>103</v>
      </c>
      <c r="F99" s="2"/>
      <c r="G99" s="2"/>
      <c r="H99" s="2" t="s">
        <v>115</v>
      </c>
      <c r="I99" s="2" t="s">
        <v>173</v>
      </c>
      <c r="J99" s="2"/>
      <c r="K99" s="2" t="s">
        <v>111</v>
      </c>
      <c r="L99" s="2" t="s">
        <v>288</v>
      </c>
      <c r="M99" s="2"/>
      <c r="N99" s="2" t="s">
        <v>129</v>
      </c>
      <c r="O99" s="2" t="s">
        <v>123</v>
      </c>
      <c r="P99" s="2"/>
      <c r="Q99" s="2" t="s">
        <v>114</v>
      </c>
      <c r="R99" s="2" t="s">
        <v>233</v>
      </c>
      <c r="S99" s="2" t="s">
        <v>289</v>
      </c>
      <c r="T99" s="2" t="s">
        <v>172</v>
      </c>
      <c r="U99" s="2" t="s">
        <v>133</v>
      </c>
      <c r="V99" s="2" t="s">
        <v>197</v>
      </c>
      <c r="W99" s="2"/>
      <c r="X99" s="2"/>
      <c r="Y99" s="2" t="s">
        <v>130</v>
      </c>
      <c r="Z99" s="2"/>
      <c r="AA99" s="2"/>
      <c r="AB99" s="2" t="s">
        <v>116</v>
      </c>
      <c r="AC99" s="2"/>
      <c r="AD99" s="2" t="s">
        <v>130</v>
      </c>
      <c r="AE99" s="2"/>
      <c r="AF99" s="2"/>
      <c r="AG99" s="2"/>
      <c r="AH99" s="2"/>
      <c r="AI99" s="2"/>
      <c r="AJ99" s="2" t="s">
        <v>139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 t="s">
        <v>132</v>
      </c>
      <c r="AX99" s="2"/>
      <c r="AY99" s="2" t="s">
        <v>131</v>
      </c>
      <c r="AZ99" s="2" t="s">
        <v>127</v>
      </c>
      <c r="BA99" s="2" t="s">
        <v>139</v>
      </c>
      <c r="BB99" s="2" t="s">
        <v>130</v>
      </c>
      <c r="BC99" s="2" t="s">
        <v>109</v>
      </c>
      <c r="BD99" s="2" t="s">
        <v>130</v>
      </c>
      <c r="BE99" s="2" t="s">
        <v>109</v>
      </c>
      <c r="BF99" s="2" t="s">
        <v>157</v>
      </c>
      <c r="BG99" s="2" t="s">
        <v>150</v>
      </c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3">
        <f>3/4</f>
        <v>0.75</v>
      </c>
      <c r="CD99" s="2" t="s">
        <v>112</v>
      </c>
      <c r="CE99" s="2"/>
      <c r="CF99" s="2"/>
      <c r="CG99" s="2"/>
      <c r="CH99" s="2"/>
      <c r="CI99" s="2"/>
      <c r="CJ99" s="2" t="s">
        <v>137</v>
      </c>
      <c r="CK99" s="2" t="s">
        <v>109</v>
      </c>
      <c r="CL99" s="2"/>
      <c r="CM99" s="2"/>
      <c r="CN99" s="2"/>
      <c r="CO99" s="2" t="s">
        <v>157</v>
      </c>
      <c r="CP99" s="2"/>
      <c r="CQ99" s="2"/>
      <c r="CR99" s="2"/>
      <c r="CS99" s="2"/>
      <c r="CT99" s="2"/>
      <c r="CU99" s="2"/>
      <c r="CV99" s="2"/>
      <c r="CW99" s="2"/>
      <c r="CX99" s="2"/>
      <c r="CY99" s="2"/>
    </row>
    <row r="100" ht="15.75" customHeight="1">
      <c r="A100" s="2" t="s">
        <v>167</v>
      </c>
      <c r="B100" s="2" t="s">
        <v>111</v>
      </c>
      <c r="C100" s="2" t="s">
        <v>104</v>
      </c>
      <c r="D100" s="2"/>
      <c r="E100" s="2" t="s">
        <v>103</v>
      </c>
      <c r="F100" s="2"/>
      <c r="G100" s="2"/>
      <c r="H100" s="2" t="s">
        <v>240</v>
      </c>
      <c r="I100" s="2"/>
      <c r="J100" s="2" t="s">
        <v>116</v>
      </c>
      <c r="K100" s="2"/>
      <c r="L100" s="2" t="s">
        <v>251</v>
      </c>
      <c r="M100" s="2" t="s">
        <v>139</v>
      </c>
      <c r="N100" s="2" t="s">
        <v>290</v>
      </c>
      <c r="O100" s="2" t="s">
        <v>115</v>
      </c>
      <c r="P100" s="2"/>
      <c r="Q100" s="2"/>
      <c r="R100" s="2"/>
      <c r="S100" s="2" t="s">
        <v>114</v>
      </c>
      <c r="T100" s="2" t="s">
        <v>130</v>
      </c>
      <c r="U100" s="2"/>
      <c r="V100" s="2" t="s">
        <v>130</v>
      </c>
      <c r="W100" s="2"/>
      <c r="X100" s="2"/>
      <c r="Y100" s="2" t="s">
        <v>148</v>
      </c>
      <c r="Z100" s="2"/>
      <c r="AA100" s="2" t="s">
        <v>103</v>
      </c>
      <c r="AB100" s="3" t="s">
        <v>125</v>
      </c>
      <c r="AC100" s="2" t="s">
        <v>291</v>
      </c>
      <c r="AD100" s="2" t="s">
        <v>130</v>
      </c>
      <c r="AE100" s="2" t="s">
        <v>150</v>
      </c>
      <c r="AF100" s="3" t="s">
        <v>139</v>
      </c>
      <c r="AG100" s="2"/>
      <c r="AH100" s="2"/>
      <c r="AI100" s="2"/>
      <c r="AJ100" s="2" t="s">
        <v>131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 t="s">
        <v>130</v>
      </c>
      <c r="AW100" s="2" t="s">
        <v>119</v>
      </c>
      <c r="AX100" s="2"/>
      <c r="AY100" s="2" t="s">
        <v>115</v>
      </c>
      <c r="AZ100" s="2"/>
      <c r="BA100" s="2"/>
      <c r="BB100" s="2" t="s">
        <v>103</v>
      </c>
      <c r="BC100" s="2" t="s">
        <v>137</v>
      </c>
      <c r="BD100" s="2"/>
      <c r="BE100" s="2" t="s">
        <v>112</v>
      </c>
      <c r="BF100" s="2" t="s">
        <v>141</v>
      </c>
      <c r="BG100" s="2" t="s">
        <v>114</v>
      </c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 t="s">
        <v>124</v>
      </c>
      <c r="CD100" s="2" t="s">
        <v>114</v>
      </c>
      <c r="CE100" s="2"/>
      <c r="CF100" s="2"/>
      <c r="CG100" s="2"/>
      <c r="CH100" s="2"/>
      <c r="CI100" s="2"/>
      <c r="CJ100" s="2" t="s">
        <v>107</v>
      </c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</row>
    <row r="101" ht="15.75" customHeight="1">
      <c r="A101" s="2" t="s">
        <v>111</v>
      </c>
      <c r="B101" s="2" t="s">
        <v>111</v>
      </c>
      <c r="C101" s="2" t="s">
        <v>104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</row>
    <row r="102" ht="15.75" customHeight="1">
      <c r="A102" s="2" t="s">
        <v>103</v>
      </c>
      <c r="B102" s="2" t="s">
        <v>148</v>
      </c>
      <c r="C102" s="2" t="s">
        <v>104</v>
      </c>
      <c r="D102" s="2"/>
      <c r="E102" s="2" t="s">
        <v>103</v>
      </c>
      <c r="F102" s="2"/>
      <c r="G102" s="2"/>
      <c r="H102" s="2" t="s">
        <v>171</v>
      </c>
      <c r="I102" s="2" t="s">
        <v>119</v>
      </c>
      <c r="J102" s="2"/>
      <c r="K102" s="2"/>
      <c r="L102" s="2" t="s">
        <v>251</v>
      </c>
      <c r="M102" s="2"/>
      <c r="N102" s="2" t="s">
        <v>132</v>
      </c>
      <c r="O102" s="2"/>
      <c r="P102" s="2"/>
      <c r="Q102" s="2" t="s">
        <v>195</v>
      </c>
      <c r="R102" s="2" t="s">
        <v>137</v>
      </c>
      <c r="S102" s="2" t="s">
        <v>112</v>
      </c>
      <c r="T102" s="2" t="s">
        <v>137</v>
      </c>
      <c r="U102" s="2" t="s">
        <v>119</v>
      </c>
      <c r="V102" s="2" t="s">
        <v>137</v>
      </c>
      <c r="W102" s="2"/>
      <c r="X102" s="2"/>
      <c r="Y102" s="2" t="s">
        <v>103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 t="s">
        <v>148</v>
      </c>
      <c r="AX102" s="2"/>
      <c r="AY102" s="2" t="s">
        <v>115</v>
      </c>
      <c r="AZ102" s="2"/>
      <c r="BA102" s="2" t="s">
        <v>115</v>
      </c>
      <c r="BB102" s="2"/>
      <c r="BC102" s="2"/>
      <c r="BD102" s="2"/>
      <c r="BE102" s="2"/>
      <c r="BF102" s="2" t="s">
        <v>116</v>
      </c>
      <c r="BG102" s="2" t="s">
        <v>132</v>
      </c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>
        <f t="shared" ref="CC102:CC103" si="14">1/2</f>
        <v>0.5</v>
      </c>
      <c r="CD102" s="2" t="s">
        <v>113</v>
      </c>
      <c r="CE102" s="2"/>
      <c r="CF102" s="2"/>
      <c r="CG102" s="2"/>
      <c r="CH102" s="2"/>
      <c r="CI102" s="2"/>
      <c r="CJ102" s="2" t="s">
        <v>119</v>
      </c>
      <c r="CK102" s="2" t="s">
        <v>137</v>
      </c>
      <c r="CL102" s="2"/>
      <c r="CM102" s="2"/>
      <c r="CN102" s="2"/>
      <c r="CO102" s="2" t="s">
        <v>118</v>
      </c>
      <c r="CP102" s="2"/>
      <c r="CQ102" s="2"/>
      <c r="CR102" s="2"/>
      <c r="CS102" s="2"/>
      <c r="CT102" s="2"/>
      <c r="CU102" s="2"/>
      <c r="CV102" s="2"/>
      <c r="CW102" s="2"/>
      <c r="CX102" s="2"/>
      <c r="CY102" s="2"/>
    </row>
    <row r="103" ht="15.75" customHeight="1">
      <c r="A103" s="2" t="s">
        <v>130</v>
      </c>
      <c r="B103" s="2" t="s">
        <v>148</v>
      </c>
      <c r="C103" s="2" t="s">
        <v>104</v>
      </c>
      <c r="D103" s="2"/>
      <c r="E103" s="2"/>
      <c r="F103" s="2" t="s">
        <v>103</v>
      </c>
      <c r="G103" s="2"/>
      <c r="H103" s="2"/>
      <c r="I103" s="2"/>
      <c r="J103" s="2"/>
      <c r="K103" s="2"/>
      <c r="L103" s="2" t="s">
        <v>163</v>
      </c>
      <c r="M103" s="2" t="s">
        <v>107</v>
      </c>
      <c r="N103" s="2" t="s">
        <v>206</v>
      </c>
      <c r="O103" s="2" t="s">
        <v>118</v>
      </c>
      <c r="P103" s="2"/>
      <c r="Q103" s="2" t="s">
        <v>123</v>
      </c>
      <c r="R103" s="2" t="s">
        <v>120</v>
      </c>
      <c r="S103" s="2" t="s">
        <v>255</v>
      </c>
      <c r="T103" s="2" t="s">
        <v>137</v>
      </c>
      <c r="U103" s="2"/>
      <c r="V103" s="2" t="s">
        <v>148</v>
      </c>
      <c r="W103" s="2"/>
      <c r="X103" s="2"/>
      <c r="Y103" s="2" t="s">
        <v>103</v>
      </c>
      <c r="Z103" s="2"/>
      <c r="AA103" s="2"/>
      <c r="AB103" s="2" t="s">
        <v>124</v>
      </c>
      <c r="AC103" s="2" t="s">
        <v>103</v>
      </c>
      <c r="AD103" s="2" t="s">
        <v>134</v>
      </c>
      <c r="AE103" s="2" t="s">
        <v>103</v>
      </c>
      <c r="AF103" s="2" t="s">
        <v>157</v>
      </c>
      <c r="AG103" s="2"/>
      <c r="AH103" s="2"/>
      <c r="AI103" s="2"/>
      <c r="AJ103" s="2" t="s">
        <v>159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103</v>
      </c>
      <c r="AW103" s="2" t="s">
        <v>124</v>
      </c>
      <c r="AX103" s="2"/>
      <c r="AY103" s="2" t="s">
        <v>107</v>
      </c>
      <c r="AZ103" s="2"/>
      <c r="BA103" s="2"/>
      <c r="BB103" s="2"/>
      <c r="BC103" s="2"/>
      <c r="BD103" s="4">
        <f>1 + (1/2)</f>
        <v>1.5</v>
      </c>
      <c r="BE103" s="2" t="s">
        <v>133</v>
      </c>
      <c r="BF103" s="2" t="s">
        <v>118</v>
      </c>
      <c r="BG103" s="2" t="s">
        <v>292</v>
      </c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 t="s">
        <v>112</v>
      </c>
      <c r="BX103" s="2"/>
      <c r="BY103" s="2"/>
      <c r="BZ103" s="2"/>
      <c r="CA103" s="2"/>
      <c r="CB103" s="2"/>
      <c r="CC103" s="2">
        <f t="shared" si="14"/>
        <v>0.5</v>
      </c>
      <c r="CD103" s="2" t="s">
        <v>113</v>
      </c>
      <c r="CE103" s="2"/>
      <c r="CF103" s="2"/>
      <c r="CG103" s="2"/>
      <c r="CH103" s="2"/>
      <c r="CI103" s="2"/>
      <c r="CJ103" s="2" t="s">
        <v>107</v>
      </c>
      <c r="CK103" s="2" t="s">
        <v>132</v>
      </c>
      <c r="CL103" s="2"/>
      <c r="CM103" s="2"/>
      <c r="CN103" s="2"/>
      <c r="CO103" s="2" t="s">
        <v>111</v>
      </c>
      <c r="CP103" s="2"/>
      <c r="CQ103" s="2"/>
      <c r="CR103" s="2"/>
      <c r="CS103" s="2"/>
      <c r="CT103" s="2"/>
      <c r="CU103" s="2"/>
      <c r="CV103" s="2"/>
      <c r="CW103" s="2"/>
      <c r="CX103" s="2" t="s">
        <v>111</v>
      </c>
      <c r="CY103" s="2" t="s">
        <v>137</v>
      </c>
    </row>
    <row r="104" ht="15.75" customHeight="1">
      <c r="A104" s="2" t="s">
        <v>116</v>
      </c>
      <c r="B104" s="2" t="s">
        <v>148</v>
      </c>
      <c r="C104" s="2" t="s">
        <v>104</v>
      </c>
      <c r="D104" s="2"/>
      <c r="E104" s="2"/>
      <c r="F104" s="2" t="s">
        <v>103</v>
      </c>
      <c r="G104" s="2"/>
      <c r="H104" s="2" t="s">
        <v>133</v>
      </c>
      <c r="I104" s="2" t="s">
        <v>293</v>
      </c>
      <c r="J104" s="2"/>
      <c r="K104" s="2"/>
      <c r="L104" s="2" t="s">
        <v>165</v>
      </c>
      <c r="M104" s="2" t="s">
        <v>112</v>
      </c>
      <c r="N104" s="2" t="s">
        <v>161</v>
      </c>
      <c r="O104" s="2"/>
      <c r="P104" s="2"/>
      <c r="Q104" s="2" t="s">
        <v>294</v>
      </c>
      <c r="R104" s="2" t="s">
        <v>289</v>
      </c>
      <c r="S104" s="2" t="s">
        <v>160</v>
      </c>
      <c r="T104" s="2" t="s">
        <v>133</v>
      </c>
      <c r="U104" s="3" t="s">
        <v>293</v>
      </c>
      <c r="V104" s="2" t="s">
        <v>107</v>
      </c>
      <c r="W104" s="2"/>
      <c r="X104" s="2"/>
      <c r="Y104" s="2" t="s">
        <v>116</v>
      </c>
      <c r="Z104" s="2"/>
      <c r="AA104" s="2"/>
      <c r="AB104" s="2" t="s">
        <v>211</v>
      </c>
      <c r="AC104" s="2"/>
      <c r="AD104" s="2" t="s">
        <v>127</v>
      </c>
      <c r="AE104" s="2"/>
      <c r="AF104" s="2" t="s">
        <v>124</v>
      </c>
      <c r="AG104" s="2"/>
      <c r="AH104" s="2" t="s">
        <v>103</v>
      </c>
      <c r="AI104" s="2"/>
      <c r="AJ104" s="2" t="s">
        <v>135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 t="s">
        <v>130</v>
      </c>
      <c r="AW104" s="2" t="s">
        <v>120</v>
      </c>
      <c r="AX104" s="2"/>
      <c r="AY104" s="2" t="s">
        <v>113</v>
      </c>
      <c r="AZ104" s="2"/>
      <c r="BA104" s="2"/>
      <c r="BB104" s="2"/>
      <c r="BC104" s="2"/>
      <c r="BD104" s="4">
        <f>2 + (1/2)</f>
        <v>2.5</v>
      </c>
      <c r="BE104" s="2" t="s">
        <v>209</v>
      </c>
      <c r="BF104" s="2" t="s">
        <v>125</v>
      </c>
      <c r="BG104" s="2" t="s">
        <v>132</v>
      </c>
      <c r="BH104" s="2"/>
      <c r="BI104" s="2"/>
      <c r="BJ104" s="2" t="s">
        <v>103</v>
      </c>
      <c r="BK104" s="2" t="s">
        <v>127</v>
      </c>
      <c r="BL104" s="2"/>
      <c r="BM104" s="2" t="s">
        <v>103</v>
      </c>
      <c r="BN104" s="2"/>
      <c r="BO104" s="2"/>
      <c r="BP104" s="2"/>
      <c r="BQ104" s="2"/>
      <c r="BR104" s="2"/>
      <c r="BS104" s="2"/>
      <c r="BT104" s="2"/>
      <c r="BU104" s="2"/>
      <c r="BV104" s="2"/>
      <c r="BW104" s="2" t="s">
        <v>139</v>
      </c>
      <c r="BX104" s="2"/>
      <c r="BY104" s="2"/>
      <c r="BZ104" s="2"/>
      <c r="CA104" s="2"/>
      <c r="CB104" s="2"/>
      <c r="CC104" s="2">
        <f>1 + (1/4)</f>
        <v>1.25</v>
      </c>
      <c r="CD104" s="2" t="s">
        <v>112</v>
      </c>
      <c r="CE104" s="2"/>
      <c r="CF104" s="2"/>
      <c r="CG104" s="2"/>
      <c r="CH104" s="2"/>
      <c r="CI104" s="3" t="s">
        <v>125</v>
      </c>
      <c r="CJ104" s="2" t="s">
        <v>113</v>
      </c>
      <c r="CK104" s="2" t="s">
        <v>109</v>
      </c>
      <c r="CL104" s="2"/>
      <c r="CM104" s="2"/>
      <c r="CN104" s="2"/>
      <c r="CO104" s="2" t="s">
        <v>120</v>
      </c>
      <c r="CP104" s="2"/>
      <c r="CQ104" s="2"/>
      <c r="CR104" s="2"/>
      <c r="CS104" s="2"/>
      <c r="CT104" s="2"/>
      <c r="CU104" s="2"/>
      <c r="CV104" s="2"/>
      <c r="CW104" s="2"/>
      <c r="CX104" s="2"/>
      <c r="CY104" s="2"/>
    </row>
    <row r="105" ht="15.75" customHeight="1">
      <c r="A105" s="2" t="s">
        <v>125</v>
      </c>
      <c r="B105" s="2" t="s">
        <v>148</v>
      </c>
      <c r="C105" s="2" t="s">
        <v>104</v>
      </c>
      <c r="D105" s="2"/>
      <c r="E105" s="2" t="s">
        <v>103</v>
      </c>
      <c r="F105" s="2"/>
      <c r="G105" s="2"/>
      <c r="H105" s="2" t="s">
        <v>137</v>
      </c>
      <c r="I105" s="2" t="s">
        <v>133</v>
      </c>
      <c r="J105" s="2" t="s">
        <v>125</v>
      </c>
      <c r="K105" s="2"/>
      <c r="L105" s="2" t="s">
        <v>203</v>
      </c>
      <c r="M105" s="2" t="s">
        <v>129</v>
      </c>
      <c r="N105" s="2" t="s">
        <v>295</v>
      </c>
      <c r="O105" s="2" t="s">
        <v>118</v>
      </c>
      <c r="P105" s="2"/>
      <c r="Q105" s="2" t="s">
        <v>107</v>
      </c>
      <c r="R105" s="2" t="s">
        <v>134</v>
      </c>
      <c r="S105" s="2" t="s">
        <v>295</v>
      </c>
      <c r="T105" s="2" t="s">
        <v>156</v>
      </c>
      <c r="U105" s="2" t="s">
        <v>133</v>
      </c>
      <c r="V105" s="2" t="s">
        <v>156</v>
      </c>
      <c r="W105" s="2"/>
      <c r="X105" s="2"/>
      <c r="Y105" s="2" t="s">
        <v>103</v>
      </c>
      <c r="Z105" s="2"/>
      <c r="AA105" s="2"/>
      <c r="AB105" s="2" t="s">
        <v>134</v>
      </c>
      <c r="AC105" s="2" t="s">
        <v>130</v>
      </c>
      <c r="AD105" s="2" t="s">
        <v>134</v>
      </c>
      <c r="AE105" s="2"/>
      <c r="AF105" s="2" t="s">
        <v>124</v>
      </c>
      <c r="AG105" s="2"/>
      <c r="AH105" s="2"/>
      <c r="AI105" s="2"/>
      <c r="AJ105" s="2" t="s">
        <v>149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 t="s">
        <v>130</v>
      </c>
      <c r="AW105" s="2" t="s">
        <v>211</v>
      </c>
      <c r="AX105" s="2"/>
      <c r="AY105" s="2" t="s">
        <v>109</v>
      </c>
      <c r="AZ105" s="2"/>
      <c r="BA105" s="2"/>
      <c r="BB105" s="2"/>
      <c r="BC105" s="2"/>
      <c r="BD105" s="2" t="s">
        <v>103</v>
      </c>
      <c r="BE105" s="2" t="s">
        <v>122</v>
      </c>
      <c r="BF105" s="2" t="s">
        <v>103</v>
      </c>
      <c r="BG105" s="2" t="s">
        <v>191</v>
      </c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 t="s">
        <v>139</v>
      </c>
      <c r="BX105" s="2"/>
      <c r="BY105" s="2"/>
      <c r="BZ105" s="2"/>
      <c r="CA105" s="2"/>
      <c r="CB105" s="2"/>
      <c r="CC105" s="2" t="s">
        <v>103</v>
      </c>
      <c r="CD105" s="2" t="s">
        <v>168</v>
      </c>
      <c r="CE105" s="2"/>
      <c r="CF105" s="2"/>
      <c r="CG105" s="2"/>
      <c r="CH105" s="2"/>
      <c r="CI105" s="2"/>
      <c r="CJ105" s="2" t="s">
        <v>113</v>
      </c>
      <c r="CK105" s="2" t="s">
        <v>176</v>
      </c>
      <c r="CL105" s="2"/>
      <c r="CM105" s="2"/>
      <c r="CN105" s="2"/>
      <c r="CO105" s="2" t="s">
        <v>137</v>
      </c>
      <c r="CP105" s="2"/>
      <c r="CQ105" s="2"/>
      <c r="CR105" s="2"/>
      <c r="CS105" s="2"/>
      <c r="CT105" s="2"/>
      <c r="CU105" s="2"/>
      <c r="CV105" s="2"/>
      <c r="CW105" s="2"/>
      <c r="CX105" s="2"/>
      <c r="CY105" s="2"/>
    </row>
    <row r="106" ht="15.75" customHeight="1">
      <c r="A106" s="2" t="s">
        <v>118</v>
      </c>
      <c r="B106" s="2" t="s">
        <v>148</v>
      </c>
      <c r="C106" s="2" t="s">
        <v>104</v>
      </c>
      <c r="D106" s="2"/>
      <c r="E106" s="2"/>
      <c r="F106" s="2" t="s">
        <v>103</v>
      </c>
      <c r="G106" s="2"/>
      <c r="H106" s="2" t="s">
        <v>107</v>
      </c>
      <c r="I106" s="2" t="s">
        <v>122</v>
      </c>
      <c r="J106" s="2"/>
      <c r="K106" s="2"/>
      <c r="L106" s="2" t="s">
        <v>163</v>
      </c>
      <c r="M106" s="2" t="s">
        <v>109</v>
      </c>
      <c r="N106" s="2" t="s">
        <v>296</v>
      </c>
      <c r="O106" s="2"/>
      <c r="P106" s="2"/>
      <c r="Q106" s="2" t="s">
        <v>120</v>
      </c>
      <c r="R106" s="2" t="s">
        <v>130</v>
      </c>
      <c r="S106" s="2" t="s">
        <v>176</v>
      </c>
      <c r="T106" s="2" t="s">
        <v>137</v>
      </c>
      <c r="U106" s="2" t="s">
        <v>122</v>
      </c>
      <c r="V106" s="2" t="s">
        <v>141</v>
      </c>
      <c r="W106" s="2"/>
      <c r="X106" s="2"/>
      <c r="Y106" s="2" t="s">
        <v>130</v>
      </c>
      <c r="Z106" s="2"/>
      <c r="AA106" s="2"/>
      <c r="AB106" s="2" t="s">
        <v>118</v>
      </c>
      <c r="AC106" s="2"/>
      <c r="AD106" s="2" t="s">
        <v>124</v>
      </c>
      <c r="AE106" s="2" t="s">
        <v>103</v>
      </c>
      <c r="AF106" s="2" t="s">
        <v>148</v>
      </c>
      <c r="AG106" s="2"/>
      <c r="AH106" s="2"/>
      <c r="AI106" s="2"/>
      <c r="AJ106" s="2" t="s">
        <v>131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 t="s">
        <v>103</v>
      </c>
      <c r="AW106" s="2"/>
      <c r="AX106" s="2"/>
      <c r="AY106" s="2" t="s">
        <v>137</v>
      </c>
      <c r="AZ106" s="2"/>
      <c r="BA106" s="2"/>
      <c r="BB106" s="2"/>
      <c r="BC106" s="2"/>
      <c r="BD106" s="2" t="s">
        <v>103</v>
      </c>
      <c r="BE106" s="2" t="s">
        <v>133</v>
      </c>
      <c r="BF106" s="2" t="s">
        <v>103</v>
      </c>
      <c r="BG106" s="2" t="s">
        <v>113</v>
      </c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>
        <f>3/4</f>
        <v>0.75</v>
      </c>
      <c r="CD106" s="2" t="s">
        <v>113</v>
      </c>
      <c r="CE106" s="2"/>
      <c r="CF106" s="2"/>
      <c r="CG106" s="2"/>
      <c r="CH106" s="2"/>
      <c r="CI106" s="2"/>
      <c r="CJ106" s="2" t="s">
        <v>122</v>
      </c>
      <c r="CK106" s="2" t="s">
        <v>109</v>
      </c>
      <c r="CL106" s="2"/>
      <c r="CM106" s="2"/>
      <c r="CN106" s="2"/>
      <c r="CO106" s="2" t="s">
        <v>120</v>
      </c>
      <c r="CP106" s="2"/>
      <c r="CQ106" s="2"/>
      <c r="CR106" s="2"/>
      <c r="CS106" s="2"/>
      <c r="CT106" s="2"/>
      <c r="CU106" s="2"/>
      <c r="CV106" s="2"/>
      <c r="CW106" s="2"/>
      <c r="CX106" s="2"/>
      <c r="CY106" s="2"/>
    </row>
    <row r="107" ht="15.75" customHeight="1">
      <c r="A107" s="2" t="s">
        <v>124</v>
      </c>
      <c r="B107" s="2" t="s">
        <v>148</v>
      </c>
      <c r="C107" s="2" t="s">
        <v>104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</row>
    <row r="108" ht="15.75" customHeight="1">
      <c r="A108" s="2" t="s">
        <v>157</v>
      </c>
      <c r="B108" s="2" t="s">
        <v>148</v>
      </c>
      <c r="C108" s="2" t="s">
        <v>104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</row>
    <row r="109" ht="15.75" customHeight="1">
      <c r="A109" s="2" t="s">
        <v>134</v>
      </c>
      <c r="B109" s="2" t="s">
        <v>148</v>
      </c>
      <c r="C109" s="2" t="s">
        <v>104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</row>
    <row r="110" ht="15.75" customHeight="1">
      <c r="A110" s="2" t="s">
        <v>167</v>
      </c>
      <c r="B110" s="2" t="s">
        <v>148</v>
      </c>
      <c r="C110" s="2" t="s">
        <v>104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</row>
    <row r="111" ht="15.75" customHeight="1">
      <c r="A111" s="2" t="s">
        <v>111</v>
      </c>
      <c r="B111" s="2" t="s">
        <v>148</v>
      </c>
      <c r="C111" s="2" t="s">
        <v>104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</row>
    <row r="112" ht="15.75" customHeight="1">
      <c r="A112" s="2" t="s">
        <v>103</v>
      </c>
      <c r="B112" s="2" t="s">
        <v>119</v>
      </c>
      <c r="C112" s="2" t="s">
        <v>104</v>
      </c>
      <c r="D112" s="2"/>
      <c r="E112" s="2" t="s">
        <v>103</v>
      </c>
      <c r="F112" s="2"/>
      <c r="G112" s="2"/>
      <c r="H112" s="2" t="s">
        <v>156</v>
      </c>
      <c r="I112" s="2" t="s">
        <v>134</v>
      </c>
      <c r="J112" s="2"/>
      <c r="K112" s="2"/>
      <c r="L112" s="2" t="s">
        <v>182</v>
      </c>
      <c r="M112" s="2" t="s">
        <v>107</v>
      </c>
      <c r="N112" s="2" t="s">
        <v>197</v>
      </c>
      <c r="O112" s="2"/>
      <c r="P112" s="2"/>
      <c r="Q112" s="2" t="s">
        <v>123</v>
      </c>
      <c r="R112" s="2" t="s">
        <v>124</v>
      </c>
      <c r="S112" s="2" t="s">
        <v>297</v>
      </c>
      <c r="T112" s="2" t="s">
        <v>120</v>
      </c>
      <c r="U112" s="2" t="s">
        <v>134</v>
      </c>
      <c r="V112" s="2" t="s">
        <v>120</v>
      </c>
      <c r="W112" s="2"/>
      <c r="X112" s="2"/>
      <c r="Y112" s="2" t="s">
        <v>130</v>
      </c>
      <c r="Z112" s="2"/>
      <c r="AA112" s="2"/>
      <c r="AB112" s="2" t="s">
        <v>103</v>
      </c>
      <c r="AC112" s="2"/>
      <c r="AD112" s="2" t="s">
        <v>103</v>
      </c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 t="s">
        <v>119</v>
      </c>
      <c r="AX112" s="2"/>
      <c r="AY112" s="2" t="s">
        <v>107</v>
      </c>
      <c r="AZ112" s="2"/>
      <c r="BA112" s="2"/>
      <c r="BB112" s="2" t="s">
        <v>103</v>
      </c>
      <c r="BC112" s="2" t="s">
        <v>107</v>
      </c>
      <c r="BD112" s="5">
        <f>1 + (1/2)</f>
        <v>1.5</v>
      </c>
      <c r="BE112" s="2" t="s">
        <v>133</v>
      </c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 t="s">
        <v>197</v>
      </c>
      <c r="BX112" s="2"/>
      <c r="BY112" s="2"/>
      <c r="BZ112" s="2"/>
      <c r="CA112" s="2"/>
      <c r="CB112" s="2"/>
      <c r="CC112" s="2">
        <f>3/4</f>
        <v>0.75</v>
      </c>
      <c r="CD112" s="2" t="s">
        <v>109</v>
      </c>
      <c r="CE112" s="2"/>
      <c r="CF112" s="2"/>
      <c r="CG112" s="2"/>
      <c r="CH112" s="2"/>
      <c r="CI112" s="3" t="s">
        <v>117</v>
      </c>
      <c r="CJ112" s="2" t="s">
        <v>107</v>
      </c>
      <c r="CK112" s="2" t="s">
        <v>107</v>
      </c>
      <c r="CL112" s="2"/>
      <c r="CM112" s="2"/>
      <c r="CN112" s="2"/>
      <c r="CO112" s="2" t="s">
        <v>116</v>
      </c>
      <c r="CP112" s="2"/>
      <c r="CQ112" s="2"/>
      <c r="CR112" s="2"/>
      <c r="CS112" s="2"/>
      <c r="CT112" s="2"/>
      <c r="CU112" s="2"/>
      <c r="CV112" s="2"/>
      <c r="CW112" s="2"/>
      <c r="CX112" s="2"/>
      <c r="CY112" s="2"/>
    </row>
    <row r="113" ht="15.75" customHeight="1">
      <c r="A113" s="2" t="s">
        <v>130</v>
      </c>
      <c r="B113" s="2" t="s">
        <v>119</v>
      </c>
      <c r="C113" s="2" t="s">
        <v>104</v>
      </c>
      <c r="D113" s="2"/>
      <c r="E113" s="2" t="s">
        <v>103</v>
      </c>
      <c r="F113" s="2"/>
      <c r="G113" s="2"/>
      <c r="H113" s="2" t="s">
        <v>134</v>
      </c>
      <c r="I113" s="2"/>
      <c r="J113" s="2"/>
      <c r="K113" s="2"/>
      <c r="L113" s="2" t="s">
        <v>135</v>
      </c>
      <c r="M113" s="2"/>
      <c r="N113" s="2"/>
      <c r="O113" s="2"/>
      <c r="P113" s="2"/>
      <c r="Q113" s="2" t="s">
        <v>118</v>
      </c>
      <c r="R113" s="2"/>
      <c r="S113" s="2" t="s">
        <v>153</v>
      </c>
      <c r="T113" s="2" t="s">
        <v>157</v>
      </c>
      <c r="U113" s="2" t="s">
        <v>103</v>
      </c>
      <c r="V113" s="2" t="s">
        <v>157</v>
      </c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 t="s">
        <v>130</v>
      </c>
      <c r="BE113" s="2" t="s">
        <v>118</v>
      </c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>
        <f>1/4</f>
        <v>0.25</v>
      </c>
      <c r="CD113" s="2" t="s">
        <v>120</v>
      </c>
      <c r="CE113" s="2"/>
      <c r="CF113" s="2"/>
      <c r="CG113" s="2"/>
      <c r="CH113" s="2"/>
      <c r="CI113" s="3" t="s">
        <v>117</v>
      </c>
      <c r="CJ113" s="2" t="s">
        <v>119</v>
      </c>
      <c r="CK113" s="2" t="s">
        <v>109</v>
      </c>
      <c r="CL113" s="2"/>
      <c r="CM113" s="2"/>
      <c r="CN113" s="2"/>
      <c r="CO113" s="2" t="s">
        <v>157</v>
      </c>
      <c r="CP113" s="2"/>
      <c r="CQ113" s="2"/>
      <c r="CR113" s="2"/>
      <c r="CS113" s="2"/>
      <c r="CT113" s="2"/>
      <c r="CU113" s="2"/>
      <c r="CV113" s="2"/>
      <c r="CW113" s="2"/>
      <c r="CX113" s="2"/>
      <c r="CY113" s="2"/>
    </row>
    <row r="114" ht="15.75" customHeight="1">
      <c r="A114" s="2" t="s">
        <v>116</v>
      </c>
      <c r="B114" s="2" t="s">
        <v>119</v>
      </c>
      <c r="C114" s="2" t="s">
        <v>104</v>
      </c>
      <c r="D114" s="2"/>
      <c r="E114" s="2" t="s">
        <v>103</v>
      </c>
      <c r="F114" s="2"/>
      <c r="G114" s="2"/>
      <c r="H114" s="2" t="s">
        <v>120</v>
      </c>
      <c r="I114" s="2" t="s">
        <v>133</v>
      </c>
      <c r="J114" s="2" t="s">
        <v>118</v>
      </c>
      <c r="K114" s="2"/>
      <c r="L114" s="2" t="s">
        <v>170</v>
      </c>
      <c r="M114" s="2" t="s">
        <v>123</v>
      </c>
      <c r="N114" s="2" t="s">
        <v>114</v>
      </c>
      <c r="O114" s="2"/>
      <c r="P114" s="2"/>
      <c r="Q114" s="2"/>
      <c r="R114" s="2"/>
      <c r="S114" s="2" t="s">
        <v>215</v>
      </c>
      <c r="T114" s="2" t="s">
        <v>133</v>
      </c>
      <c r="U114" s="2" t="s">
        <v>119</v>
      </c>
      <c r="V114" s="2" t="s">
        <v>133</v>
      </c>
      <c r="W114" s="2"/>
      <c r="X114" s="2"/>
      <c r="Y114" s="2" t="s">
        <v>130</v>
      </c>
      <c r="Z114" s="2"/>
      <c r="AA114" s="2"/>
      <c r="AB114" s="2" t="s">
        <v>118</v>
      </c>
      <c r="AC114" s="2" t="s">
        <v>125</v>
      </c>
      <c r="AD114" s="2" t="s">
        <v>124</v>
      </c>
      <c r="AE114" s="2"/>
      <c r="AF114" s="2" t="s">
        <v>134</v>
      </c>
      <c r="AG114" s="2"/>
      <c r="AH114" s="2"/>
      <c r="AI114" s="2"/>
      <c r="AJ114" s="2" t="s">
        <v>175</v>
      </c>
      <c r="AK114" s="2"/>
      <c r="AL114" s="2" t="s">
        <v>153</v>
      </c>
      <c r="AM114" s="2" t="s">
        <v>113</v>
      </c>
      <c r="AN114" s="2"/>
      <c r="AO114" s="2" t="s">
        <v>113</v>
      </c>
      <c r="AP114" s="2"/>
      <c r="AQ114" s="2" t="s">
        <v>103</v>
      </c>
      <c r="AR114" s="2"/>
      <c r="AS114" s="2"/>
      <c r="AT114" s="2" t="s">
        <v>153</v>
      </c>
      <c r="AU114" s="2" t="s">
        <v>129</v>
      </c>
      <c r="AV114" s="2" t="s">
        <v>103</v>
      </c>
      <c r="AW114" s="2" t="s">
        <v>111</v>
      </c>
      <c r="AX114" s="2"/>
      <c r="AY114" s="2" t="s">
        <v>113</v>
      </c>
      <c r="AZ114" s="2"/>
      <c r="BA114" s="2"/>
      <c r="BB114" s="2"/>
      <c r="BC114" s="2"/>
      <c r="BD114" s="2" t="s">
        <v>130</v>
      </c>
      <c r="BE114" s="2" t="s">
        <v>123</v>
      </c>
      <c r="BF114" s="5">
        <f>1 + (1/2)</f>
        <v>1.5</v>
      </c>
      <c r="BG114" s="2" t="s">
        <v>112</v>
      </c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 t="s">
        <v>103</v>
      </c>
      <c r="CD114" s="2" t="s">
        <v>132</v>
      </c>
      <c r="CE114" s="2"/>
      <c r="CF114" s="2"/>
      <c r="CG114" s="2"/>
      <c r="CH114" s="2"/>
      <c r="CI114" s="3" t="s">
        <v>117</v>
      </c>
      <c r="CJ114" s="2" t="s">
        <v>119</v>
      </c>
      <c r="CK114" s="2" t="s">
        <v>132</v>
      </c>
      <c r="CL114" s="2"/>
      <c r="CM114" s="2"/>
      <c r="CN114" s="2"/>
      <c r="CO114" s="2" t="s">
        <v>111</v>
      </c>
      <c r="CP114" s="2"/>
      <c r="CQ114" s="2"/>
      <c r="CR114" s="2"/>
      <c r="CS114" s="2"/>
      <c r="CT114" s="2"/>
      <c r="CU114" s="2"/>
      <c r="CV114" s="2"/>
      <c r="CW114" s="2" t="s">
        <v>111</v>
      </c>
      <c r="CX114" s="2"/>
      <c r="CY114" s="2" t="s">
        <v>137</v>
      </c>
    </row>
    <row r="115" ht="15.75" customHeight="1">
      <c r="A115" s="2" t="s">
        <v>125</v>
      </c>
      <c r="B115" s="2" t="s">
        <v>119</v>
      </c>
      <c r="C115" s="2" t="s">
        <v>104</v>
      </c>
      <c r="D115" s="2"/>
      <c r="E115" s="2" t="s">
        <v>103</v>
      </c>
      <c r="F115" s="2"/>
      <c r="G115" s="2"/>
      <c r="H115" s="2" t="s">
        <v>270</v>
      </c>
      <c r="I115" s="2" t="s">
        <v>113</v>
      </c>
      <c r="J115" s="2" t="s">
        <v>116</v>
      </c>
      <c r="K115" s="2"/>
      <c r="L115" s="2" t="s">
        <v>203</v>
      </c>
      <c r="M115" s="2" t="s">
        <v>129</v>
      </c>
      <c r="N115" s="2" t="s">
        <v>298</v>
      </c>
      <c r="O115" s="2" t="s">
        <v>115</v>
      </c>
      <c r="P115" s="2"/>
      <c r="Q115" s="2" t="s">
        <v>129</v>
      </c>
      <c r="R115" s="2" t="s">
        <v>160</v>
      </c>
      <c r="S115" s="2" t="s">
        <v>299</v>
      </c>
      <c r="T115" s="2" t="s">
        <v>164</v>
      </c>
      <c r="U115" s="2" t="s">
        <v>113</v>
      </c>
      <c r="V115" s="2" t="s">
        <v>133</v>
      </c>
      <c r="W115" s="2"/>
      <c r="X115" s="2"/>
      <c r="Y115" s="2" t="s">
        <v>116</v>
      </c>
      <c r="Z115" s="2"/>
      <c r="AA115" s="2"/>
      <c r="AB115" s="2" t="s">
        <v>111</v>
      </c>
      <c r="AC115" s="2" t="s">
        <v>130</v>
      </c>
      <c r="AD115" s="2" t="s">
        <v>134</v>
      </c>
      <c r="AE115" s="2"/>
      <c r="AF115" s="2" t="s">
        <v>124</v>
      </c>
      <c r="AG115" s="2" t="s">
        <v>103</v>
      </c>
      <c r="AH115" s="2"/>
      <c r="AI115" s="2"/>
      <c r="AJ115" s="2" t="s">
        <v>222</v>
      </c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 t="s">
        <v>124</v>
      </c>
      <c r="AW115" s="2" t="s">
        <v>134</v>
      </c>
      <c r="AX115" s="2"/>
      <c r="AY115" s="2" t="s">
        <v>107</v>
      </c>
      <c r="AZ115" s="2"/>
      <c r="BA115" s="2"/>
      <c r="BB115" s="2"/>
      <c r="BC115" s="2"/>
      <c r="BD115" s="5">
        <f>1 + (1/2)</f>
        <v>1.5</v>
      </c>
      <c r="BE115" s="2" t="s">
        <v>122</v>
      </c>
      <c r="BF115" s="5">
        <f>3 + (1/2)</f>
        <v>3.5</v>
      </c>
      <c r="BG115" s="2" t="s">
        <v>197</v>
      </c>
      <c r="BH115" s="2"/>
      <c r="BI115" s="2"/>
      <c r="BJ115" s="2" t="s">
        <v>103</v>
      </c>
      <c r="BK115" s="2" t="s">
        <v>111</v>
      </c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>
        <f>3/4</f>
        <v>0.75</v>
      </c>
      <c r="CD115" s="2" t="s">
        <v>109</v>
      </c>
      <c r="CE115" s="2"/>
      <c r="CF115" s="2"/>
      <c r="CG115" s="2"/>
      <c r="CH115" s="2"/>
      <c r="CI115" s="3" t="s">
        <v>117</v>
      </c>
      <c r="CJ115" s="2" t="s">
        <v>120</v>
      </c>
      <c r="CK115" s="2" t="s">
        <v>105</v>
      </c>
      <c r="CL115" s="2"/>
      <c r="CM115" s="2"/>
      <c r="CN115" s="2"/>
      <c r="CO115" s="2" t="s">
        <v>127</v>
      </c>
      <c r="CP115" s="2"/>
      <c r="CQ115" s="2"/>
      <c r="CR115" s="2"/>
      <c r="CS115" s="2"/>
      <c r="CT115" s="2"/>
      <c r="CU115" s="2"/>
      <c r="CV115" s="2"/>
      <c r="CW115" s="2"/>
      <c r="CX115" s="2"/>
      <c r="CY115" s="2"/>
    </row>
    <row r="116" ht="15.75" customHeight="1">
      <c r="A116" s="2" t="s">
        <v>118</v>
      </c>
      <c r="B116" s="2" t="s">
        <v>119</v>
      </c>
      <c r="C116" s="2" t="s">
        <v>104</v>
      </c>
      <c r="D116" s="2"/>
      <c r="E116" s="2" t="s">
        <v>103</v>
      </c>
      <c r="F116" s="2"/>
      <c r="G116" s="2"/>
      <c r="H116" s="2" t="s">
        <v>124</v>
      </c>
      <c r="I116" s="2"/>
      <c r="J116" s="2"/>
      <c r="K116" s="2"/>
      <c r="L116" s="2" t="s">
        <v>159</v>
      </c>
      <c r="M116" s="2"/>
      <c r="N116" s="2"/>
      <c r="O116" s="2"/>
      <c r="P116" s="2"/>
      <c r="Q116" s="2"/>
      <c r="R116" s="2"/>
      <c r="S116" s="2" t="s">
        <v>113</v>
      </c>
      <c r="T116" s="2" t="s">
        <v>125</v>
      </c>
      <c r="U116" s="2"/>
      <c r="V116" s="2" t="s">
        <v>116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 t="s">
        <v>137</v>
      </c>
      <c r="CE116" s="2"/>
      <c r="CF116" s="2"/>
      <c r="CG116" s="2"/>
      <c r="CH116" s="2"/>
      <c r="CI116" s="3" t="s">
        <v>117</v>
      </c>
      <c r="CJ116" s="2" t="s">
        <v>133</v>
      </c>
      <c r="CK116" s="2" t="s">
        <v>112</v>
      </c>
      <c r="CL116" s="2"/>
      <c r="CM116" s="2"/>
      <c r="CN116" s="2"/>
      <c r="CO116" s="2" t="s">
        <v>120</v>
      </c>
      <c r="CP116" s="2"/>
      <c r="CQ116" s="2"/>
      <c r="CR116" s="2"/>
      <c r="CS116" s="2"/>
      <c r="CT116" s="2"/>
      <c r="CU116" s="2"/>
      <c r="CV116" s="2"/>
      <c r="CW116" s="2"/>
      <c r="CX116" s="2"/>
      <c r="CY116" s="2"/>
    </row>
    <row r="117" ht="15.75" customHeight="1">
      <c r="A117" s="2" t="s">
        <v>124</v>
      </c>
      <c r="B117" s="2" t="s">
        <v>119</v>
      </c>
      <c r="C117" s="2" t="s">
        <v>104</v>
      </c>
      <c r="D117" s="2"/>
      <c r="E117" s="2"/>
      <c r="F117" s="2"/>
      <c r="G117" s="2" t="s">
        <v>103</v>
      </c>
      <c r="H117" s="2" t="s">
        <v>162</v>
      </c>
      <c r="I117" s="2" t="s">
        <v>242</v>
      </c>
      <c r="J117" s="2" t="s">
        <v>124</v>
      </c>
      <c r="K117" s="2"/>
      <c r="L117" s="2" t="s">
        <v>135</v>
      </c>
      <c r="M117" s="2" t="s">
        <v>113</v>
      </c>
      <c r="N117" s="2" t="s">
        <v>129</v>
      </c>
      <c r="O117" s="2"/>
      <c r="P117" s="2"/>
      <c r="Q117" s="2"/>
      <c r="R117" s="2"/>
      <c r="S117" s="2" t="s">
        <v>300</v>
      </c>
      <c r="T117" s="2" t="s">
        <v>181</v>
      </c>
      <c r="U117" s="2" t="s">
        <v>242</v>
      </c>
      <c r="V117" s="2" t="s">
        <v>137</v>
      </c>
      <c r="W117" s="2"/>
      <c r="X117" s="2"/>
      <c r="Y117" s="2" t="s">
        <v>130</v>
      </c>
      <c r="Z117" s="2"/>
      <c r="AA117" s="2"/>
      <c r="AB117" s="2" t="s">
        <v>124</v>
      </c>
      <c r="AC117" s="2"/>
      <c r="AD117" s="2" t="s">
        <v>116</v>
      </c>
      <c r="AE117" s="2"/>
      <c r="AF117" s="2" t="s">
        <v>116</v>
      </c>
      <c r="AG117" s="2"/>
      <c r="AH117" s="2"/>
      <c r="AI117" s="2"/>
      <c r="AJ117" s="2" t="s">
        <v>114</v>
      </c>
      <c r="AK117" s="2"/>
      <c r="AL117" s="2" t="s">
        <v>130</v>
      </c>
      <c r="AM117" s="2"/>
      <c r="AN117" s="2"/>
      <c r="AO117" s="2"/>
      <c r="AP117" s="2"/>
      <c r="AQ117" s="2"/>
      <c r="AR117" s="2"/>
      <c r="AS117" s="2"/>
      <c r="AT117" s="2" t="s">
        <v>130</v>
      </c>
      <c r="AU117" s="2" t="s">
        <v>119</v>
      </c>
      <c r="AV117" s="2" t="s">
        <v>116</v>
      </c>
      <c r="AW117" s="2" t="s">
        <v>167</v>
      </c>
      <c r="AX117" s="2"/>
      <c r="AY117" s="2"/>
      <c r="AZ117" s="2"/>
      <c r="BA117" s="2"/>
      <c r="BB117" s="2">
        <f>1/2</f>
        <v>0.5</v>
      </c>
      <c r="BC117" s="2" t="s">
        <v>125</v>
      </c>
      <c r="BD117" s="2" t="s">
        <v>103</v>
      </c>
      <c r="BE117" s="2" t="s">
        <v>119</v>
      </c>
      <c r="BF117" s="2" t="s">
        <v>116</v>
      </c>
      <c r="BG117" s="2" t="s">
        <v>209</v>
      </c>
      <c r="BH117" s="2" t="s">
        <v>103</v>
      </c>
      <c r="BI117" s="2" t="s">
        <v>118</v>
      </c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 t="s">
        <v>114</v>
      </c>
      <c r="BX117" s="3" t="s">
        <v>125</v>
      </c>
      <c r="BY117" s="2"/>
      <c r="BZ117" s="2"/>
      <c r="CA117" s="2"/>
      <c r="CB117" s="2"/>
      <c r="CC117" s="5">
        <f>3 + (1/2)</f>
        <v>3.5</v>
      </c>
      <c r="CD117" s="2" t="s">
        <v>123</v>
      </c>
      <c r="CE117" s="2"/>
      <c r="CF117" s="2"/>
      <c r="CG117" s="2"/>
      <c r="CH117" s="2"/>
      <c r="CI117" s="3" t="s">
        <v>117</v>
      </c>
      <c r="CJ117" s="2" t="s">
        <v>111</v>
      </c>
      <c r="CK117" s="2" t="s">
        <v>115</v>
      </c>
      <c r="CL117" s="2"/>
      <c r="CM117" s="2"/>
      <c r="CN117" s="2"/>
      <c r="CO117" s="2" t="s">
        <v>124</v>
      </c>
      <c r="CP117" s="2"/>
      <c r="CQ117" s="2"/>
      <c r="CR117" s="2"/>
      <c r="CS117" s="2"/>
      <c r="CT117" s="2"/>
      <c r="CU117" s="2"/>
      <c r="CV117" s="2"/>
      <c r="CW117" s="2"/>
      <c r="CX117" s="2" t="s">
        <v>137</v>
      </c>
      <c r="CY117" s="2" t="s">
        <v>107</v>
      </c>
    </row>
    <row r="118" ht="15.75" customHeight="1">
      <c r="A118" s="2" t="s">
        <v>157</v>
      </c>
      <c r="B118" s="2" t="s">
        <v>119</v>
      </c>
      <c r="C118" s="2" t="s">
        <v>104</v>
      </c>
      <c r="D118" s="2"/>
      <c r="E118" s="2" t="s">
        <v>103</v>
      </c>
      <c r="F118" s="2"/>
      <c r="G118" s="2"/>
      <c r="H118" s="2" t="s">
        <v>301</v>
      </c>
      <c r="I118" s="2" t="s">
        <v>123</v>
      </c>
      <c r="J118" s="2" t="s">
        <v>141</v>
      </c>
      <c r="K118" s="2"/>
      <c r="L118" s="2" t="s">
        <v>199</v>
      </c>
      <c r="M118" s="2" t="s">
        <v>112</v>
      </c>
      <c r="N118" s="2" t="s">
        <v>212</v>
      </c>
      <c r="O118" s="2" t="s">
        <v>137</v>
      </c>
      <c r="P118" s="2"/>
      <c r="Q118" s="2" t="s">
        <v>122</v>
      </c>
      <c r="R118" s="2" t="s">
        <v>116</v>
      </c>
      <c r="S118" s="2" t="s">
        <v>136</v>
      </c>
      <c r="T118" s="2" t="s">
        <v>302</v>
      </c>
      <c r="U118" s="2" t="s">
        <v>123</v>
      </c>
      <c r="V118" s="2" t="s">
        <v>113</v>
      </c>
      <c r="W118" s="2"/>
      <c r="X118" s="2"/>
      <c r="Y118" s="2" t="s">
        <v>116</v>
      </c>
      <c r="Z118" s="2"/>
      <c r="AA118" s="2"/>
      <c r="AB118" s="2" t="s">
        <v>124</v>
      </c>
      <c r="AC118" s="2" t="s">
        <v>157</v>
      </c>
      <c r="AD118" s="2" t="s">
        <v>124</v>
      </c>
      <c r="AE118" s="2"/>
      <c r="AF118" s="2" t="s">
        <v>118</v>
      </c>
      <c r="AG118" s="2"/>
      <c r="AH118" s="2"/>
      <c r="AI118" s="2"/>
      <c r="AJ118" s="2" t="s">
        <v>207</v>
      </c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 t="s">
        <v>103</v>
      </c>
      <c r="AW118" s="2" t="s">
        <v>120</v>
      </c>
      <c r="AX118" s="2"/>
      <c r="AY118" s="2" t="s">
        <v>123</v>
      </c>
      <c r="AZ118" s="2"/>
      <c r="BA118" s="2"/>
      <c r="BB118" s="2"/>
      <c r="BC118" s="2"/>
      <c r="BD118" s="2" t="s">
        <v>103</v>
      </c>
      <c r="BE118" s="2" t="s">
        <v>113</v>
      </c>
      <c r="BF118" s="2" t="s">
        <v>116</v>
      </c>
      <c r="BG118" s="2" t="s">
        <v>303</v>
      </c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3" t="s">
        <v>107</v>
      </c>
      <c r="BX118" s="2"/>
      <c r="BY118" s="2"/>
      <c r="BZ118" s="2"/>
      <c r="CA118" s="2"/>
      <c r="CB118" s="2"/>
      <c r="CC118" s="2">
        <f>1/2</f>
        <v>0.5</v>
      </c>
      <c r="CD118" s="2" t="s">
        <v>133</v>
      </c>
      <c r="CE118" s="2"/>
      <c r="CF118" s="2"/>
      <c r="CG118" s="2"/>
      <c r="CH118" s="2"/>
      <c r="CI118" s="3" t="s">
        <v>117</v>
      </c>
      <c r="CJ118" s="2" t="s">
        <v>119</v>
      </c>
      <c r="CK118" s="2" t="s">
        <v>105</v>
      </c>
      <c r="CL118" s="2"/>
      <c r="CM118" s="2"/>
      <c r="CN118" s="2"/>
      <c r="CO118" s="2" t="s">
        <v>134</v>
      </c>
      <c r="CP118" s="2"/>
      <c r="CQ118" s="2"/>
      <c r="CR118" s="2"/>
      <c r="CS118" s="2"/>
      <c r="CT118" s="2"/>
      <c r="CU118" s="2"/>
      <c r="CV118" s="2"/>
      <c r="CW118" s="2"/>
      <c r="CX118" s="2" t="s">
        <v>157</v>
      </c>
      <c r="CY118" s="2" t="s">
        <v>162</v>
      </c>
    </row>
    <row r="119" ht="15.75" customHeight="1">
      <c r="A119" s="2" t="s">
        <v>134</v>
      </c>
      <c r="B119" s="2" t="s">
        <v>119</v>
      </c>
      <c r="C119" s="2" t="s">
        <v>104</v>
      </c>
      <c r="D119" s="2"/>
      <c r="E119" s="2" t="s">
        <v>103</v>
      </c>
      <c r="F119" s="2"/>
      <c r="G119" s="2"/>
      <c r="H119" s="2" t="s">
        <v>137</v>
      </c>
      <c r="I119" s="2" t="s">
        <v>122</v>
      </c>
      <c r="J119" s="2" t="s">
        <v>113</v>
      </c>
      <c r="K119" s="2"/>
      <c r="L119" s="2" t="s">
        <v>170</v>
      </c>
      <c r="M119" s="2" t="s">
        <v>109</v>
      </c>
      <c r="N119" s="2" t="s">
        <v>206</v>
      </c>
      <c r="O119" s="2"/>
      <c r="P119" s="2"/>
      <c r="Q119" s="2"/>
      <c r="R119" s="2"/>
      <c r="S119" s="2" t="s">
        <v>136</v>
      </c>
      <c r="T119" s="2" t="s">
        <v>127</v>
      </c>
      <c r="U119" s="2" t="s">
        <v>122</v>
      </c>
      <c r="V119" s="2" t="s">
        <v>107</v>
      </c>
      <c r="W119" s="2"/>
      <c r="X119" s="2"/>
      <c r="Y119" s="2" t="s">
        <v>103</v>
      </c>
      <c r="Z119" s="2"/>
      <c r="AA119" s="2"/>
      <c r="AB119" s="2" t="s">
        <v>130</v>
      </c>
      <c r="AC119" s="2"/>
      <c r="AD119" s="2" t="s">
        <v>130</v>
      </c>
      <c r="AE119" s="2"/>
      <c r="AF119" s="2" t="s">
        <v>130</v>
      </c>
      <c r="AG119" s="2"/>
      <c r="AH119" s="2"/>
      <c r="AI119" s="2"/>
      <c r="AJ119" s="2" t="s">
        <v>131</v>
      </c>
      <c r="AK119" s="2"/>
      <c r="AL119" s="2" t="s">
        <v>127</v>
      </c>
      <c r="AM119" s="2"/>
      <c r="AN119" s="2" t="s">
        <v>127</v>
      </c>
      <c r="AO119" s="2"/>
      <c r="AP119" s="2"/>
      <c r="AQ119" s="2"/>
      <c r="AR119" s="2"/>
      <c r="AS119" s="2"/>
      <c r="AT119" s="2" t="s">
        <v>127</v>
      </c>
      <c r="AU119" s="2" t="s">
        <v>172</v>
      </c>
      <c r="AV119" s="2" t="s">
        <v>103</v>
      </c>
      <c r="AW119" s="2" t="s">
        <v>141</v>
      </c>
      <c r="AX119" s="2"/>
      <c r="AY119" s="2" t="s">
        <v>123</v>
      </c>
      <c r="AZ119" s="2"/>
      <c r="BA119" s="2"/>
      <c r="BB119" s="2"/>
      <c r="BC119" s="2"/>
      <c r="BD119" s="5">
        <f>1 + (1/2)</f>
        <v>1.5</v>
      </c>
      <c r="BE119" s="2" t="s">
        <v>123</v>
      </c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 t="s">
        <v>130</v>
      </c>
      <c r="CD119" s="2" t="s">
        <v>129</v>
      </c>
      <c r="CE119" s="2"/>
      <c r="CF119" s="2"/>
      <c r="CG119" s="2"/>
      <c r="CH119" s="2"/>
      <c r="CI119" s="3" t="s">
        <v>117</v>
      </c>
      <c r="CJ119" s="2" t="s">
        <v>123</v>
      </c>
      <c r="CK119" s="2" t="s">
        <v>129</v>
      </c>
      <c r="CL119" s="2"/>
      <c r="CM119" s="2"/>
      <c r="CN119" s="2"/>
      <c r="CO119" s="2" t="s">
        <v>137</v>
      </c>
      <c r="CP119" s="2"/>
      <c r="CQ119" s="2"/>
      <c r="CR119" s="2"/>
      <c r="CS119" s="2"/>
      <c r="CT119" s="2"/>
      <c r="CU119" s="2"/>
      <c r="CV119" s="2"/>
      <c r="CW119" s="2"/>
      <c r="CX119" s="2" t="s">
        <v>120</v>
      </c>
      <c r="CY119" s="2" t="s">
        <v>270</v>
      </c>
    </row>
    <row r="120" ht="15.75" customHeight="1">
      <c r="A120" s="2" t="s">
        <v>167</v>
      </c>
      <c r="B120" s="2" t="s">
        <v>119</v>
      </c>
      <c r="C120" s="2" t="s">
        <v>104</v>
      </c>
      <c r="D120" s="2"/>
      <c r="E120" s="2"/>
      <c r="F120" s="2" t="s">
        <v>103</v>
      </c>
      <c r="G120" s="2"/>
      <c r="H120" s="2" t="s">
        <v>109</v>
      </c>
      <c r="I120" s="2" t="s">
        <v>223</v>
      </c>
      <c r="J120" s="2" t="s">
        <v>120</v>
      </c>
      <c r="K120" s="2"/>
      <c r="L120" s="2" t="s">
        <v>244</v>
      </c>
      <c r="M120" s="2"/>
      <c r="N120" s="2"/>
      <c r="O120" s="2"/>
      <c r="P120" s="2"/>
      <c r="Q120" s="2"/>
      <c r="R120" s="2"/>
      <c r="S120" s="2" t="s">
        <v>175</v>
      </c>
      <c r="T120" s="2" t="s">
        <v>106</v>
      </c>
      <c r="U120" s="2" t="s">
        <v>223</v>
      </c>
      <c r="V120" s="2" t="s">
        <v>123</v>
      </c>
      <c r="W120" s="2"/>
      <c r="X120" s="2"/>
      <c r="Y120" s="2"/>
      <c r="Z120" s="2"/>
      <c r="AA120" s="2"/>
      <c r="AB120" s="2"/>
      <c r="AC120" s="2"/>
      <c r="AD120" s="2" t="s">
        <v>181</v>
      </c>
      <c r="AE120" s="2"/>
      <c r="AF120" s="2" t="s">
        <v>118</v>
      </c>
      <c r="AG120" s="2"/>
      <c r="AH120" s="2"/>
      <c r="AI120" s="2"/>
      <c r="AJ120" s="2" t="s">
        <v>170</v>
      </c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 t="s">
        <v>116</v>
      </c>
      <c r="BE120" s="2" t="s">
        <v>107</v>
      </c>
      <c r="BF120" s="2" t="s">
        <v>202</v>
      </c>
      <c r="BG120" s="2" t="s">
        <v>261</v>
      </c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 t="s">
        <v>145</v>
      </c>
      <c r="BX120" s="2"/>
      <c r="BY120" s="2"/>
      <c r="BZ120" s="2"/>
      <c r="CA120" s="2"/>
      <c r="CB120" s="2"/>
      <c r="CC120" s="2" t="s">
        <v>103</v>
      </c>
      <c r="CD120" s="2" t="s">
        <v>197</v>
      </c>
      <c r="CE120" s="2"/>
      <c r="CF120" s="2"/>
      <c r="CG120" s="2"/>
      <c r="CH120" s="2"/>
      <c r="CI120" s="3" t="s">
        <v>117</v>
      </c>
      <c r="CJ120" s="2" t="s">
        <v>132</v>
      </c>
      <c r="CK120" s="2" t="s">
        <v>183</v>
      </c>
      <c r="CL120" s="2"/>
      <c r="CM120" s="2"/>
      <c r="CN120" s="2"/>
      <c r="CO120" s="2" t="s">
        <v>132</v>
      </c>
      <c r="CP120" s="2"/>
      <c r="CQ120" s="2"/>
      <c r="CR120" s="2"/>
      <c r="CS120" s="2"/>
      <c r="CT120" s="2"/>
      <c r="CU120" s="2"/>
      <c r="CV120" s="2"/>
      <c r="CW120" s="2"/>
      <c r="CX120" s="2" t="s">
        <v>133</v>
      </c>
      <c r="CY120" s="2" t="s">
        <v>109</v>
      </c>
    </row>
    <row r="121" ht="15.75" customHeight="1">
      <c r="A121" s="2" t="s">
        <v>111</v>
      </c>
      <c r="B121" s="2" t="s">
        <v>119</v>
      </c>
      <c r="C121" s="2" t="s">
        <v>104</v>
      </c>
      <c r="D121" s="2"/>
      <c r="E121" s="2" t="s">
        <v>103</v>
      </c>
      <c r="F121" s="2"/>
      <c r="G121" s="2"/>
      <c r="H121" s="2" t="s">
        <v>150</v>
      </c>
      <c r="I121" s="2" t="s">
        <v>129</v>
      </c>
      <c r="J121" s="2" t="s">
        <v>304</v>
      </c>
      <c r="K121" s="2"/>
      <c r="L121" s="2" t="s">
        <v>305</v>
      </c>
      <c r="M121" s="2" t="s">
        <v>152</v>
      </c>
      <c r="N121" s="2" t="s">
        <v>247</v>
      </c>
      <c r="O121" s="2" t="s">
        <v>132</v>
      </c>
      <c r="P121" s="2"/>
      <c r="Q121" s="2" t="s">
        <v>131</v>
      </c>
      <c r="R121" s="2" t="s">
        <v>132</v>
      </c>
      <c r="S121" s="2" t="s">
        <v>306</v>
      </c>
      <c r="T121" s="2" t="s">
        <v>188</v>
      </c>
      <c r="U121" s="2" t="s">
        <v>129</v>
      </c>
      <c r="V121" s="2" t="s">
        <v>206</v>
      </c>
      <c r="W121" s="2"/>
      <c r="X121" s="2"/>
      <c r="Y121" s="2" t="s">
        <v>157</v>
      </c>
      <c r="Z121" s="2"/>
      <c r="AA121" s="2" t="s">
        <v>124</v>
      </c>
      <c r="AB121" s="2" t="s">
        <v>156</v>
      </c>
      <c r="AC121" s="2" t="s">
        <v>167</v>
      </c>
      <c r="AD121" s="2" t="s">
        <v>107</v>
      </c>
      <c r="AE121" s="2" t="s">
        <v>117</v>
      </c>
      <c r="AF121" s="2" t="s">
        <v>123</v>
      </c>
      <c r="AG121" s="2" t="s">
        <v>130</v>
      </c>
      <c r="AH121" s="2"/>
      <c r="AI121" s="2"/>
      <c r="AJ121" s="2" t="s">
        <v>135</v>
      </c>
      <c r="AK121" s="2" t="s">
        <v>188</v>
      </c>
      <c r="AL121" s="2" t="s">
        <v>132</v>
      </c>
      <c r="AM121" s="2" t="s">
        <v>270</v>
      </c>
      <c r="AN121" s="2"/>
      <c r="AO121" s="2" t="s">
        <v>111</v>
      </c>
      <c r="AP121" s="2" t="s">
        <v>130</v>
      </c>
      <c r="AQ121" s="2"/>
      <c r="AR121" s="2" t="s">
        <v>111</v>
      </c>
      <c r="AS121" s="2"/>
      <c r="AT121" s="2" t="s">
        <v>132</v>
      </c>
      <c r="AU121" s="2" t="s">
        <v>131</v>
      </c>
      <c r="AV121" s="2" t="s">
        <v>148</v>
      </c>
      <c r="AW121" s="2" t="s">
        <v>258</v>
      </c>
      <c r="AX121" s="2"/>
      <c r="AY121" s="2" t="s">
        <v>131</v>
      </c>
      <c r="AZ121" s="2"/>
      <c r="BA121" s="2"/>
      <c r="BB121" s="2" t="s">
        <v>181</v>
      </c>
      <c r="BC121" s="2" t="s">
        <v>150</v>
      </c>
      <c r="BD121" s="2" t="s">
        <v>119</v>
      </c>
      <c r="BE121" s="2" t="s">
        <v>150</v>
      </c>
      <c r="BF121" s="2" t="s">
        <v>137</v>
      </c>
      <c r="BG121" s="2" t="s">
        <v>114</v>
      </c>
      <c r="BH121" s="2" t="s">
        <v>124</v>
      </c>
      <c r="BI121" s="2" t="s">
        <v>123</v>
      </c>
      <c r="BJ121" s="2" t="s">
        <v>119</v>
      </c>
      <c r="BK121" s="2" t="s">
        <v>139</v>
      </c>
      <c r="BL121" s="2" t="s">
        <v>112</v>
      </c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 t="s">
        <v>186</v>
      </c>
      <c r="BX121" s="2"/>
      <c r="BY121" s="2"/>
      <c r="BZ121" s="2"/>
      <c r="CA121" s="2"/>
      <c r="CB121" s="2"/>
      <c r="CC121" s="2" t="s">
        <v>157</v>
      </c>
      <c r="CD121" s="2" t="s">
        <v>155</v>
      </c>
      <c r="CE121" s="2"/>
      <c r="CF121" s="2"/>
      <c r="CG121" s="2"/>
      <c r="CH121" s="2"/>
      <c r="CI121" s="3" t="s">
        <v>117</v>
      </c>
      <c r="CJ121" s="2" t="s">
        <v>114</v>
      </c>
      <c r="CK121" s="2" t="s">
        <v>136</v>
      </c>
      <c r="CL121" s="2"/>
      <c r="CM121" s="2"/>
      <c r="CN121" s="2"/>
      <c r="CO121" s="2" t="s">
        <v>122</v>
      </c>
      <c r="CP121" s="2"/>
      <c r="CQ121" s="2"/>
      <c r="CR121" s="2"/>
      <c r="CS121" s="2"/>
      <c r="CT121" s="2"/>
      <c r="CU121" s="2"/>
      <c r="CV121" s="2"/>
      <c r="CW121" s="2"/>
      <c r="CX121" s="2" t="s">
        <v>113</v>
      </c>
      <c r="CY121" s="2" t="s">
        <v>113</v>
      </c>
    </row>
    <row r="122" ht="15.75" customHeight="1">
      <c r="A122" s="2" t="s">
        <v>103</v>
      </c>
      <c r="B122" s="2" t="s">
        <v>117</v>
      </c>
      <c r="C122" s="2" t="s">
        <v>104</v>
      </c>
      <c r="D122" s="2"/>
      <c r="E122" s="2"/>
      <c r="F122" s="2"/>
      <c r="G122" s="2"/>
      <c r="H122" s="2" t="s">
        <v>107</v>
      </c>
      <c r="I122" s="2" t="s">
        <v>128</v>
      </c>
      <c r="J122" s="2" t="s">
        <v>133</v>
      </c>
      <c r="K122" s="2"/>
      <c r="L122" s="2" t="s">
        <v>170</v>
      </c>
      <c r="M122" s="2" t="s">
        <v>129</v>
      </c>
      <c r="N122" s="2" t="s">
        <v>307</v>
      </c>
      <c r="O122" s="2" t="s">
        <v>111</v>
      </c>
      <c r="P122" s="2"/>
      <c r="Q122" s="2" t="s">
        <v>112</v>
      </c>
      <c r="R122" s="2" t="s">
        <v>137</v>
      </c>
      <c r="S122" s="2" t="s">
        <v>136</v>
      </c>
      <c r="T122" s="2" t="s">
        <v>119</v>
      </c>
      <c r="U122" s="2" t="s">
        <v>109</v>
      </c>
      <c r="V122" s="2" t="s">
        <v>120</v>
      </c>
      <c r="W122" s="2"/>
      <c r="X122" s="2"/>
      <c r="Y122" s="2" t="s">
        <v>167</v>
      </c>
      <c r="Z122" s="2"/>
      <c r="AA122" s="2"/>
      <c r="AB122" s="2" t="s">
        <v>157</v>
      </c>
      <c r="AC122" s="2" t="s">
        <v>103</v>
      </c>
      <c r="AD122" s="2" t="s">
        <v>124</v>
      </c>
      <c r="AE122" s="2" t="s">
        <v>162</v>
      </c>
      <c r="AF122" s="2" t="s">
        <v>169</v>
      </c>
      <c r="AG122" s="2"/>
      <c r="AH122" s="2"/>
      <c r="AI122" s="2"/>
      <c r="AJ122" s="2" t="s">
        <v>149</v>
      </c>
      <c r="AK122" s="2"/>
      <c r="AL122" s="2" t="s">
        <v>130</v>
      </c>
      <c r="AM122" s="2"/>
      <c r="AN122" s="2"/>
      <c r="AO122" s="2"/>
      <c r="AP122" s="2"/>
      <c r="AQ122" s="2"/>
      <c r="AR122" s="2"/>
      <c r="AS122" s="2"/>
      <c r="AT122" s="2" t="s">
        <v>130</v>
      </c>
      <c r="AU122" s="2" t="s">
        <v>111</v>
      </c>
      <c r="AV122" s="2" t="s">
        <v>103</v>
      </c>
      <c r="AW122" s="2" t="s">
        <v>127</v>
      </c>
      <c r="AX122" s="2"/>
      <c r="AY122" s="2" t="s">
        <v>109</v>
      </c>
      <c r="AZ122" s="2"/>
      <c r="BA122" s="2"/>
      <c r="BB122" s="5">
        <f>1 + (1/2)</f>
        <v>1.5</v>
      </c>
      <c r="BC122" s="2" t="s">
        <v>134</v>
      </c>
      <c r="BD122" s="2" t="s">
        <v>130</v>
      </c>
      <c r="BE122" s="2" t="s">
        <v>123</v>
      </c>
      <c r="BF122" s="2" t="s">
        <v>119</v>
      </c>
      <c r="BG122" s="2" t="s">
        <v>123</v>
      </c>
      <c r="BH122" s="2" t="s">
        <v>118</v>
      </c>
      <c r="BI122" s="2" t="s">
        <v>137</v>
      </c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>
        <f t="shared" ref="CC122:CC123" si="15">1/2</f>
        <v>0.5</v>
      </c>
      <c r="CD122" s="2" t="s">
        <v>115</v>
      </c>
      <c r="CE122" s="2"/>
      <c r="CF122" s="2"/>
      <c r="CG122" s="2"/>
      <c r="CH122" s="2"/>
      <c r="CI122" s="3" t="s">
        <v>157</v>
      </c>
      <c r="CJ122" s="2" t="s">
        <v>109</v>
      </c>
      <c r="CK122" s="2" t="s">
        <v>150</v>
      </c>
      <c r="CL122" s="2"/>
      <c r="CM122" s="2"/>
      <c r="CN122" s="2"/>
      <c r="CO122" s="2" t="s">
        <v>120</v>
      </c>
      <c r="CP122" s="2"/>
      <c r="CQ122" s="2"/>
      <c r="CR122" s="2"/>
      <c r="CS122" s="2"/>
      <c r="CT122" s="2"/>
      <c r="CU122" s="2"/>
      <c r="CV122" s="2"/>
      <c r="CW122" s="2"/>
      <c r="CX122" s="2" t="s">
        <v>133</v>
      </c>
      <c r="CY122" s="2" t="s">
        <v>115</v>
      </c>
    </row>
    <row r="123" ht="15.75" customHeight="1">
      <c r="A123" s="2" t="s">
        <v>130</v>
      </c>
      <c r="B123" s="2" t="s">
        <v>117</v>
      </c>
      <c r="C123" s="2" t="s">
        <v>104</v>
      </c>
      <c r="D123" s="2"/>
      <c r="E123" s="2"/>
      <c r="F123" s="2"/>
      <c r="G123" s="2" t="s">
        <v>103</v>
      </c>
      <c r="H123" s="2" t="s">
        <v>106</v>
      </c>
      <c r="I123" s="2" t="s">
        <v>143</v>
      </c>
      <c r="J123" s="2" t="s">
        <v>258</v>
      </c>
      <c r="K123" s="2"/>
      <c r="L123" s="2" t="s">
        <v>174</v>
      </c>
      <c r="M123" s="2" t="s">
        <v>139</v>
      </c>
      <c r="N123" s="2" t="s">
        <v>308</v>
      </c>
      <c r="O123" s="2" t="s">
        <v>113</v>
      </c>
      <c r="P123" s="2"/>
      <c r="Q123" s="2" t="s">
        <v>112</v>
      </c>
      <c r="R123" s="2"/>
      <c r="S123" s="2" t="s">
        <v>186</v>
      </c>
      <c r="T123" s="2" t="s">
        <v>115</v>
      </c>
      <c r="U123" s="2" t="s">
        <v>126</v>
      </c>
      <c r="V123" s="2" t="s">
        <v>123</v>
      </c>
      <c r="W123" s="2"/>
      <c r="X123" s="2"/>
      <c r="Y123" s="2" t="s">
        <v>125</v>
      </c>
      <c r="Z123" s="2"/>
      <c r="AA123" s="2"/>
      <c r="AB123" s="2" t="s">
        <v>120</v>
      </c>
      <c r="AC123" s="2" t="s">
        <v>119</v>
      </c>
      <c r="AD123" s="2" t="s">
        <v>111</v>
      </c>
      <c r="AE123" s="2" t="s">
        <v>130</v>
      </c>
      <c r="AF123" s="2" t="s">
        <v>125</v>
      </c>
      <c r="AG123" s="2" t="s">
        <v>116</v>
      </c>
      <c r="AH123" s="2"/>
      <c r="AI123" s="2"/>
      <c r="AJ123" s="2" t="s">
        <v>239</v>
      </c>
      <c r="AK123" s="2"/>
      <c r="AL123" s="2" t="s">
        <v>141</v>
      </c>
      <c r="AM123" s="2"/>
      <c r="AN123" s="2" t="s">
        <v>141</v>
      </c>
      <c r="AO123" s="2"/>
      <c r="AP123" s="2"/>
      <c r="AQ123" s="2"/>
      <c r="AR123" s="2"/>
      <c r="AS123" s="2"/>
      <c r="AT123" s="2" t="s">
        <v>141</v>
      </c>
      <c r="AU123" s="2" t="s">
        <v>132</v>
      </c>
      <c r="AV123" s="2" t="s">
        <v>130</v>
      </c>
      <c r="AW123" s="2" t="s">
        <v>127</v>
      </c>
      <c r="AX123" s="2"/>
      <c r="AY123" s="2" t="s">
        <v>109</v>
      </c>
      <c r="AZ123" s="2"/>
      <c r="BA123" s="2"/>
      <c r="BB123" s="2"/>
      <c r="BC123" s="2"/>
      <c r="BD123" s="2" t="s">
        <v>130</v>
      </c>
      <c r="BE123" s="2" t="s">
        <v>113</v>
      </c>
      <c r="BF123" s="2" t="s">
        <v>124</v>
      </c>
      <c r="BG123" s="2" t="s">
        <v>154</v>
      </c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3">
        <f t="shared" si="15"/>
        <v>0.5</v>
      </c>
      <c r="CD123" s="2" t="s">
        <v>168</v>
      </c>
      <c r="CE123" s="2"/>
      <c r="CF123" s="2"/>
      <c r="CG123" s="2"/>
      <c r="CH123" s="2"/>
      <c r="CI123" s="3" t="s">
        <v>157</v>
      </c>
      <c r="CJ123" s="2" t="s">
        <v>107</v>
      </c>
      <c r="CK123" s="2" t="s">
        <v>112</v>
      </c>
      <c r="CL123" s="2"/>
      <c r="CM123" s="2"/>
      <c r="CN123" s="2"/>
      <c r="CO123" s="2" t="s">
        <v>120</v>
      </c>
      <c r="CP123" s="2"/>
      <c r="CQ123" s="2"/>
      <c r="CR123" s="2"/>
      <c r="CS123" s="2"/>
      <c r="CT123" s="2"/>
      <c r="CU123" s="2"/>
      <c r="CV123" s="2"/>
      <c r="CW123" s="2"/>
      <c r="CX123" s="2" t="s">
        <v>124</v>
      </c>
      <c r="CY123" s="2" t="s">
        <v>167</v>
      </c>
    </row>
    <row r="124" ht="15.75" customHeight="1">
      <c r="A124" s="2" t="s">
        <v>116</v>
      </c>
      <c r="B124" s="2" t="s">
        <v>117</v>
      </c>
      <c r="C124" s="2" t="s">
        <v>104</v>
      </c>
      <c r="D124" s="2"/>
      <c r="E124" s="2"/>
      <c r="F124" s="2"/>
      <c r="G124" s="2" t="s">
        <v>103</v>
      </c>
      <c r="H124" s="2" t="s">
        <v>172</v>
      </c>
      <c r="I124" s="2" t="s">
        <v>309</v>
      </c>
      <c r="J124" s="2" t="s">
        <v>107</v>
      </c>
      <c r="K124" s="2"/>
      <c r="L124" s="2" t="s">
        <v>310</v>
      </c>
      <c r="M124" s="2" t="s">
        <v>129</v>
      </c>
      <c r="N124" s="2" t="s">
        <v>311</v>
      </c>
      <c r="O124" s="2" t="s">
        <v>107</v>
      </c>
      <c r="P124" s="2" t="s">
        <v>125</v>
      </c>
      <c r="Q124" s="2" t="s">
        <v>129</v>
      </c>
      <c r="R124" s="2" t="s">
        <v>177</v>
      </c>
      <c r="S124" s="2" t="s">
        <v>312</v>
      </c>
      <c r="T124" s="2" t="s">
        <v>132</v>
      </c>
      <c r="U124" s="2" t="s">
        <v>309</v>
      </c>
      <c r="V124" s="2" t="s">
        <v>109</v>
      </c>
      <c r="W124" s="2"/>
      <c r="X124" s="2"/>
      <c r="Y124" s="2" t="s">
        <v>118</v>
      </c>
      <c r="Z124" s="2"/>
      <c r="AA124" s="2" t="s">
        <v>103</v>
      </c>
      <c r="AB124" s="2" t="s">
        <v>162</v>
      </c>
      <c r="AC124" s="2" t="s">
        <v>134</v>
      </c>
      <c r="AD124" s="2" t="s">
        <v>169</v>
      </c>
      <c r="AE124" s="2" t="s">
        <v>125</v>
      </c>
      <c r="AF124" s="2" t="s">
        <v>117</v>
      </c>
      <c r="AG124" s="2" t="s">
        <v>167</v>
      </c>
      <c r="AH124" s="2"/>
      <c r="AI124" s="2"/>
      <c r="AJ124" s="2" t="s">
        <v>239</v>
      </c>
      <c r="AK124" s="2" t="s">
        <v>313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 t="s">
        <v>124</v>
      </c>
      <c r="AW124" s="2" t="s">
        <v>107</v>
      </c>
      <c r="AX124" s="2"/>
      <c r="AY124" s="2" t="s">
        <v>132</v>
      </c>
      <c r="AZ124" s="2"/>
      <c r="BA124" s="2"/>
      <c r="BB124" s="2" t="s">
        <v>130</v>
      </c>
      <c r="BC124" s="2" t="s">
        <v>140</v>
      </c>
      <c r="BD124" s="2" t="s">
        <v>103</v>
      </c>
      <c r="BE124" s="2" t="s">
        <v>123</v>
      </c>
      <c r="BF124" s="2" t="s">
        <v>124</v>
      </c>
      <c r="BG124" s="2" t="s">
        <v>129</v>
      </c>
      <c r="BH124" s="2"/>
      <c r="BI124" s="2"/>
      <c r="BJ124" s="3" t="s">
        <v>118</v>
      </c>
      <c r="BK124" s="2" t="s">
        <v>191</v>
      </c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3" t="s">
        <v>113</v>
      </c>
      <c r="BX124" s="2"/>
      <c r="BY124" s="2"/>
      <c r="BZ124" s="2"/>
      <c r="CA124" s="2"/>
      <c r="CB124" s="2"/>
      <c r="CC124" s="2" t="s">
        <v>103</v>
      </c>
      <c r="CD124" s="2" t="s">
        <v>112</v>
      </c>
      <c r="CE124" s="2"/>
      <c r="CF124" s="2"/>
      <c r="CG124" s="2"/>
      <c r="CH124" s="2"/>
      <c r="CI124" s="3" t="s">
        <v>157</v>
      </c>
      <c r="CJ124" s="2" t="s">
        <v>132</v>
      </c>
      <c r="CK124" s="2" t="s">
        <v>150</v>
      </c>
      <c r="CL124" s="2"/>
      <c r="CM124" s="2"/>
      <c r="CN124" s="2"/>
      <c r="CO124" s="2" t="s">
        <v>138</v>
      </c>
      <c r="CP124" s="2"/>
      <c r="CQ124" s="2"/>
      <c r="CR124" s="2"/>
      <c r="CS124" s="2"/>
      <c r="CT124" s="2"/>
      <c r="CU124" s="2"/>
      <c r="CV124" s="2"/>
      <c r="CW124" s="2"/>
      <c r="CX124" s="2" t="s">
        <v>120</v>
      </c>
      <c r="CY124" s="2" t="s">
        <v>113</v>
      </c>
    </row>
    <row r="125" ht="15.75" customHeight="1">
      <c r="A125" s="2" t="s">
        <v>125</v>
      </c>
      <c r="B125" s="2" t="s">
        <v>117</v>
      </c>
      <c r="C125" s="2" t="s">
        <v>104</v>
      </c>
      <c r="D125" s="2"/>
      <c r="E125" s="2" t="s">
        <v>103</v>
      </c>
      <c r="F125" s="2"/>
      <c r="G125" s="2"/>
      <c r="H125" s="2" t="s">
        <v>123</v>
      </c>
      <c r="I125" s="2" t="s">
        <v>277</v>
      </c>
      <c r="J125" s="2" t="s">
        <v>137</v>
      </c>
      <c r="K125" s="2"/>
      <c r="L125" s="2" t="s">
        <v>314</v>
      </c>
      <c r="M125" s="2" t="s">
        <v>132</v>
      </c>
      <c r="N125" s="2" t="s">
        <v>315</v>
      </c>
      <c r="O125" s="2" t="s">
        <v>111</v>
      </c>
      <c r="P125" s="2"/>
      <c r="Q125" s="3" t="s">
        <v>128</v>
      </c>
      <c r="R125" s="2"/>
      <c r="S125" s="2" t="s">
        <v>145</v>
      </c>
      <c r="T125" s="2" t="s">
        <v>172</v>
      </c>
      <c r="U125" s="2" t="s">
        <v>105</v>
      </c>
      <c r="V125" s="2" t="s">
        <v>172</v>
      </c>
      <c r="W125" s="2"/>
      <c r="X125" s="2"/>
      <c r="Y125" s="2" t="s">
        <v>118</v>
      </c>
      <c r="Z125" s="2"/>
      <c r="AA125" s="2" t="s">
        <v>103</v>
      </c>
      <c r="AB125" s="2" t="s">
        <v>124</v>
      </c>
      <c r="AC125" s="2" t="s">
        <v>226</v>
      </c>
      <c r="AD125" s="2" t="s">
        <v>134</v>
      </c>
      <c r="AE125" s="2" t="s">
        <v>133</v>
      </c>
      <c r="AF125" s="2" t="s">
        <v>117</v>
      </c>
      <c r="AG125" s="2"/>
      <c r="AH125" s="2"/>
      <c r="AI125" s="2"/>
      <c r="AJ125" s="2" t="s">
        <v>139</v>
      </c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 t="s">
        <v>103</v>
      </c>
      <c r="AW125" s="2" t="s">
        <v>141</v>
      </c>
      <c r="AX125" s="2"/>
      <c r="AY125" s="2" t="s">
        <v>123</v>
      </c>
      <c r="AZ125" s="2"/>
      <c r="BA125" s="2"/>
      <c r="BB125" s="2"/>
      <c r="BC125" s="2"/>
      <c r="BD125" s="3">
        <f>1/4</f>
        <v>0.25</v>
      </c>
      <c r="BE125" s="2" t="s">
        <v>119</v>
      </c>
      <c r="BF125" s="2">
        <f>1/2</f>
        <v>0.5</v>
      </c>
      <c r="BG125" s="2" t="s">
        <v>133</v>
      </c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>
        <f>1/2</f>
        <v>0.5</v>
      </c>
      <c r="CD125" s="2" t="s">
        <v>113</v>
      </c>
      <c r="CE125" s="2"/>
      <c r="CF125" s="2"/>
      <c r="CG125" s="2"/>
      <c r="CH125" s="2"/>
      <c r="CI125" s="3" t="s">
        <v>157</v>
      </c>
      <c r="CJ125" s="2" t="s">
        <v>107</v>
      </c>
      <c r="CK125" s="2" t="s">
        <v>112</v>
      </c>
      <c r="CL125" s="2"/>
      <c r="CM125" s="2"/>
      <c r="CN125" s="2"/>
      <c r="CO125" s="2" t="s">
        <v>120</v>
      </c>
      <c r="CP125" s="2"/>
      <c r="CQ125" s="2"/>
      <c r="CR125" s="2"/>
      <c r="CS125" s="2"/>
      <c r="CT125" s="2"/>
      <c r="CU125" s="2"/>
      <c r="CV125" s="2"/>
      <c r="CW125" s="2"/>
      <c r="CX125" s="2" t="s">
        <v>134</v>
      </c>
      <c r="CY125" s="2" t="s">
        <v>127</v>
      </c>
    </row>
    <row r="126" ht="15.75" customHeight="1">
      <c r="A126" s="2" t="s">
        <v>118</v>
      </c>
      <c r="B126" s="2" t="s">
        <v>117</v>
      </c>
      <c r="C126" s="2" t="s">
        <v>104</v>
      </c>
      <c r="D126" s="2"/>
      <c r="E126" s="2" t="s">
        <v>103</v>
      </c>
      <c r="F126" s="2"/>
      <c r="G126" s="2"/>
      <c r="H126" s="2" t="s">
        <v>162</v>
      </c>
      <c r="I126" s="2" t="s">
        <v>134</v>
      </c>
      <c r="J126" s="2" t="s">
        <v>167</v>
      </c>
      <c r="K126" s="2"/>
      <c r="L126" s="2" t="s">
        <v>163</v>
      </c>
      <c r="M126" s="2" t="s">
        <v>132</v>
      </c>
      <c r="N126" s="2" t="s">
        <v>316</v>
      </c>
      <c r="O126" s="2"/>
      <c r="P126" s="2"/>
      <c r="Q126" s="2" t="s">
        <v>112</v>
      </c>
      <c r="R126" s="2" t="s">
        <v>137</v>
      </c>
      <c r="S126" s="2" t="s">
        <v>131</v>
      </c>
      <c r="T126" s="2" t="s">
        <v>120</v>
      </c>
      <c r="U126" s="2" t="s">
        <v>134</v>
      </c>
      <c r="V126" s="2" t="s">
        <v>137</v>
      </c>
      <c r="W126" s="2"/>
      <c r="X126" s="2"/>
      <c r="Y126" s="2" t="s">
        <v>116</v>
      </c>
      <c r="Z126" s="2"/>
      <c r="AA126" s="2"/>
      <c r="AB126" s="2" t="s">
        <v>124</v>
      </c>
      <c r="AC126" s="2"/>
      <c r="AD126" s="2" t="s">
        <v>134</v>
      </c>
      <c r="AE126" s="2"/>
      <c r="AF126" s="2" t="s">
        <v>167</v>
      </c>
      <c r="AG126" s="2"/>
      <c r="AH126" s="2"/>
      <c r="AI126" s="2"/>
      <c r="AJ126" s="2" t="s">
        <v>175</v>
      </c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 t="s">
        <v>167</v>
      </c>
      <c r="AX126" s="2"/>
      <c r="AY126" s="2" t="s">
        <v>113</v>
      </c>
      <c r="AZ126" s="2"/>
      <c r="BA126" s="2"/>
      <c r="BB126" s="2"/>
      <c r="BC126" s="2"/>
      <c r="BD126" s="2" t="s">
        <v>118</v>
      </c>
      <c r="BE126" s="2" t="s">
        <v>115</v>
      </c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 t="s">
        <v>116</v>
      </c>
      <c r="CD126" s="2" t="s">
        <v>129</v>
      </c>
      <c r="CE126" s="2"/>
      <c r="CF126" s="2"/>
      <c r="CG126" s="2"/>
      <c r="CH126" s="2"/>
      <c r="CI126" s="3" t="s">
        <v>157</v>
      </c>
      <c r="CJ126" s="2" t="s">
        <v>120</v>
      </c>
      <c r="CK126" s="2" t="s">
        <v>107</v>
      </c>
      <c r="CL126" s="2"/>
      <c r="CM126" s="2"/>
      <c r="CN126" s="2"/>
      <c r="CO126" s="2" t="s">
        <v>116</v>
      </c>
      <c r="CP126" s="2"/>
      <c r="CQ126" s="2"/>
      <c r="CR126" s="2"/>
      <c r="CS126" s="2"/>
      <c r="CT126" s="2"/>
      <c r="CU126" s="2"/>
      <c r="CV126" s="2"/>
      <c r="CW126" s="2"/>
      <c r="CX126" s="2"/>
      <c r="CY126" s="2"/>
    </row>
    <row r="127" ht="15.75" customHeight="1">
      <c r="A127" s="2" t="s">
        <v>124</v>
      </c>
      <c r="B127" s="2" t="s">
        <v>117</v>
      </c>
      <c r="C127" s="2" t="s">
        <v>104</v>
      </c>
      <c r="D127" s="2"/>
      <c r="E127" s="2"/>
      <c r="F127" s="2"/>
      <c r="G127" s="2" t="s">
        <v>103</v>
      </c>
      <c r="H127" s="2" t="s">
        <v>113</v>
      </c>
      <c r="I127" s="2" t="s">
        <v>120</v>
      </c>
      <c r="J127" s="2" t="s">
        <v>107</v>
      </c>
      <c r="K127" s="2"/>
      <c r="L127" s="2" t="s">
        <v>170</v>
      </c>
      <c r="M127" s="2" t="s">
        <v>109</v>
      </c>
      <c r="N127" s="2" t="s">
        <v>263</v>
      </c>
      <c r="O127" s="2" t="s">
        <v>111</v>
      </c>
      <c r="P127" s="2"/>
      <c r="Q127" s="2" t="s">
        <v>123</v>
      </c>
      <c r="R127" s="2" t="s">
        <v>119</v>
      </c>
      <c r="S127" s="2" t="s">
        <v>317</v>
      </c>
      <c r="T127" s="2" t="s">
        <v>107</v>
      </c>
      <c r="U127" s="2" t="s">
        <v>120</v>
      </c>
      <c r="V127" s="2" t="s">
        <v>133</v>
      </c>
      <c r="W127" s="2"/>
      <c r="X127" s="2"/>
      <c r="Y127" s="2" t="s">
        <v>103</v>
      </c>
      <c r="Z127" s="2"/>
      <c r="AA127" s="2"/>
      <c r="AB127" s="2" t="s">
        <v>134</v>
      </c>
      <c r="AC127" s="2"/>
      <c r="AD127" s="2" t="s">
        <v>118</v>
      </c>
      <c r="AE127" s="2"/>
      <c r="AF127" s="2" t="s">
        <v>125</v>
      </c>
      <c r="AG127" s="2"/>
      <c r="AH127" s="2"/>
      <c r="AI127" s="2"/>
      <c r="AJ127" s="2" t="s">
        <v>186</v>
      </c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 t="s">
        <v>124</v>
      </c>
      <c r="AX127" s="2"/>
      <c r="AY127" s="2" t="s">
        <v>137</v>
      </c>
      <c r="AZ127" s="2"/>
      <c r="BA127" s="2"/>
      <c r="BB127" s="2"/>
      <c r="BC127" s="2"/>
      <c r="BD127" s="2" t="s">
        <v>125</v>
      </c>
      <c r="BE127" s="2" t="s">
        <v>123</v>
      </c>
      <c r="BF127" s="2" t="s">
        <v>116</v>
      </c>
      <c r="BG127" s="2" t="s">
        <v>132</v>
      </c>
      <c r="BH127" s="2"/>
      <c r="BI127" s="2"/>
      <c r="BJ127" s="5">
        <f>1 + (1/2)</f>
        <v>1.5</v>
      </c>
      <c r="BK127" s="2" t="s">
        <v>137</v>
      </c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 t="s">
        <v>103</v>
      </c>
      <c r="CD127" s="2" t="s">
        <v>109</v>
      </c>
      <c r="CE127" s="2"/>
      <c r="CF127" s="2"/>
      <c r="CG127" s="2"/>
      <c r="CH127" s="2"/>
      <c r="CI127" s="3" t="s">
        <v>157</v>
      </c>
      <c r="CJ127" s="2" t="s">
        <v>107</v>
      </c>
      <c r="CK127" s="2" t="s">
        <v>132</v>
      </c>
      <c r="CL127" s="2"/>
      <c r="CM127" s="2"/>
      <c r="CN127" s="2"/>
      <c r="CO127" s="2" t="s">
        <v>111</v>
      </c>
      <c r="CP127" s="2"/>
      <c r="CQ127" s="2"/>
      <c r="CR127" s="2"/>
      <c r="CS127" s="2"/>
      <c r="CT127" s="2"/>
      <c r="CU127" s="2"/>
      <c r="CV127" s="2"/>
      <c r="CW127" s="2"/>
      <c r="CX127" s="2" t="s">
        <v>111</v>
      </c>
      <c r="CY127" s="2" t="s">
        <v>137</v>
      </c>
    </row>
    <row r="128" ht="15.75" customHeight="1">
      <c r="A128" s="2" t="s">
        <v>157</v>
      </c>
      <c r="B128" s="2" t="s">
        <v>117</v>
      </c>
      <c r="C128" s="2" t="s">
        <v>104</v>
      </c>
      <c r="D128" s="2"/>
      <c r="E128" s="2" t="s">
        <v>103</v>
      </c>
      <c r="F128" s="2"/>
      <c r="G128" s="2"/>
      <c r="H128" s="2" t="s">
        <v>111</v>
      </c>
      <c r="I128" s="2" t="s">
        <v>151</v>
      </c>
      <c r="J128" s="2"/>
      <c r="K128" s="2" t="s">
        <v>318</v>
      </c>
      <c r="L128" s="2" t="s">
        <v>165</v>
      </c>
      <c r="M128" s="2" t="s">
        <v>129</v>
      </c>
      <c r="N128" s="2" t="s">
        <v>319</v>
      </c>
      <c r="O128" s="2" t="s">
        <v>111</v>
      </c>
      <c r="P128" s="2"/>
      <c r="Q128" s="2" t="s">
        <v>197</v>
      </c>
      <c r="R128" s="2" t="s">
        <v>133</v>
      </c>
      <c r="S128" s="2" t="s">
        <v>145</v>
      </c>
      <c r="T128" s="2" t="s">
        <v>123</v>
      </c>
      <c r="U128" s="2" t="s">
        <v>113</v>
      </c>
      <c r="V128" s="2" t="s">
        <v>123</v>
      </c>
      <c r="W128" s="2"/>
      <c r="X128" s="2"/>
      <c r="Y128" s="2" t="s">
        <v>118</v>
      </c>
      <c r="Z128" s="2"/>
      <c r="AA128" s="2"/>
      <c r="AB128" s="2" t="s">
        <v>111</v>
      </c>
      <c r="AC128" s="2" t="s">
        <v>117</v>
      </c>
      <c r="AD128" s="2" t="s">
        <v>134</v>
      </c>
      <c r="AE128" s="2"/>
      <c r="AF128" s="2" t="s">
        <v>157</v>
      </c>
      <c r="AG128" s="2" t="s">
        <v>125</v>
      </c>
      <c r="AH128" s="2"/>
      <c r="AI128" s="2"/>
      <c r="AJ128" s="2" t="s">
        <v>159</v>
      </c>
      <c r="AK128" s="2"/>
      <c r="AL128" s="2" t="s">
        <v>123</v>
      </c>
      <c r="AM128" s="2" t="s">
        <v>107</v>
      </c>
      <c r="AN128" s="2"/>
      <c r="AO128" s="2" t="s">
        <v>111</v>
      </c>
      <c r="AP128" s="2"/>
      <c r="AQ128" s="2"/>
      <c r="AR128" s="2"/>
      <c r="AS128" s="2"/>
      <c r="AT128" s="2" t="s">
        <v>123</v>
      </c>
      <c r="AU128" s="2" t="s">
        <v>320</v>
      </c>
      <c r="AV128" s="2" t="s">
        <v>130</v>
      </c>
      <c r="AW128" s="2" t="s">
        <v>107</v>
      </c>
      <c r="AX128" s="2"/>
      <c r="AY128" s="2" t="s">
        <v>132</v>
      </c>
      <c r="AZ128" s="2"/>
      <c r="BA128" s="2"/>
      <c r="BB128" s="2" t="s">
        <v>103</v>
      </c>
      <c r="BC128" s="2" t="s">
        <v>164</v>
      </c>
      <c r="BD128" s="3">
        <f>1/2</f>
        <v>0.5</v>
      </c>
      <c r="BE128" s="2" t="s">
        <v>123</v>
      </c>
      <c r="BF128" s="2" t="s">
        <v>125</v>
      </c>
      <c r="BG128" s="2" t="s">
        <v>112</v>
      </c>
      <c r="BH128" s="2"/>
      <c r="BI128" s="2"/>
      <c r="BJ128" s="2" t="s">
        <v>130</v>
      </c>
      <c r="BK128" s="2" t="s">
        <v>123</v>
      </c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 t="s">
        <v>115</v>
      </c>
      <c r="BX128" s="2"/>
      <c r="BY128" s="2"/>
      <c r="BZ128" s="2"/>
      <c r="CA128" s="2"/>
      <c r="CB128" s="2"/>
      <c r="CC128" s="2">
        <f t="shared" ref="CC128:CC129" si="16">1/2</f>
        <v>0.5</v>
      </c>
      <c r="CD128" s="2" t="s">
        <v>109</v>
      </c>
      <c r="CE128" s="2"/>
      <c r="CF128" s="2"/>
      <c r="CG128" s="2"/>
      <c r="CH128" s="2"/>
      <c r="CI128" s="3" t="s">
        <v>157</v>
      </c>
      <c r="CJ128" s="2" t="s">
        <v>123</v>
      </c>
      <c r="CK128" s="2" t="s">
        <v>114</v>
      </c>
      <c r="CL128" s="2"/>
      <c r="CM128" s="2"/>
      <c r="CN128" s="2"/>
      <c r="CO128" s="2" t="s">
        <v>123</v>
      </c>
      <c r="CP128" s="2"/>
      <c r="CQ128" s="2"/>
      <c r="CR128" s="2"/>
      <c r="CS128" s="2"/>
      <c r="CT128" s="2"/>
      <c r="CU128" s="2"/>
      <c r="CV128" s="2"/>
      <c r="CW128" s="2"/>
      <c r="CX128" s="2"/>
      <c r="CY128" s="2"/>
    </row>
    <row r="129" ht="15.75" customHeight="1">
      <c r="A129" s="2" t="s">
        <v>134</v>
      </c>
      <c r="B129" s="2" t="s">
        <v>117</v>
      </c>
      <c r="C129" s="2" t="s">
        <v>104</v>
      </c>
      <c r="D129" s="2"/>
      <c r="E129" s="2" t="s">
        <v>103</v>
      </c>
      <c r="F129" s="2"/>
      <c r="G129" s="2"/>
      <c r="H129" s="2" t="s">
        <v>137</v>
      </c>
      <c r="I129" s="2" t="s">
        <v>171</v>
      </c>
      <c r="J129" s="2" t="s">
        <v>125</v>
      </c>
      <c r="K129" s="2"/>
      <c r="L129" s="2" t="s">
        <v>135</v>
      </c>
      <c r="M129" s="2" t="s">
        <v>143</v>
      </c>
      <c r="N129" s="2" t="s">
        <v>131</v>
      </c>
      <c r="O129" s="2"/>
      <c r="P129" s="2"/>
      <c r="Q129" s="2"/>
      <c r="R129" s="2"/>
      <c r="S129" s="2" t="s">
        <v>321</v>
      </c>
      <c r="T129" s="2" t="s">
        <v>141</v>
      </c>
      <c r="U129" s="2" t="s">
        <v>171</v>
      </c>
      <c r="V129" s="2" t="s">
        <v>137</v>
      </c>
      <c r="W129" s="2"/>
      <c r="X129" s="2"/>
      <c r="Y129" s="2" t="s">
        <v>130</v>
      </c>
      <c r="Z129" s="2"/>
      <c r="AA129" s="2"/>
      <c r="AB129" s="2" t="s">
        <v>116</v>
      </c>
      <c r="AC129" s="2" t="s">
        <v>130</v>
      </c>
      <c r="AD129" s="2" t="s">
        <v>116</v>
      </c>
      <c r="AE129" s="2"/>
      <c r="AF129" s="2" t="s">
        <v>130</v>
      </c>
      <c r="AG129" s="2"/>
      <c r="AH129" s="2"/>
      <c r="AI129" s="2"/>
      <c r="AJ129" s="2" t="s">
        <v>131</v>
      </c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 t="s">
        <v>103</v>
      </c>
      <c r="AW129" s="2" t="s">
        <v>120</v>
      </c>
      <c r="AX129" s="2"/>
      <c r="AY129" s="2" t="s">
        <v>109</v>
      </c>
      <c r="AZ129" s="2"/>
      <c r="BA129" s="2"/>
      <c r="BB129" s="2"/>
      <c r="BC129" s="2"/>
      <c r="BD129" s="4">
        <f>1 + (1/2)</f>
        <v>1.5</v>
      </c>
      <c r="BE129" s="2" t="s">
        <v>107</v>
      </c>
      <c r="BF129" s="2" t="s">
        <v>130</v>
      </c>
      <c r="BG129" s="2" t="s">
        <v>122</v>
      </c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>
        <f t="shared" si="16"/>
        <v>0.5</v>
      </c>
      <c r="CD129" s="2" t="s">
        <v>113</v>
      </c>
      <c r="CE129" s="2"/>
      <c r="CF129" s="2"/>
      <c r="CG129" s="2"/>
      <c r="CH129" s="2"/>
      <c r="CI129" s="3" t="s">
        <v>157</v>
      </c>
      <c r="CJ129" s="2" t="s">
        <v>113</v>
      </c>
      <c r="CK129" s="2" t="s">
        <v>129</v>
      </c>
      <c r="CL129" s="2"/>
      <c r="CM129" s="2"/>
      <c r="CN129" s="2"/>
      <c r="CO129" s="2" t="s">
        <v>137</v>
      </c>
      <c r="CP129" s="2"/>
      <c r="CQ129" s="2"/>
      <c r="CR129" s="2"/>
      <c r="CS129" s="2"/>
      <c r="CT129" s="2"/>
      <c r="CU129" s="2"/>
      <c r="CV129" s="2"/>
      <c r="CW129" s="2"/>
      <c r="CX129" s="2" t="s">
        <v>134</v>
      </c>
      <c r="CY129" s="2" t="s">
        <v>119</v>
      </c>
    </row>
    <row r="130" ht="15.75" customHeight="1">
      <c r="A130" s="2" t="s">
        <v>167</v>
      </c>
      <c r="B130" s="2" t="s">
        <v>117</v>
      </c>
      <c r="C130" s="2" t="s">
        <v>104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</row>
    <row r="131" ht="15.75" customHeight="1">
      <c r="A131" s="2" t="s">
        <v>111</v>
      </c>
      <c r="B131" s="2" t="s">
        <v>117</v>
      </c>
      <c r="C131" s="2" t="s">
        <v>104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</row>
    <row r="132" ht="15.75" customHeight="1">
      <c r="A132" s="2" t="s">
        <v>103</v>
      </c>
      <c r="B132" s="2" t="s">
        <v>141</v>
      </c>
      <c r="C132" s="2" t="s">
        <v>104</v>
      </c>
      <c r="D132" s="2"/>
      <c r="E132" s="2" t="s">
        <v>103</v>
      </c>
      <c r="F132" s="2"/>
      <c r="G132" s="2"/>
      <c r="H132" s="2" t="s">
        <v>134</v>
      </c>
      <c r="I132" s="2" t="s">
        <v>157</v>
      </c>
      <c r="J132" s="2" t="s">
        <v>118</v>
      </c>
      <c r="K132" s="2"/>
      <c r="L132" s="2" t="s">
        <v>239</v>
      </c>
      <c r="M132" s="2" t="s">
        <v>123</v>
      </c>
      <c r="N132" s="2" t="s">
        <v>109</v>
      </c>
      <c r="O132" s="2"/>
      <c r="P132" s="2"/>
      <c r="Q132" s="2"/>
      <c r="R132" s="2"/>
      <c r="S132" s="2" t="s">
        <v>210</v>
      </c>
      <c r="T132" s="2" t="s">
        <v>124</v>
      </c>
      <c r="U132" s="2" t="s">
        <v>157</v>
      </c>
      <c r="V132" s="2" t="s">
        <v>134</v>
      </c>
      <c r="W132" s="2"/>
      <c r="X132" s="2"/>
      <c r="Y132" s="2" t="s">
        <v>130</v>
      </c>
      <c r="Z132" s="2"/>
      <c r="AA132" s="2"/>
      <c r="AB132" s="2"/>
      <c r="AC132" s="2"/>
      <c r="AD132" s="2" t="s">
        <v>103</v>
      </c>
      <c r="AE132" s="2" t="s">
        <v>103</v>
      </c>
      <c r="AF132" s="2" t="s">
        <v>103</v>
      </c>
      <c r="AG132" s="2"/>
      <c r="AH132" s="2"/>
      <c r="AI132" s="2"/>
      <c r="AJ132" s="2" t="s">
        <v>161</v>
      </c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 t="s">
        <v>124</v>
      </c>
      <c r="AX132" s="2"/>
      <c r="AY132" s="3" t="s">
        <v>189</v>
      </c>
      <c r="AZ132" s="2"/>
      <c r="BA132" s="2"/>
      <c r="BB132" s="2"/>
      <c r="BC132" s="2"/>
      <c r="BD132" s="2" t="s">
        <v>116</v>
      </c>
      <c r="BE132" s="2" t="s">
        <v>133</v>
      </c>
      <c r="BF132" s="2">
        <f>1/2</f>
        <v>0.5</v>
      </c>
      <c r="BG132" s="2" t="s">
        <v>120</v>
      </c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3">
        <f t="shared" ref="CC132:CC133" si="17">1/4</f>
        <v>0.25</v>
      </c>
      <c r="CD132" s="2" t="s">
        <v>123</v>
      </c>
      <c r="CE132" s="2"/>
      <c r="CF132" s="2"/>
      <c r="CG132" s="2"/>
      <c r="CH132" s="2"/>
      <c r="CI132" s="3" t="s">
        <v>148</v>
      </c>
      <c r="CJ132" s="2" t="s">
        <v>113</v>
      </c>
      <c r="CK132" s="2" t="s">
        <v>115</v>
      </c>
      <c r="CL132" s="2"/>
      <c r="CM132" s="2"/>
      <c r="CN132" s="2"/>
      <c r="CO132" s="2" t="s">
        <v>119</v>
      </c>
      <c r="CP132" s="2"/>
      <c r="CQ132" s="2"/>
      <c r="CR132" s="2"/>
      <c r="CS132" s="2"/>
      <c r="CT132" s="2"/>
      <c r="CU132" s="2"/>
      <c r="CV132" s="2"/>
      <c r="CW132" s="2"/>
      <c r="CX132" s="2"/>
      <c r="CY132" s="2"/>
    </row>
    <row r="133" ht="15.75" customHeight="1">
      <c r="A133" s="2" t="s">
        <v>130</v>
      </c>
      <c r="B133" s="2" t="s">
        <v>141</v>
      </c>
      <c r="C133" s="2" t="s">
        <v>104</v>
      </c>
      <c r="D133" s="2"/>
      <c r="E133" s="2"/>
      <c r="F133" s="2" t="s">
        <v>103</v>
      </c>
      <c r="G133" s="2"/>
      <c r="H133" s="2" t="s">
        <v>125</v>
      </c>
      <c r="I133" s="2" t="s">
        <v>118</v>
      </c>
      <c r="J133" s="2"/>
      <c r="K133" s="2"/>
      <c r="L133" s="2" t="s">
        <v>149</v>
      </c>
      <c r="M133" s="2" t="s">
        <v>118</v>
      </c>
      <c r="N133" s="2" t="s">
        <v>109</v>
      </c>
      <c r="O133" s="2"/>
      <c r="P133" s="2"/>
      <c r="Q133" s="2" t="s">
        <v>120</v>
      </c>
      <c r="R133" s="2"/>
      <c r="S133" s="2" t="s">
        <v>123</v>
      </c>
      <c r="T133" s="5">
        <f>2 + (1/2)</f>
        <v>2.5</v>
      </c>
      <c r="U133" s="2" t="s">
        <v>118</v>
      </c>
      <c r="V133" s="2" t="s">
        <v>130</v>
      </c>
      <c r="W133" s="2"/>
      <c r="X133" s="2"/>
      <c r="Y133" s="2" t="s">
        <v>103</v>
      </c>
      <c r="Z133" s="2"/>
      <c r="AA133" s="2"/>
      <c r="AB133" s="2" t="s">
        <v>103</v>
      </c>
      <c r="AC133" s="2"/>
      <c r="AD133" s="2"/>
      <c r="AE133" s="2"/>
      <c r="AF133" s="2"/>
      <c r="AG133" s="2" t="s">
        <v>103</v>
      </c>
      <c r="AH133" s="2"/>
      <c r="AI133" s="2"/>
      <c r="AJ133" s="2" t="s">
        <v>109</v>
      </c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 t="s">
        <v>157</v>
      </c>
      <c r="AX133" s="2"/>
      <c r="AY133" s="2" t="s">
        <v>133</v>
      </c>
      <c r="AZ133" s="2"/>
      <c r="BA133" s="2"/>
      <c r="BB133" s="2"/>
      <c r="BC133" s="2"/>
      <c r="BD133" s="2"/>
      <c r="BE133" s="2"/>
      <c r="BF133" s="2">
        <f>3/4</f>
        <v>0.75</v>
      </c>
      <c r="BG133" s="2" t="s">
        <v>107</v>
      </c>
      <c r="BH133" s="2"/>
      <c r="BI133" s="2"/>
      <c r="BJ133" s="2"/>
      <c r="BK133" s="2"/>
      <c r="BL133" s="2"/>
      <c r="BM133" s="2" t="s">
        <v>103</v>
      </c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>
        <f t="shared" si="17"/>
        <v>0.25</v>
      </c>
      <c r="CD133" s="2" t="s">
        <v>120</v>
      </c>
      <c r="CE133" s="2"/>
      <c r="CF133" s="2"/>
      <c r="CG133" s="2"/>
      <c r="CH133" s="2"/>
      <c r="CI133" s="3" t="s">
        <v>148</v>
      </c>
      <c r="CJ133" s="2" t="s">
        <v>123</v>
      </c>
      <c r="CK133" s="2" t="s">
        <v>129</v>
      </c>
      <c r="CL133" s="2"/>
      <c r="CM133" s="2"/>
      <c r="CN133" s="2"/>
      <c r="CO133" s="2" t="s">
        <v>137</v>
      </c>
      <c r="CP133" s="2"/>
      <c r="CQ133" s="2"/>
      <c r="CR133" s="2"/>
      <c r="CS133" s="2"/>
      <c r="CT133" s="2"/>
      <c r="CU133" s="2"/>
      <c r="CV133" s="2"/>
      <c r="CW133" s="2"/>
      <c r="CX133" s="2"/>
      <c r="CY133" s="2"/>
    </row>
    <row r="134" ht="15.75" customHeight="1">
      <c r="A134" s="2" t="s">
        <v>116</v>
      </c>
      <c r="B134" s="2" t="s">
        <v>141</v>
      </c>
      <c r="C134" s="2" t="s">
        <v>104</v>
      </c>
      <c r="D134" s="2"/>
      <c r="E134" s="2"/>
      <c r="F134" s="2"/>
      <c r="G134" s="2" t="s">
        <v>103</v>
      </c>
      <c r="H134" s="2" t="s">
        <v>117</v>
      </c>
      <c r="I134" s="2" t="s">
        <v>198</v>
      </c>
      <c r="J134" s="2" t="s">
        <v>103</v>
      </c>
      <c r="K134" s="2"/>
      <c r="L134" s="2" t="s">
        <v>239</v>
      </c>
      <c r="M134" s="2" t="s">
        <v>106</v>
      </c>
      <c r="N134" s="2" t="s">
        <v>136</v>
      </c>
      <c r="O134" s="2"/>
      <c r="P134" s="2"/>
      <c r="Q134" s="2"/>
      <c r="R134" s="2"/>
      <c r="S134" s="2" t="s">
        <v>150</v>
      </c>
      <c r="T134" s="2" t="s">
        <v>211</v>
      </c>
      <c r="U134" s="2" t="s">
        <v>160</v>
      </c>
      <c r="V134" s="2" t="s">
        <v>107</v>
      </c>
      <c r="W134" s="2"/>
      <c r="X134" s="2"/>
      <c r="Y134" s="2" t="s">
        <v>130</v>
      </c>
      <c r="Z134" s="2"/>
      <c r="AA134" s="2"/>
      <c r="AB134" s="2" t="s">
        <v>157</v>
      </c>
      <c r="AC134" s="2" t="s">
        <v>116</v>
      </c>
      <c r="AD134" s="2" t="s">
        <v>124</v>
      </c>
      <c r="AE134" s="2"/>
      <c r="AF134" s="2" t="s">
        <v>103</v>
      </c>
      <c r="AG134" s="2"/>
      <c r="AH134" s="2"/>
      <c r="AI134" s="2"/>
      <c r="AJ134" s="2" t="s">
        <v>145</v>
      </c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 t="s">
        <v>103</v>
      </c>
      <c r="AW134" s="2" t="s">
        <v>157</v>
      </c>
      <c r="AX134" s="2"/>
      <c r="AY134" s="2" t="s">
        <v>123</v>
      </c>
      <c r="AZ134" s="2"/>
      <c r="BA134" s="2"/>
      <c r="BB134" s="2"/>
      <c r="BC134" s="2"/>
      <c r="BD134" s="2" t="s">
        <v>130</v>
      </c>
      <c r="BE134" s="2" t="s">
        <v>109</v>
      </c>
      <c r="BF134" s="2" t="s">
        <v>130</v>
      </c>
      <c r="BG134" s="2" t="s">
        <v>151</v>
      </c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 t="s">
        <v>129</v>
      </c>
      <c r="BX134" s="2"/>
      <c r="BY134" s="2"/>
      <c r="BZ134" s="2"/>
      <c r="CA134" s="2"/>
      <c r="CB134" s="2"/>
      <c r="CC134" s="2">
        <f>1/2</f>
        <v>0.5</v>
      </c>
      <c r="CD134" s="2" t="s">
        <v>115</v>
      </c>
      <c r="CE134" s="2"/>
      <c r="CF134" s="2"/>
      <c r="CG134" s="2"/>
      <c r="CH134" s="2"/>
      <c r="CI134" s="3" t="s">
        <v>148</v>
      </c>
      <c r="CJ134" s="2" t="s">
        <v>109</v>
      </c>
      <c r="CK134" s="2" t="s">
        <v>150</v>
      </c>
      <c r="CL134" s="2"/>
      <c r="CM134" s="2"/>
      <c r="CN134" s="2"/>
      <c r="CO134" s="2" t="s">
        <v>133</v>
      </c>
      <c r="CP134" s="2"/>
      <c r="CQ134" s="2"/>
      <c r="CR134" s="2"/>
      <c r="CS134" s="2"/>
      <c r="CT134" s="2"/>
      <c r="CU134" s="2"/>
      <c r="CV134" s="2"/>
      <c r="CW134" s="2"/>
      <c r="CX134" s="2" t="s">
        <v>111</v>
      </c>
      <c r="CY134" s="2" t="s">
        <v>120</v>
      </c>
    </row>
    <row r="135" ht="15.75" customHeight="1">
      <c r="A135" s="2" t="s">
        <v>125</v>
      </c>
      <c r="B135" s="2" t="s">
        <v>141</v>
      </c>
      <c r="C135" s="2" t="s">
        <v>104</v>
      </c>
      <c r="D135" s="2"/>
      <c r="E135" s="2"/>
      <c r="F135" s="2"/>
      <c r="G135" s="2" t="s">
        <v>103</v>
      </c>
      <c r="H135" s="2" t="s">
        <v>133</v>
      </c>
      <c r="I135" s="2" t="s">
        <v>123</v>
      </c>
      <c r="J135" s="2" t="s">
        <v>133</v>
      </c>
      <c r="K135" s="2"/>
      <c r="L135" s="2" t="s">
        <v>170</v>
      </c>
      <c r="M135" s="2" t="s">
        <v>132</v>
      </c>
      <c r="N135" s="2" t="s">
        <v>206</v>
      </c>
      <c r="O135" s="2"/>
      <c r="P135" s="2"/>
      <c r="Q135" s="2"/>
      <c r="R135" s="2"/>
      <c r="S135" s="2" t="s">
        <v>322</v>
      </c>
      <c r="T135" s="2" t="s">
        <v>180</v>
      </c>
      <c r="U135" s="2" t="s">
        <v>123</v>
      </c>
      <c r="V135" s="2" t="s">
        <v>156</v>
      </c>
      <c r="W135" s="2"/>
      <c r="X135" s="2"/>
      <c r="Y135" s="2" t="s">
        <v>130</v>
      </c>
      <c r="Z135" s="2"/>
      <c r="AA135" s="2"/>
      <c r="AB135" s="2" t="s">
        <v>125</v>
      </c>
      <c r="AC135" s="2" t="s">
        <v>116</v>
      </c>
      <c r="AD135" s="2" t="s">
        <v>118</v>
      </c>
      <c r="AE135" s="2"/>
      <c r="AF135" s="2" t="s">
        <v>103</v>
      </c>
      <c r="AG135" s="2"/>
      <c r="AH135" s="2"/>
      <c r="AI135" s="2"/>
      <c r="AJ135" s="2" t="s">
        <v>161</v>
      </c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 t="s">
        <v>103</v>
      </c>
      <c r="AW135" s="2" t="s">
        <v>160</v>
      </c>
      <c r="AX135" s="2"/>
      <c r="AY135" s="2" t="s">
        <v>197</v>
      </c>
      <c r="AZ135" s="2"/>
      <c r="BA135" s="2"/>
      <c r="BB135" s="2"/>
      <c r="BC135" s="2"/>
      <c r="BD135" s="5">
        <f>1 + (1/2)</f>
        <v>1.5</v>
      </c>
      <c r="BE135" s="2" t="s">
        <v>133</v>
      </c>
      <c r="BF135" s="2" t="s">
        <v>116</v>
      </c>
      <c r="BG135" s="2" t="s">
        <v>210</v>
      </c>
      <c r="BH135" s="2"/>
      <c r="BI135" s="2"/>
      <c r="BJ135" s="2"/>
      <c r="BK135" s="2"/>
      <c r="BL135" s="2" t="s">
        <v>119</v>
      </c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 t="s">
        <v>130</v>
      </c>
      <c r="CD135" s="2" t="s">
        <v>150</v>
      </c>
      <c r="CE135" s="2"/>
      <c r="CF135" s="2"/>
      <c r="CG135" s="2"/>
      <c r="CH135" s="2"/>
      <c r="CI135" s="3" t="s">
        <v>148</v>
      </c>
      <c r="CJ135" s="2" t="s">
        <v>113</v>
      </c>
      <c r="CK135" s="2" t="s">
        <v>132</v>
      </c>
      <c r="CL135" s="2"/>
      <c r="CM135" s="2"/>
      <c r="CN135" s="2"/>
      <c r="CO135" s="2" t="s">
        <v>111</v>
      </c>
      <c r="CP135" s="2"/>
      <c r="CQ135" s="2"/>
      <c r="CR135" s="2"/>
      <c r="CS135" s="2"/>
      <c r="CT135" s="2"/>
      <c r="CU135" s="2"/>
      <c r="CV135" s="2"/>
      <c r="CW135" s="2"/>
      <c r="CX135" s="2" t="s">
        <v>116</v>
      </c>
      <c r="CY135" s="2" t="s">
        <v>116</v>
      </c>
    </row>
    <row r="136" ht="15.75" customHeight="1">
      <c r="A136" s="2" t="s">
        <v>118</v>
      </c>
      <c r="B136" s="2" t="s">
        <v>141</v>
      </c>
      <c r="C136" s="2" t="s">
        <v>104</v>
      </c>
      <c r="D136" s="2"/>
      <c r="E136" s="2" t="s">
        <v>103</v>
      </c>
      <c r="F136" s="2"/>
      <c r="G136" s="2"/>
      <c r="H136" s="2" t="s">
        <v>120</v>
      </c>
      <c r="I136" s="2" t="s">
        <v>323</v>
      </c>
      <c r="J136" s="2" t="s">
        <v>324</v>
      </c>
      <c r="K136" s="2" t="s">
        <v>113</v>
      </c>
      <c r="L136" s="2" t="s">
        <v>165</v>
      </c>
      <c r="M136" s="2" t="s">
        <v>132</v>
      </c>
      <c r="N136" s="2" t="s">
        <v>325</v>
      </c>
      <c r="O136" s="2"/>
      <c r="P136" s="2"/>
      <c r="Q136" s="2" t="s">
        <v>129</v>
      </c>
      <c r="R136" s="2" t="s">
        <v>326</v>
      </c>
      <c r="S136" s="2" t="s">
        <v>136</v>
      </c>
      <c r="T136" s="2" t="s">
        <v>137</v>
      </c>
      <c r="U136" s="2" t="s">
        <v>323</v>
      </c>
      <c r="V136" s="2" t="s">
        <v>107</v>
      </c>
      <c r="W136" s="2"/>
      <c r="X136" s="2"/>
      <c r="Y136" s="2" t="s">
        <v>118</v>
      </c>
      <c r="Z136" s="2"/>
      <c r="AA136" s="2"/>
      <c r="AB136" s="2" t="s">
        <v>124</v>
      </c>
      <c r="AC136" s="2" t="s">
        <v>157</v>
      </c>
      <c r="AD136" s="2" t="s">
        <v>118</v>
      </c>
      <c r="AE136" s="2"/>
      <c r="AF136" s="2"/>
      <c r="AG136" s="2" t="s">
        <v>116</v>
      </c>
      <c r="AH136" s="2"/>
      <c r="AI136" s="2"/>
      <c r="AJ136" s="2" t="s">
        <v>155</v>
      </c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 t="s">
        <v>130</v>
      </c>
      <c r="AW136" s="2" t="s">
        <v>111</v>
      </c>
      <c r="AX136" s="2"/>
      <c r="AY136" s="3" t="s">
        <v>132</v>
      </c>
      <c r="AZ136" s="2"/>
      <c r="BA136" s="2"/>
      <c r="BB136" s="2"/>
      <c r="BC136" s="2"/>
      <c r="BD136" s="2" t="s">
        <v>103</v>
      </c>
      <c r="BE136" s="2" t="s">
        <v>107</v>
      </c>
      <c r="BF136" s="2"/>
      <c r="BG136" s="2"/>
      <c r="BH136" s="2"/>
      <c r="BI136" s="2"/>
      <c r="BJ136" s="2" t="s">
        <v>130</v>
      </c>
      <c r="BK136" s="2" t="s">
        <v>106</v>
      </c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 t="s">
        <v>103</v>
      </c>
      <c r="CD136" s="2" t="s">
        <v>139</v>
      </c>
      <c r="CE136" s="2"/>
      <c r="CF136" s="2"/>
      <c r="CG136" s="2"/>
      <c r="CH136" s="2"/>
      <c r="CI136" s="3" t="s">
        <v>148</v>
      </c>
      <c r="CJ136" s="2" t="s">
        <v>109</v>
      </c>
      <c r="CK136" s="2" t="s">
        <v>132</v>
      </c>
      <c r="CL136" s="2"/>
      <c r="CM136" s="2"/>
      <c r="CN136" s="2"/>
      <c r="CO136" s="2" t="s">
        <v>107</v>
      </c>
      <c r="CP136" s="2"/>
      <c r="CQ136" s="2"/>
      <c r="CR136" s="2"/>
      <c r="CS136" s="2"/>
      <c r="CT136" s="2"/>
      <c r="CU136" s="2"/>
      <c r="CV136" s="2"/>
      <c r="CW136" s="2"/>
      <c r="CX136" s="2" t="s">
        <v>197</v>
      </c>
      <c r="CY136" s="2" t="s">
        <v>185</v>
      </c>
    </row>
    <row r="137" ht="15.75" customHeight="1">
      <c r="A137" s="2" t="s">
        <v>124</v>
      </c>
      <c r="B137" s="2" t="s">
        <v>141</v>
      </c>
      <c r="C137" s="2" t="s">
        <v>104</v>
      </c>
      <c r="D137" s="2"/>
      <c r="E137" s="2" t="s">
        <v>103</v>
      </c>
      <c r="F137" s="2"/>
      <c r="G137" s="2"/>
      <c r="H137" s="2" t="s">
        <v>111</v>
      </c>
      <c r="I137" s="2" t="s">
        <v>156</v>
      </c>
      <c r="J137" s="2" t="s">
        <v>327</v>
      </c>
      <c r="K137" s="2"/>
      <c r="L137" s="2" t="s">
        <v>244</v>
      </c>
      <c r="M137" s="2"/>
      <c r="N137" s="2"/>
      <c r="O137" s="2"/>
      <c r="P137" s="2"/>
      <c r="Q137" s="2"/>
      <c r="R137" s="2"/>
      <c r="S137" s="2" t="s">
        <v>328</v>
      </c>
      <c r="T137" s="2" t="s">
        <v>169</v>
      </c>
      <c r="U137" s="2"/>
      <c r="V137" s="2" t="s">
        <v>113</v>
      </c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 t="s">
        <v>125</v>
      </c>
      <c r="BE137" s="2" t="s">
        <v>129</v>
      </c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>
        <f t="shared" ref="CC137:CC138" si="18">1/4</f>
        <v>0.25</v>
      </c>
      <c r="CD137" s="2" t="s">
        <v>137</v>
      </c>
      <c r="CE137" s="2"/>
      <c r="CF137" s="2"/>
      <c r="CG137" s="2"/>
      <c r="CH137" s="2"/>
      <c r="CI137" s="3" t="s">
        <v>148</v>
      </c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</row>
    <row r="138" ht="15.75" customHeight="1">
      <c r="A138" s="2" t="s">
        <v>157</v>
      </c>
      <c r="B138" s="2" t="s">
        <v>141</v>
      </c>
      <c r="C138" s="2" t="s">
        <v>104</v>
      </c>
      <c r="D138" s="2"/>
      <c r="E138" s="2" t="s">
        <v>103</v>
      </c>
      <c r="F138" s="2"/>
      <c r="G138" s="2"/>
      <c r="H138" s="2" t="s">
        <v>113</v>
      </c>
      <c r="I138" s="2" t="s">
        <v>115</v>
      </c>
      <c r="J138" s="2" t="s">
        <v>113</v>
      </c>
      <c r="K138" s="2"/>
      <c r="L138" s="2" t="s">
        <v>203</v>
      </c>
      <c r="M138" s="2" t="s">
        <v>129</v>
      </c>
      <c r="N138" s="2" t="s">
        <v>329</v>
      </c>
      <c r="O138" s="2"/>
      <c r="P138" s="2"/>
      <c r="Q138" s="2" t="s">
        <v>197</v>
      </c>
      <c r="R138" s="2" t="s">
        <v>113</v>
      </c>
      <c r="S138" s="2" t="s">
        <v>287</v>
      </c>
      <c r="T138" s="2" t="s">
        <v>122</v>
      </c>
      <c r="U138" s="2" t="s">
        <v>115</v>
      </c>
      <c r="V138" s="2" t="s">
        <v>106</v>
      </c>
      <c r="W138" s="2"/>
      <c r="X138" s="2"/>
      <c r="Y138" s="2" t="s">
        <v>130</v>
      </c>
      <c r="Z138" s="2"/>
      <c r="AA138" s="2"/>
      <c r="AB138" s="2" t="s">
        <v>157</v>
      </c>
      <c r="AC138" s="2" t="s">
        <v>125</v>
      </c>
      <c r="AD138" s="2" t="s">
        <v>157</v>
      </c>
      <c r="AE138" s="2" t="s">
        <v>130</v>
      </c>
      <c r="AF138" s="2" t="s">
        <v>134</v>
      </c>
      <c r="AG138" s="2" t="s">
        <v>103</v>
      </c>
      <c r="AH138" s="2"/>
      <c r="AI138" s="2"/>
      <c r="AJ138" s="2" t="s">
        <v>145</v>
      </c>
      <c r="AK138" s="2"/>
      <c r="AL138" s="2" t="s">
        <v>164</v>
      </c>
      <c r="AM138" s="2"/>
      <c r="AN138" s="2"/>
      <c r="AO138" s="2"/>
      <c r="AP138" s="2"/>
      <c r="AQ138" s="2"/>
      <c r="AR138" s="2" t="s">
        <v>130</v>
      </c>
      <c r="AS138" s="2"/>
      <c r="AT138" s="2" t="s">
        <v>226</v>
      </c>
      <c r="AU138" s="2" t="s">
        <v>330</v>
      </c>
      <c r="AV138" s="2" t="s">
        <v>103</v>
      </c>
      <c r="AW138" s="2" t="s">
        <v>181</v>
      </c>
      <c r="AX138" s="2"/>
      <c r="AY138" s="2" t="s">
        <v>132</v>
      </c>
      <c r="AZ138" s="2"/>
      <c r="BA138" s="2"/>
      <c r="BB138" s="2"/>
      <c r="BC138" s="2"/>
      <c r="BD138" s="2" t="s">
        <v>130</v>
      </c>
      <c r="BE138" s="2" t="s">
        <v>132</v>
      </c>
      <c r="BF138" s="2" t="s">
        <v>125</v>
      </c>
      <c r="BG138" s="2" t="s">
        <v>206</v>
      </c>
      <c r="BH138" s="2" t="s">
        <v>116</v>
      </c>
      <c r="BI138" s="2" t="s">
        <v>187</v>
      </c>
      <c r="BJ138" s="5">
        <f>1 + (1/2)</f>
        <v>1.5</v>
      </c>
      <c r="BK138" s="2" t="s">
        <v>107</v>
      </c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 t="s">
        <v>129</v>
      </c>
      <c r="BX138" s="2"/>
      <c r="BY138" s="2"/>
      <c r="BZ138" s="2"/>
      <c r="CA138" s="2"/>
      <c r="CB138" s="2"/>
      <c r="CC138" s="3">
        <f t="shared" si="18"/>
        <v>0.25</v>
      </c>
      <c r="CD138" s="2" t="s">
        <v>105</v>
      </c>
      <c r="CE138" s="2"/>
      <c r="CF138" s="2"/>
      <c r="CG138" s="2"/>
      <c r="CH138" s="2"/>
      <c r="CI138" s="3" t="s">
        <v>148</v>
      </c>
      <c r="CJ138" s="2" t="s">
        <v>137</v>
      </c>
      <c r="CK138" s="2" t="s">
        <v>129</v>
      </c>
      <c r="CL138" s="2"/>
      <c r="CM138" s="2"/>
      <c r="CN138" s="2"/>
      <c r="CO138" s="2" t="s">
        <v>214</v>
      </c>
      <c r="CP138" s="2"/>
      <c r="CQ138" s="2"/>
      <c r="CR138" s="2"/>
      <c r="CS138" s="2"/>
      <c r="CT138" s="2"/>
      <c r="CU138" s="2"/>
      <c r="CV138" s="2"/>
      <c r="CW138" s="2"/>
      <c r="CX138" s="2" t="s">
        <v>133</v>
      </c>
      <c r="CY138" s="2" t="s">
        <v>331</v>
      </c>
    </row>
    <row r="139" ht="15.75" customHeight="1">
      <c r="A139" s="2" t="s">
        <v>134</v>
      </c>
      <c r="B139" s="2" t="s">
        <v>141</v>
      </c>
      <c r="C139" s="2" t="s">
        <v>104</v>
      </c>
      <c r="D139" s="2"/>
      <c r="E139" s="2" t="s">
        <v>103</v>
      </c>
      <c r="F139" s="2"/>
      <c r="G139" s="2"/>
      <c r="H139" s="2" t="s">
        <v>111</v>
      </c>
      <c r="I139" s="2" t="s">
        <v>120</v>
      </c>
      <c r="J139" s="2" t="s">
        <v>116</v>
      </c>
      <c r="K139" s="2"/>
      <c r="L139" s="2" t="s">
        <v>135</v>
      </c>
      <c r="M139" s="2"/>
      <c r="N139" s="2"/>
      <c r="O139" s="2"/>
      <c r="P139" s="2"/>
      <c r="Q139" s="2" t="s">
        <v>119</v>
      </c>
      <c r="R139" s="2"/>
      <c r="S139" s="2" t="s">
        <v>115</v>
      </c>
      <c r="T139" s="2" t="s">
        <v>124</v>
      </c>
      <c r="U139" s="2" t="s">
        <v>120</v>
      </c>
      <c r="V139" s="2" t="s">
        <v>134</v>
      </c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3" t="s">
        <v>148</v>
      </c>
      <c r="CJ139" s="2" t="s">
        <v>137</v>
      </c>
      <c r="CK139" s="2" t="s">
        <v>112</v>
      </c>
      <c r="CL139" s="2"/>
      <c r="CM139" s="2"/>
      <c r="CN139" s="2"/>
      <c r="CO139" s="2" t="s">
        <v>120</v>
      </c>
      <c r="CP139" s="2"/>
      <c r="CQ139" s="2"/>
      <c r="CR139" s="2"/>
      <c r="CS139" s="2"/>
      <c r="CT139" s="2"/>
      <c r="CU139" s="2"/>
      <c r="CV139" s="2"/>
      <c r="CW139" s="2"/>
      <c r="CX139" s="2"/>
      <c r="CY139" s="2"/>
    </row>
    <row r="140" ht="15.75" customHeight="1">
      <c r="A140" s="2" t="s">
        <v>167</v>
      </c>
      <c r="B140" s="2" t="s">
        <v>141</v>
      </c>
      <c r="C140" s="2" t="s">
        <v>104</v>
      </c>
      <c r="D140" s="2"/>
      <c r="E140" s="2" t="s">
        <v>103</v>
      </c>
      <c r="F140" s="2"/>
      <c r="G140" s="2"/>
      <c r="H140" s="2" t="s">
        <v>129</v>
      </c>
      <c r="I140" s="2" t="s">
        <v>131</v>
      </c>
      <c r="J140" s="2" t="s">
        <v>175</v>
      </c>
      <c r="K140" s="2"/>
      <c r="L140" s="2" t="s">
        <v>332</v>
      </c>
      <c r="M140" s="2" t="s">
        <v>131</v>
      </c>
      <c r="N140" s="2" t="s">
        <v>333</v>
      </c>
      <c r="O140" s="2" t="s">
        <v>139</v>
      </c>
      <c r="P140" s="2"/>
      <c r="Q140" s="2" t="s">
        <v>186</v>
      </c>
      <c r="R140" s="2" t="s">
        <v>168</v>
      </c>
      <c r="S140" s="2" t="s">
        <v>334</v>
      </c>
      <c r="T140" s="2" t="s">
        <v>176</v>
      </c>
      <c r="U140" s="2" t="s">
        <v>131</v>
      </c>
      <c r="V140" s="2" t="s">
        <v>206</v>
      </c>
      <c r="W140" s="2"/>
      <c r="X140" s="2"/>
      <c r="Y140" s="2" t="s">
        <v>181</v>
      </c>
      <c r="Z140" s="2"/>
      <c r="AA140" s="2" t="s">
        <v>125</v>
      </c>
      <c r="AB140" s="2" t="s">
        <v>187</v>
      </c>
      <c r="AC140" s="2" t="s">
        <v>226</v>
      </c>
      <c r="AD140" s="2" t="s">
        <v>169</v>
      </c>
      <c r="AE140" s="2" t="s">
        <v>117</v>
      </c>
      <c r="AF140" s="3" t="s">
        <v>335</v>
      </c>
      <c r="AG140" s="2" t="s">
        <v>130</v>
      </c>
      <c r="AH140" s="2"/>
      <c r="AI140" s="2"/>
      <c r="AJ140" s="2" t="s">
        <v>170</v>
      </c>
      <c r="AK140" s="2"/>
      <c r="AL140" s="2" t="s">
        <v>336</v>
      </c>
      <c r="AM140" s="2" t="s">
        <v>337</v>
      </c>
      <c r="AN140" s="2"/>
      <c r="AO140" s="2" t="s">
        <v>302</v>
      </c>
      <c r="AP140" s="2" t="s">
        <v>226</v>
      </c>
      <c r="AQ140" s="2" t="s">
        <v>130</v>
      </c>
      <c r="AR140" s="2" t="s">
        <v>125</v>
      </c>
      <c r="AS140" s="2"/>
      <c r="AT140" s="2" t="s">
        <v>336</v>
      </c>
      <c r="AU140" s="2" t="s">
        <v>338</v>
      </c>
      <c r="AV140" s="2" t="s">
        <v>120</v>
      </c>
      <c r="AW140" s="2" t="s">
        <v>112</v>
      </c>
      <c r="AX140" s="2"/>
      <c r="AY140" s="2" t="s">
        <v>186</v>
      </c>
      <c r="AZ140" s="2"/>
      <c r="BA140" s="2"/>
      <c r="BB140" s="2" t="s">
        <v>125</v>
      </c>
      <c r="BC140" s="2" t="s">
        <v>297</v>
      </c>
      <c r="BD140" s="2" t="s">
        <v>116</v>
      </c>
      <c r="BE140" s="2" t="s">
        <v>172</v>
      </c>
      <c r="BF140" s="2" t="s">
        <v>156</v>
      </c>
      <c r="BG140" s="2" t="s">
        <v>339</v>
      </c>
      <c r="BH140" s="5">
        <f>7 + (3/4)</f>
        <v>7.75</v>
      </c>
      <c r="BI140" s="2" t="s">
        <v>340</v>
      </c>
      <c r="BJ140" s="2"/>
      <c r="BK140" s="2"/>
      <c r="BL140" s="2"/>
      <c r="BM140" s="2" t="s">
        <v>120</v>
      </c>
      <c r="BN140" s="2"/>
      <c r="BO140" s="2"/>
      <c r="BP140" s="2"/>
      <c r="BQ140" s="2"/>
      <c r="BR140" s="2"/>
      <c r="BS140" s="2"/>
      <c r="BT140" s="2"/>
      <c r="BU140" s="2"/>
      <c r="BV140" s="2"/>
      <c r="BW140" s="2" t="s">
        <v>159</v>
      </c>
      <c r="BX140" s="2"/>
      <c r="BY140" s="2"/>
      <c r="BZ140" s="2"/>
      <c r="CA140" s="2"/>
      <c r="CB140" s="2"/>
      <c r="CC140" s="3">
        <f>1/2</f>
        <v>0.5</v>
      </c>
      <c r="CD140" s="2" t="s">
        <v>150</v>
      </c>
      <c r="CE140" s="2"/>
      <c r="CF140" s="2"/>
      <c r="CG140" s="2"/>
      <c r="CH140" s="2"/>
      <c r="CI140" s="3" t="s">
        <v>148</v>
      </c>
      <c r="CJ140" s="2" t="s">
        <v>112</v>
      </c>
      <c r="CK140" s="2" t="s">
        <v>159</v>
      </c>
      <c r="CL140" s="2"/>
      <c r="CM140" s="2"/>
      <c r="CN140" s="2"/>
      <c r="CO140" s="2" t="s">
        <v>132</v>
      </c>
      <c r="CP140" s="2"/>
      <c r="CQ140" s="2"/>
      <c r="CR140" s="2"/>
      <c r="CS140" s="2"/>
      <c r="CT140" s="2"/>
      <c r="CU140" s="2"/>
      <c r="CV140" s="2"/>
      <c r="CW140" s="2"/>
      <c r="CX140" s="2" t="s">
        <v>285</v>
      </c>
      <c r="CY140" s="2" t="s">
        <v>341</v>
      </c>
    </row>
    <row r="141" ht="15.75" customHeight="1">
      <c r="A141" s="2" t="s">
        <v>111</v>
      </c>
      <c r="B141" s="2" t="s">
        <v>141</v>
      </c>
      <c r="C141" s="2" t="s">
        <v>104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</row>
    <row r="142" ht="15.75" customHeight="1">
      <c r="A142" s="2" t="s">
        <v>103</v>
      </c>
      <c r="B142" s="2" t="s">
        <v>120</v>
      </c>
      <c r="C142" s="2" t="s">
        <v>104</v>
      </c>
      <c r="D142" s="2"/>
      <c r="E142" s="2" t="s">
        <v>103</v>
      </c>
      <c r="F142" s="2"/>
      <c r="G142" s="2"/>
      <c r="H142" s="2" t="s">
        <v>167</v>
      </c>
      <c r="I142" s="2" t="s">
        <v>164</v>
      </c>
      <c r="J142" s="2" t="s">
        <v>214</v>
      </c>
      <c r="K142" s="2"/>
      <c r="L142" s="2" t="s">
        <v>170</v>
      </c>
      <c r="M142" s="2" t="s">
        <v>132</v>
      </c>
      <c r="N142" s="2" t="s">
        <v>112</v>
      </c>
      <c r="O142" s="2"/>
      <c r="P142" s="2"/>
      <c r="Q142" s="2" t="s">
        <v>111</v>
      </c>
      <c r="R142" s="2"/>
      <c r="S142" s="2" t="s">
        <v>342</v>
      </c>
      <c r="T142" s="2" t="s">
        <v>117</v>
      </c>
      <c r="U142" s="2" t="s">
        <v>164</v>
      </c>
      <c r="V142" s="2" t="s">
        <v>120</v>
      </c>
      <c r="W142" s="2"/>
      <c r="X142" s="2"/>
      <c r="Y142" s="2" t="s">
        <v>103</v>
      </c>
      <c r="Z142" s="2"/>
      <c r="AA142" s="2"/>
      <c r="AB142" s="2" t="s">
        <v>130</v>
      </c>
      <c r="AC142" s="2" t="s">
        <v>103</v>
      </c>
      <c r="AD142" s="2" t="s">
        <v>103</v>
      </c>
      <c r="AE142" s="2"/>
      <c r="AF142" s="2" t="s">
        <v>130</v>
      </c>
      <c r="AG142" s="2"/>
      <c r="AH142" s="2"/>
      <c r="AI142" s="2"/>
      <c r="AJ142" s="2" t="s">
        <v>132</v>
      </c>
      <c r="AK142" s="2" t="s">
        <v>103</v>
      </c>
      <c r="AL142" s="2" t="s">
        <v>156</v>
      </c>
      <c r="AM142" s="2" t="s">
        <v>130</v>
      </c>
      <c r="AN142" s="2"/>
      <c r="AO142" s="2"/>
      <c r="AP142" s="2"/>
      <c r="AQ142" s="2"/>
      <c r="AR142" s="2" t="s">
        <v>130</v>
      </c>
      <c r="AS142" s="2"/>
      <c r="AT142" s="2" t="s">
        <v>156</v>
      </c>
      <c r="AU142" s="2" t="s">
        <v>221</v>
      </c>
      <c r="AV142" s="2" t="s">
        <v>103</v>
      </c>
      <c r="AW142" s="2"/>
      <c r="AX142" s="2"/>
      <c r="AY142" s="2"/>
      <c r="AZ142" s="2"/>
      <c r="BA142" s="2"/>
      <c r="BB142" s="2"/>
      <c r="BC142" s="2"/>
      <c r="BD142" s="2">
        <f>3/4</f>
        <v>0.75</v>
      </c>
      <c r="BE142" s="2" t="s">
        <v>137</v>
      </c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>
        <f>1/3</f>
        <v>0.3333333333</v>
      </c>
      <c r="CD142" s="2" t="s">
        <v>113</v>
      </c>
      <c r="CE142" s="2"/>
      <c r="CF142" s="2"/>
      <c r="CG142" s="2"/>
      <c r="CH142" s="2"/>
      <c r="CI142" s="2"/>
      <c r="CJ142" s="2" t="s">
        <v>302</v>
      </c>
      <c r="CK142" s="2" t="s">
        <v>129</v>
      </c>
      <c r="CL142" s="2"/>
      <c r="CM142" s="2"/>
      <c r="CN142" s="2"/>
      <c r="CO142" s="2" t="s">
        <v>137</v>
      </c>
      <c r="CP142" s="2"/>
      <c r="CQ142" s="2"/>
      <c r="CR142" s="2"/>
      <c r="CS142" s="2"/>
      <c r="CT142" s="2"/>
      <c r="CU142" s="2"/>
      <c r="CV142" s="2"/>
      <c r="CW142" s="2"/>
      <c r="CX142" s="3" t="s">
        <v>167</v>
      </c>
      <c r="CY142" s="2" t="s">
        <v>180</v>
      </c>
    </row>
    <row r="143" ht="15.75" customHeight="1">
      <c r="A143" s="2" t="s">
        <v>130</v>
      </c>
      <c r="B143" s="2" t="s">
        <v>120</v>
      </c>
      <c r="C143" s="2" t="s">
        <v>104</v>
      </c>
      <c r="D143" s="2"/>
      <c r="E143" s="2"/>
      <c r="F143" s="2"/>
      <c r="G143" s="2"/>
      <c r="H143" s="2"/>
      <c r="I143" s="2" t="s">
        <v>137</v>
      </c>
      <c r="J143" s="2" t="s">
        <v>107</v>
      </c>
      <c r="K143" s="2"/>
      <c r="L143" s="2" t="s">
        <v>186</v>
      </c>
      <c r="M143" s="2" t="s">
        <v>118</v>
      </c>
      <c r="N143" s="2" t="s">
        <v>113</v>
      </c>
      <c r="O143" s="2" t="s">
        <v>116</v>
      </c>
      <c r="P143" s="2"/>
      <c r="Q143" s="2"/>
      <c r="R143" s="2"/>
      <c r="S143" s="2" t="s">
        <v>331</v>
      </c>
      <c r="T143" s="2" t="s">
        <v>124</v>
      </c>
      <c r="U143" s="2" t="s">
        <v>180</v>
      </c>
      <c r="V143" s="2" t="s">
        <v>124</v>
      </c>
      <c r="W143" s="2"/>
      <c r="X143" s="2"/>
      <c r="Y143" s="2" t="s">
        <v>103</v>
      </c>
      <c r="Z143" s="2"/>
      <c r="AA143" s="2"/>
      <c r="AB143" s="2" t="s">
        <v>103</v>
      </c>
      <c r="AC143" s="2" t="s">
        <v>130</v>
      </c>
      <c r="AD143" s="2" t="s">
        <v>130</v>
      </c>
      <c r="AE143" s="2"/>
      <c r="AF143" s="2"/>
      <c r="AG143" s="2"/>
      <c r="AH143" s="2"/>
      <c r="AI143" s="2"/>
      <c r="AJ143" s="2" t="s">
        <v>109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 t="s">
        <v>103</v>
      </c>
      <c r="AW143" s="2" t="s">
        <v>134</v>
      </c>
      <c r="AX143" s="2"/>
      <c r="AY143" s="2" t="s">
        <v>133</v>
      </c>
      <c r="AZ143" s="2"/>
      <c r="BA143" s="2"/>
      <c r="BB143" s="2"/>
      <c r="BC143" s="2"/>
      <c r="BD143" s="2" t="s">
        <v>130</v>
      </c>
      <c r="BE143" s="2" t="s">
        <v>123</v>
      </c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 t="s">
        <v>103</v>
      </c>
      <c r="CD143" s="2" t="s">
        <v>132</v>
      </c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 t="s">
        <v>134</v>
      </c>
      <c r="CY143" s="2" t="s">
        <v>134</v>
      </c>
    </row>
    <row r="144" ht="15.75" customHeight="1">
      <c r="A144" s="2" t="s">
        <v>116</v>
      </c>
      <c r="B144" s="2" t="s">
        <v>120</v>
      </c>
      <c r="C144" s="2" t="s">
        <v>104</v>
      </c>
      <c r="D144" s="2"/>
      <c r="E144" s="2"/>
      <c r="F144" s="2" t="s">
        <v>103</v>
      </c>
      <c r="G144" s="2"/>
      <c r="H144" s="2" t="s">
        <v>111</v>
      </c>
      <c r="I144" s="2" t="s">
        <v>115</v>
      </c>
      <c r="J144" s="2" t="s">
        <v>137</v>
      </c>
      <c r="K144" s="2"/>
      <c r="L144" s="2" t="s">
        <v>182</v>
      </c>
      <c r="M144" s="2" t="s">
        <v>109</v>
      </c>
      <c r="N144" s="2" t="s">
        <v>138</v>
      </c>
      <c r="O144" s="2"/>
      <c r="P144" s="2"/>
      <c r="Q144" s="2"/>
      <c r="R144" s="2"/>
      <c r="S144" s="2" t="s">
        <v>250</v>
      </c>
      <c r="T144" s="2" t="s">
        <v>134</v>
      </c>
      <c r="U144" s="2" t="s">
        <v>115</v>
      </c>
      <c r="V144" s="2" t="s">
        <v>118</v>
      </c>
      <c r="W144" s="2"/>
      <c r="X144" s="2"/>
      <c r="Y144" s="2" t="s">
        <v>103</v>
      </c>
      <c r="Z144" s="2"/>
      <c r="AA144" s="2"/>
      <c r="AB144" s="2" t="s">
        <v>125</v>
      </c>
      <c r="AC144" s="2"/>
      <c r="AD144" s="2"/>
      <c r="AE144" s="2" t="s">
        <v>103</v>
      </c>
      <c r="AF144" s="2"/>
      <c r="AG144" s="2"/>
      <c r="AH144" s="2"/>
      <c r="AI144" s="2"/>
      <c r="AJ144" s="2" t="s">
        <v>129</v>
      </c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 t="s">
        <v>103</v>
      </c>
      <c r="AW144" s="2" t="s">
        <v>134</v>
      </c>
      <c r="AX144" s="2"/>
      <c r="AY144" s="2" t="s">
        <v>123</v>
      </c>
      <c r="AZ144" s="2"/>
      <c r="BA144" s="2"/>
      <c r="BB144" s="2"/>
      <c r="BC144" s="2"/>
      <c r="BD144" s="2" t="s">
        <v>103</v>
      </c>
      <c r="BE144" s="2" t="s">
        <v>127</v>
      </c>
      <c r="BF144" s="2" t="s">
        <v>103</v>
      </c>
      <c r="BG144" s="2" t="s">
        <v>125</v>
      </c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>
        <f>3/4</f>
        <v>0.75</v>
      </c>
      <c r="CD144" s="2" t="s">
        <v>115</v>
      </c>
      <c r="CE144" s="2"/>
      <c r="CF144" s="2"/>
      <c r="CG144" s="2"/>
      <c r="CH144" s="2"/>
      <c r="CI144" s="2"/>
      <c r="CJ144" s="2" t="s">
        <v>123</v>
      </c>
      <c r="CK144" s="2" t="s">
        <v>171</v>
      </c>
      <c r="CL144" s="2"/>
      <c r="CM144" s="2"/>
      <c r="CN144" s="2"/>
      <c r="CO144" s="2" t="s">
        <v>130</v>
      </c>
      <c r="CP144" s="2"/>
      <c r="CQ144" s="2"/>
      <c r="CR144" s="2"/>
      <c r="CS144" s="2"/>
      <c r="CT144" s="2"/>
      <c r="CU144" s="2"/>
      <c r="CV144" s="2"/>
      <c r="CW144" s="2"/>
      <c r="CX144" s="2" t="s">
        <v>111</v>
      </c>
      <c r="CY144" s="2" t="s">
        <v>120</v>
      </c>
    </row>
    <row r="145" ht="15.75" customHeight="1">
      <c r="A145" s="2" t="s">
        <v>125</v>
      </c>
      <c r="B145" s="2" t="s">
        <v>120</v>
      </c>
      <c r="C145" s="2" t="s">
        <v>104</v>
      </c>
      <c r="D145" s="2"/>
      <c r="E145" s="2" t="s">
        <v>103</v>
      </c>
      <c r="F145" s="2"/>
      <c r="G145" s="2"/>
      <c r="H145" s="2" t="s">
        <v>127</v>
      </c>
      <c r="I145" s="2" t="s">
        <v>146</v>
      </c>
      <c r="J145" s="2" t="s">
        <v>118</v>
      </c>
      <c r="K145" s="2"/>
      <c r="L145" s="2" t="s">
        <v>239</v>
      </c>
      <c r="M145" s="2" t="s">
        <v>132</v>
      </c>
      <c r="N145" s="2" t="s">
        <v>138</v>
      </c>
      <c r="O145" s="2"/>
      <c r="P145" s="2"/>
      <c r="Q145" s="2" t="s">
        <v>157</v>
      </c>
      <c r="R145" s="2"/>
      <c r="S145" s="2" t="s">
        <v>206</v>
      </c>
      <c r="T145" s="3" t="s">
        <v>167</v>
      </c>
      <c r="U145" s="2" t="s">
        <v>146</v>
      </c>
      <c r="V145" s="2" t="s">
        <v>156</v>
      </c>
      <c r="W145" s="2"/>
      <c r="X145" s="2"/>
      <c r="Y145" s="2" t="s">
        <v>116</v>
      </c>
      <c r="Z145" s="2"/>
      <c r="AA145" s="2"/>
      <c r="AB145" s="2" t="s">
        <v>130</v>
      </c>
      <c r="AC145" s="2" t="s">
        <v>130</v>
      </c>
      <c r="AD145" s="2" t="s">
        <v>130</v>
      </c>
      <c r="AE145" s="2"/>
      <c r="AF145" s="2" t="s">
        <v>116</v>
      </c>
      <c r="AG145" s="2"/>
      <c r="AH145" s="2"/>
      <c r="AI145" s="2"/>
      <c r="AJ145" s="2" t="s">
        <v>219</v>
      </c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 t="s">
        <v>130</v>
      </c>
      <c r="AW145" s="2" t="s">
        <v>148</v>
      </c>
      <c r="AX145" s="2"/>
      <c r="AY145" s="2"/>
      <c r="AZ145" s="2"/>
      <c r="BA145" s="2"/>
      <c r="BB145" s="2"/>
      <c r="BC145" s="2"/>
      <c r="BD145" s="2" t="s">
        <v>130</v>
      </c>
      <c r="BE145" s="2" t="s">
        <v>123</v>
      </c>
      <c r="BF145" s="2" t="s">
        <v>130</v>
      </c>
      <c r="BG145" s="2" t="s">
        <v>198</v>
      </c>
      <c r="BH145" s="2" t="s">
        <v>125</v>
      </c>
      <c r="BI145" s="2" t="s">
        <v>233</v>
      </c>
      <c r="BJ145" s="2" t="s">
        <v>103</v>
      </c>
      <c r="BK145" s="2" t="s">
        <v>111</v>
      </c>
      <c r="BL145" s="2"/>
      <c r="BM145" s="2" t="s">
        <v>116</v>
      </c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 t="s">
        <v>103</v>
      </c>
      <c r="CD145" s="2" t="s">
        <v>132</v>
      </c>
      <c r="CE145" s="2"/>
      <c r="CF145" s="2"/>
      <c r="CG145" s="2"/>
      <c r="CH145" s="2"/>
      <c r="CI145" s="2" t="s">
        <v>118</v>
      </c>
      <c r="CJ145" s="2" t="s">
        <v>291</v>
      </c>
      <c r="CK145" s="2" t="s">
        <v>132</v>
      </c>
      <c r="CL145" s="2"/>
      <c r="CM145" s="2"/>
      <c r="CN145" s="2"/>
      <c r="CO145" s="2" t="s">
        <v>111</v>
      </c>
      <c r="CP145" s="2"/>
      <c r="CQ145" s="2"/>
      <c r="CR145" s="2"/>
      <c r="CS145" s="2"/>
      <c r="CT145" s="2"/>
      <c r="CU145" s="2"/>
      <c r="CV145" s="2"/>
      <c r="CW145" s="2"/>
      <c r="CX145" s="2" t="s">
        <v>111</v>
      </c>
      <c r="CY145" s="2" t="s">
        <v>137</v>
      </c>
    </row>
    <row r="146" ht="15.75" customHeight="1">
      <c r="A146" s="2" t="s">
        <v>118</v>
      </c>
      <c r="B146" s="2" t="s">
        <v>120</v>
      </c>
      <c r="C146" s="2" t="s">
        <v>104</v>
      </c>
      <c r="D146" s="2"/>
      <c r="E146" s="2" t="s">
        <v>103</v>
      </c>
      <c r="F146" s="2"/>
      <c r="G146" s="2"/>
      <c r="H146" s="2" t="s">
        <v>134</v>
      </c>
      <c r="I146" s="2"/>
      <c r="J146" s="2"/>
      <c r="K146" s="2"/>
      <c r="L146" s="2" t="s">
        <v>175</v>
      </c>
      <c r="M146" s="2" t="s">
        <v>120</v>
      </c>
      <c r="N146" s="2" t="s">
        <v>132</v>
      </c>
      <c r="O146" s="2"/>
      <c r="P146" s="2"/>
      <c r="Q146" s="2"/>
      <c r="R146" s="2"/>
      <c r="S146" s="2" t="s">
        <v>105</v>
      </c>
      <c r="T146" s="3" t="s">
        <v>125</v>
      </c>
      <c r="U146" s="2"/>
      <c r="V146" s="2" t="s">
        <v>125</v>
      </c>
      <c r="W146" s="2"/>
      <c r="X146" s="2"/>
      <c r="Y146" s="2" t="s">
        <v>103</v>
      </c>
      <c r="Z146" s="2"/>
      <c r="AA146" s="2"/>
      <c r="AB146" s="2" t="s">
        <v>103</v>
      </c>
      <c r="AC146" s="2" t="s">
        <v>103</v>
      </c>
      <c r="AD146" s="2" t="s">
        <v>103</v>
      </c>
      <c r="AE146" s="2" t="s">
        <v>103</v>
      </c>
      <c r="AF146" s="2"/>
      <c r="AG146" s="2"/>
      <c r="AH146" s="2"/>
      <c r="AI146" s="2"/>
      <c r="AJ146" s="2" t="s">
        <v>129</v>
      </c>
      <c r="AK146" s="2"/>
      <c r="AL146" s="2" t="s">
        <v>130</v>
      </c>
      <c r="AM146" s="2"/>
      <c r="AN146" s="2"/>
      <c r="AO146" s="2"/>
      <c r="AP146" s="2"/>
      <c r="AQ146" s="2"/>
      <c r="AR146" s="2"/>
      <c r="AS146" s="2"/>
      <c r="AT146" s="2" t="s">
        <v>130</v>
      </c>
      <c r="AU146" s="2" t="s">
        <v>111</v>
      </c>
      <c r="AV146" s="2" t="s">
        <v>148</v>
      </c>
      <c r="AW146" s="2"/>
      <c r="AX146" s="2"/>
      <c r="AY146" s="2" t="s">
        <v>123</v>
      </c>
      <c r="AZ146" s="2"/>
      <c r="BA146" s="2"/>
      <c r="BB146" s="2"/>
      <c r="BC146" s="2"/>
      <c r="BD146" s="2" t="s">
        <v>103</v>
      </c>
      <c r="BE146" s="2" t="s">
        <v>133</v>
      </c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>
        <f t="shared" ref="CC146:CC147" si="19">1/2</f>
        <v>0.5</v>
      </c>
      <c r="CD146" s="2" t="s">
        <v>123</v>
      </c>
      <c r="CE146" s="2"/>
      <c r="CF146" s="2"/>
      <c r="CG146" s="2"/>
      <c r="CH146" s="2"/>
      <c r="CI146" s="2"/>
      <c r="CJ146" s="2" t="s">
        <v>167</v>
      </c>
      <c r="CK146" s="2" t="s">
        <v>133</v>
      </c>
      <c r="CL146" s="2"/>
      <c r="CM146" s="2"/>
      <c r="CN146" s="2"/>
      <c r="CO146" s="2" t="s">
        <v>124</v>
      </c>
      <c r="CP146" s="2"/>
      <c r="CQ146" s="2"/>
      <c r="CR146" s="2"/>
      <c r="CS146" s="2"/>
      <c r="CT146" s="2"/>
      <c r="CU146" s="2"/>
      <c r="CV146" s="2"/>
      <c r="CW146" s="2"/>
      <c r="CX146" s="2"/>
      <c r="CY146" s="2"/>
    </row>
    <row r="147" ht="15.75" customHeight="1">
      <c r="A147" s="2" t="s">
        <v>124</v>
      </c>
      <c r="B147" s="2" t="s">
        <v>120</v>
      </c>
      <c r="C147" s="2" t="s">
        <v>104</v>
      </c>
      <c r="D147" s="2"/>
      <c r="E147" s="2"/>
      <c r="F147" s="2"/>
      <c r="G147" s="2" t="s">
        <v>103</v>
      </c>
      <c r="H147" s="2" t="s">
        <v>109</v>
      </c>
      <c r="I147" s="2" t="s">
        <v>176</v>
      </c>
      <c r="J147" s="2" t="s">
        <v>176</v>
      </c>
      <c r="K147" s="2"/>
      <c r="L147" s="2" t="s">
        <v>274</v>
      </c>
      <c r="M147" s="2" t="s">
        <v>129</v>
      </c>
      <c r="N147" s="2" t="s">
        <v>178</v>
      </c>
      <c r="O147" s="3" t="s">
        <v>111</v>
      </c>
      <c r="P147" s="2"/>
      <c r="Q147" s="2" t="s">
        <v>260</v>
      </c>
      <c r="R147" s="2" t="s">
        <v>123</v>
      </c>
      <c r="S147" s="2" t="s">
        <v>159</v>
      </c>
      <c r="T147" s="2" t="s">
        <v>197</v>
      </c>
      <c r="U147" s="2" t="s">
        <v>132</v>
      </c>
      <c r="V147" s="2" t="s">
        <v>161</v>
      </c>
      <c r="W147" s="2"/>
      <c r="X147" s="2"/>
      <c r="Y147" s="2" t="s">
        <v>125</v>
      </c>
      <c r="Z147" s="2"/>
      <c r="AA147" s="2" t="s">
        <v>130</v>
      </c>
      <c r="AB147" s="2" t="s">
        <v>119</v>
      </c>
      <c r="AC147" s="2" t="s">
        <v>107</v>
      </c>
      <c r="AD147" s="2" t="s">
        <v>120</v>
      </c>
      <c r="AE147" s="2" t="s">
        <v>167</v>
      </c>
      <c r="AF147" s="2" t="s">
        <v>156</v>
      </c>
      <c r="AG147" s="2" t="s">
        <v>103</v>
      </c>
      <c r="AH147" s="2"/>
      <c r="AI147" s="2"/>
      <c r="AJ147" s="2" t="s">
        <v>247</v>
      </c>
      <c r="AK147" s="2" t="s">
        <v>109</v>
      </c>
      <c r="AL147" s="2" t="s">
        <v>191</v>
      </c>
      <c r="AM147" s="2" t="s">
        <v>122</v>
      </c>
      <c r="AN147" s="2"/>
      <c r="AO147" s="2" t="s">
        <v>130</v>
      </c>
      <c r="AP147" s="2" t="s">
        <v>116</v>
      </c>
      <c r="AQ147" s="2"/>
      <c r="AR147" s="2"/>
      <c r="AS147" s="2"/>
      <c r="AT147" s="2" t="s">
        <v>191</v>
      </c>
      <c r="AU147" s="2" t="s">
        <v>183</v>
      </c>
      <c r="AV147" s="2" t="s">
        <v>118</v>
      </c>
      <c r="AW147" s="2" t="s">
        <v>111</v>
      </c>
      <c r="AX147" s="2"/>
      <c r="AY147" s="2" t="s">
        <v>123</v>
      </c>
      <c r="AZ147" s="2">
        <f>3/4</f>
        <v>0.75</v>
      </c>
      <c r="BA147" s="2" t="s">
        <v>119</v>
      </c>
      <c r="BB147" s="2"/>
      <c r="BC147" s="2"/>
      <c r="BD147" s="4">
        <f>1 + (3/4)</f>
        <v>1.75</v>
      </c>
      <c r="BE147" s="2" t="s">
        <v>115</v>
      </c>
      <c r="BF147" s="2" t="s">
        <v>118</v>
      </c>
      <c r="BG147" s="2" t="s">
        <v>277</v>
      </c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 t="s">
        <v>131</v>
      </c>
      <c r="BX147" s="2"/>
      <c r="BY147" s="2"/>
      <c r="BZ147" s="2"/>
      <c r="CA147" s="2"/>
      <c r="CB147" s="2"/>
      <c r="CC147" s="2">
        <f t="shared" si="19"/>
        <v>0.5</v>
      </c>
      <c r="CD147" s="2" t="s">
        <v>113</v>
      </c>
      <c r="CE147" s="2"/>
      <c r="CF147" s="2"/>
      <c r="CG147" s="2"/>
      <c r="CH147" s="2"/>
      <c r="CI147" s="2"/>
      <c r="CJ147" s="2" t="s">
        <v>107</v>
      </c>
      <c r="CK147" s="2" t="s">
        <v>129</v>
      </c>
      <c r="CL147" s="2"/>
      <c r="CM147" s="2"/>
      <c r="CN147" s="2"/>
      <c r="CO147" s="2" t="s">
        <v>107</v>
      </c>
      <c r="CP147" s="2"/>
      <c r="CQ147" s="2"/>
      <c r="CR147" s="2"/>
      <c r="CS147" s="2"/>
      <c r="CT147" s="2"/>
      <c r="CU147" s="2"/>
      <c r="CV147" s="2"/>
      <c r="CW147" s="2"/>
      <c r="CX147" s="2" t="s">
        <v>137</v>
      </c>
      <c r="CY147" s="2" t="s">
        <v>111</v>
      </c>
    </row>
    <row r="148" ht="15.75" customHeight="1">
      <c r="A148" s="2" t="s">
        <v>157</v>
      </c>
      <c r="B148" s="2" t="s">
        <v>120</v>
      </c>
      <c r="C148" s="2" t="s">
        <v>104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</row>
    <row r="149" ht="15.75" customHeight="1">
      <c r="A149" s="2" t="s">
        <v>134</v>
      </c>
      <c r="B149" s="2" t="s">
        <v>120</v>
      </c>
      <c r="C149" s="2" t="s">
        <v>104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</row>
    <row r="150" ht="15.75" customHeight="1">
      <c r="A150" s="2" t="s">
        <v>167</v>
      </c>
      <c r="B150" s="2" t="s">
        <v>120</v>
      </c>
      <c r="C150" s="2" t="s">
        <v>104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</row>
    <row r="151" ht="15.75" customHeight="1">
      <c r="A151" s="2" t="s">
        <v>111</v>
      </c>
      <c r="B151" s="2" t="s">
        <v>120</v>
      </c>
      <c r="C151" s="2" t="s">
        <v>104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</row>
    <row r="152" ht="15.75" customHeight="1">
      <c r="A152" s="6"/>
      <c r="B152" s="6"/>
      <c r="C152" s="6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</row>
    <row r="153" ht="15.75" customHeight="1">
      <c r="A153" s="6"/>
      <c r="B153" s="6"/>
      <c r="C153" s="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</row>
    <row r="154" ht="15.75" customHeight="1">
      <c r="A154" s="6"/>
      <c r="B154" s="6"/>
      <c r="C154" s="6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</row>
    <row r="155" ht="15.75" customHeight="1">
      <c r="A155" s="6"/>
      <c r="B155" s="6"/>
      <c r="C155" s="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</row>
    <row r="156" ht="15.75" customHeight="1">
      <c r="A156" s="6"/>
      <c r="B156" s="6"/>
      <c r="C156" s="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</row>
    <row r="157" ht="15.75" customHeight="1">
      <c r="A157" s="6"/>
      <c r="B157" s="6"/>
      <c r="C157" s="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</row>
    <row r="158" ht="15.75" customHeight="1">
      <c r="A158" s="6"/>
      <c r="B158" s="6"/>
      <c r="C158" s="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</row>
    <row r="159" ht="15.75" customHeight="1">
      <c r="A159" s="6"/>
      <c r="B159" s="6"/>
      <c r="C159" s="6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</row>
    <row r="160" ht="15.75" customHeight="1">
      <c r="A160" s="6"/>
      <c r="B160" s="6"/>
      <c r="C160" s="6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</row>
    <row r="161" ht="15.75" customHeight="1">
      <c r="A161" s="6"/>
      <c r="B161" s="6"/>
      <c r="C161" s="6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</row>
  </sheetData>
  <printOptions/>
  <pageMargins bottom="0.75" footer="0.0" header="0.0" left="0.7" right="0.7" top="0.75"/>
  <pageSetup orientation="landscape"/>
  <drawing r:id="rId1"/>
</worksheet>
</file>