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80_Leicester_NoNames" sheetId="1" r:id="rId4"/>
  </sheets>
  <definedNames/>
  <calcPr/>
</workbook>
</file>

<file path=xl/sharedStrings.xml><?xml version="1.0" encoding="utf-8"?>
<sst xmlns="http://schemas.openxmlformats.org/spreadsheetml/2006/main" count="3616" uniqueCount="435">
  <si>
    <t>rown</t>
  </si>
  <si>
    <t>pg_num</t>
  </si>
  <si>
    <t>town</t>
  </si>
  <si>
    <t>Name Original</t>
  </si>
  <si>
    <t>owner</t>
  </si>
  <si>
    <t>monthly_rental</t>
  </si>
  <si>
    <t>share_rental</t>
  </si>
  <si>
    <t>tilled</t>
  </si>
  <si>
    <t>meadow</t>
  </si>
  <si>
    <t>woodland</t>
  </si>
  <si>
    <t>other_unimproved</t>
  </si>
  <si>
    <t>cash_val</t>
  </si>
  <si>
    <t>machine_val</t>
  </si>
  <si>
    <t>livestock_val</t>
  </si>
  <si>
    <t>cost_fences</t>
  </si>
  <si>
    <t>cost_fertilizers</t>
  </si>
  <si>
    <t>wages</t>
  </si>
  <si>
    <t>weeks_hired</t>
  </si>
  <si>
    <t>total_val</t>
  </si>
  <si>
    <t>mown_grass</t>
  </si>
  <si>
    <t>unmown_grass</t>
  </si>
  <si>
    <t>hay</t>
  </si>
  <si>
    <t>clover</t>
  </si>
  <si>
    <t>grass</t>
  </si>
  <si>
    <t>horse</t>
  </si>
  <si>
    <t>mules</t>
  </si>
  <si>
    <t>oxen</t>
  </si>
  <si>
    <t>milkcow</t>
  </si>
  <si>
    <t>cattle</t>
  </si>
  <si>
    <t>calves</t>
  </si>
  <si>
    <t>cattle_purchased</t>
  </si>
  <si>
    <t>cattle_soldliving</t>
  </si>
  <si>
    <t>cattle_slaughtered</t>
  </si>
  <si>
    <t>cattle_lost</t>
  </si>
  <si>
    <t>milk</t>
  </si>
  <si>
    <t>butter</t>
  </si>
  <si>
    <t>cheese</t>
  </si>
  <si>
    <t>sheep</t>
  </si>
  <si>
    <t>lambs_dropped</t>
  </si>
  <si>
    <t>sheep_purchased</t>
  </si>
  <si>
    <t>sheep_soldliving</t>
  </si>
  <si>
    <t>sheep_slaughtered</t>
  </si>
  <si>
    <t>sheep_killed</t>
  </si>
  <si>
    <t>sheep_disease</t>
  </si>
  <si>
    <t>sheep_stress</t>
  </si>
  <si>
    <t>fleeces_num</t>
  </si>
  <si>
    <t>fleeces_wt</t>
  </si>
  <si>
    <t>swine</t>
  </si>
  <si>
    <t>barnyard_poultry</t>
  </si>
  <si>
    <t>other_poultry</t>
  </si>
  <si>
    <t>eggs</t>
  </si>
  <si>
    <t>barley_acres</t>
  </si>
  <si>
    <t>barley</t>
  </si>
  <si>
    <t>buckwheat_acres</t>
  </si>
  <si>
    <t>buckwheat</t>
  </si>
  <si>
    <t>corn_acres</t>
  </si>
  <si>
    <t>corn</t>
  </si>
  <si>
    <t>oats_acres</t>
  </si>
  <si>
    <t>oats</t>
  </si>
  <si>
    <t>rye_acres</t>
  </si>
  <si>
    <t>rye</t>
  </si>
  <si>
    <t>wheat_acres</t>
  </si>
  <si>
    <t>wheat</t>
  </si>
  <si>
    <t>peas</t>
  </si>
  <si>
    <t>beans</t>
  </si>
  <si>
    <t>flax_acres</t>
  </si>
  <si>
    <t>flaxseed</t>
  </si>
  <si>
    <t>flaxstraw</t>
  </si>
  <si>
    <t>flax</t>
  </si>
  <si>
    <t>hemp_acres</t>
  </si>
  <si>
    <t>hemp</t>
  </si>
  <si>
    <t>sorghum_acres</t>
  </si>
  <si>
    <t>sorghum_sugar</t>
  </si>
  <si>
    <t>sorghum_molasses</t>
  </si>
  <si>
    <t>maplesugar</t>
  </si>
  <si>
    <t>maple_molasses</t>
  </si>
  <si>
    <t>broomcorn_acres</t>
  </si>
  <si>
    <t>broomcorn</t>
  </si>
  <si>
    <t>hops_acres</t>
  </si>
  <si>
    <t>hops</t>
  </si>
  <si>
    <t>potatoes_acres</t>
  </si>
  <si>
    <t>potatoes</t>
  </si>
  <si>
    <t>sweetpotatoes_acres</t>
  </si>
  <si>
    <t>sweetpotatoes</t>
  </si>
  <si>
    <t>tobacco_acres</t>
  </si>
  <si>
    <t>tobacco</t>
  </si>
  <si>
    <t>apple_acres</t>
  </si>
  <si>
    <t>apple_trees</t>
  </si>
  <si>
    <t>apples</t>
  </si>
  <si>
    <t>peach_acres</t>
  </si>
  <si>
    <t>peach_trees</t>
  </si>
  <si>
    <t>peaches</t>
  </si>
  <si>
    <t>orchard_val</t>
  </si>
  <si>
    <t>nursery_acres</t>
  </si>
  <si>
    <t>nursery_val</t>
  </si>
  <si>
    <t>vineyard_acres</t>
  </si>
  <si>
    <t>grapes</t>
  </si>
  <si>
    <t>wine</t>
  </si>
  <si>
    <t>produce_val</t>
  </si>
  <si>
    <t>honey</t>
  </si>
  <si>
    <t>beeswax</t>
  </si>
  <si>
    <t>wood</t>
  </si>
  <si>
    <t>forest_val</t>
  </si>
  <si>
    <t>1</t>
  </si>
  <si>
    <t>Leicester</t>
  </si>
  <si>
    <t>30</t>
  </si>
  <si>
    <t>20</t>
  </si>
  <si>
    <t>46</t>
  </si>
  <si>
    <t>1000</t>
  </si>
  <si>
    <t>40</t>
  </si>
  <si>
    <t>45</t>
  </si>
  <si>
    <t>8</t>
  </si>
  <si>
    <t>14</t>
  </si>
  <si>
    <t>3</t>
  </si>
  <si>
    <t>250</t>
  </si>
  <si>
    <t>22</t>
  </si>
  <si>
    <t>2</t>
  </si>
  <si>
    <t>255</t>
  </si>
  <si>
    <t>12</t>
  </si>
  <si>
    <t>141</t>
  </si>
  <si>
    <t>200</t>
  </si>
  <si>
    <t>7</t>
  </si>
  <si>
    <t>4</t>
  </si>
  <si>
    <t>15</t>
  </si>
  <si>
    <t>235</t>
  </si>
  <si>
    <t>225</t>
  </si>
  <si>
    <t>350</t>
  </si>
  <si>
    <t>296</t>
  </si>
  <si>
    <t>135</t>
  </si>
  <si>
    <t>5</t>
  </si>
  <si>
    <t>6</t>
  </si>
  <si>
    <t>50</t>
  </si>
  <si>
    <t>540</t>
  </si>
  <si>
    <t>25</t>
  </si>
  <si>
    <t>380</t>
  </si>
  <si>
    <t>100</t>
  </si>
  <si>
    <t>150</t>
  </si>
  <si>
    <t>75</t>
  </si>
  <si>
    <t>10</t>
  </si>
  <si>
    <t>400</t>
  </si>
  <si>
    <t>85</t>
  </si>
  <si>
    <t>160</t>
  </si>
  <si>
    <t>60</t>
  </si>
  <si>
    <t>16</t>
  </si>
  <si>
    <t>11</t>
  </si>
  <si>
    <t>13</t>
  </si>
  <si>
    <t>700</t>
  </si>
  <si>
    <t>83</t>
  </si>
  <si>
    <t>17</t>
  </si>
  <si>
    <t>18</t>
  </si>
  <si>
    <t>9</t>
  </si>
  <si>
    <t>24</t>
  </si>
  <si>
    <t>88</t>
  </si>
  <si>
    <t>1800</t>
  </si>
  <si>
    <t>320</t>
  </si>
  <si>
    <t>70</t>
  </si>
  <si>
    <t>227</t>
  </si>
  <si>
    <t>23</t>
  </si>
  <si>
    <t>38</t>
  </si>
  <si>
    <t>39</t>
  </si>
  <si>
    <t>1200</t>
  </si>
  <si>
    <t>185</t>
  </si>
  <si>
    <t>41</t>
  </si>
  <si>
    <t>258</t>
  </si>
  <si>
    <t>640</t>
  </si>
  <si>
    <t>43</t>
  </si>
  <si>
    <t>28</t>
  </si>
  <si>
    <t>2500</t>
  </si>
  <si>
    <t>217</t>
  </si>
  <si>
    <t>77</t>
  </si>
  <si>
    <t>256</t>
  </si>
  <si>
    <t>19</t>
  </si>
  <si>
    <t>650</t>
  </si>
  <si>
    <t>110</t>
  </si>
  <si>
    <t>36</t>
  </si>
  <si>
    <t>175</t>
  </si>
  <si>
    <t>154</t>
  </si>
  <si>
    <t>1400</t>
  </si>
  <si>
    <t>425</t>
  </si>
  <si>
    <t>360</t>
  </si>
  <si>
    <t>600</t>
  </si>
  <si>
    <t>300</t>
  </si>
  <si>
    <t>55</t>
  </si>
  <si>
    <t>500</t>
  </si>
  <si>
    <t>80</t>
  </si>
  <si>
    <t>35</t>
  </si>
  <si>
    <t>220</t>
  </si>
  <si>
    <t>125</t>
  </si>
  <si>
    <t>61</t>
  </si>
  <si>
    <t>1600</t>
  </si>
  <si>
    <t>56</t>
  </si>
  <si>
    <t>2000</t>
  </si>
  <si>
    <t>335</t>
  </si>
  <si>
    <t>140</t>
  </si>
  <si>
    <t>3000</t>
  </si>
  <si>
    <t>65</t>
  </si>
  <si>
    <t>193</t>
  </si>
  <si>
    <t>120</t>
  </si>
  <si>
    <t>240</t>
  </si>
  <si>
    <t>116</t>
  </si>
  <si>
    <t>386</t>
  </si>
  <si>
    <t>64</t>
  </si>
  <si>
    <t>423</t>
  </si>
  <si>
    <t>42</t>
  </si>
  <si>
    <t>95</t>
  </si>
  <si>
    <t>48</t>
  </si>
  <si>
    <t>90</t>
  </si>
  <si>
    <t>385</t>
  </si>
  <si>
    <t>287</t>
  </si>
  <si>
    <t>37</t>
  </si>
  <si>
    <t>464</t>
  </si>
  <si>
    <t>363</t>
  </si>
  <si>
    <t>163</t>
  </si>
  <si>
    <t>53</t>
  </si>
  <si>
    <t>4000</t>
  </si>
  <si>
    <t>467</t>
  </si>
  <si>
    <t>122</t>
  </si>
  <si>
    <t>33</t>
  </si>
  <si>
    <t>900</t>
  </si>
  <si>
    <t>82</t>
  </si>
  <si>
    <t>411</t>
  </si>
  <si>
    <t>209</t>
  </si>
  <si>
    <t>462</t>
  </si>
  <si>
    <t>115</t>
  </si>
  <si>
    <t>2600</t>
  </si>
  <si>
    <t>222</t>
  </si>
  <si>
    <t>412</t>
  </si>
  <si>
    <t>21</t>
  </si>
  <si>
    <t>1075</t>
  </si>
  <si>
    <t>58</t>
  </si>
  <si>
    <t>326</t>
  </si>
  <si>
    <t>191</t>
  </si>
  <si>
    <t>26</t>
  </si>
  <si>
    <t>180</t>
  </si>
  <si>
    <t>147</t>
  </si>
  <si>
    <t>318</t>
  </si>
  <si>
    <t>102</t>
  </si>
  <si>
    <t>34</t>
  </si>
  <si>
    <t>2400</t>
  </si>
  <si>
    <t>310</t>
  </si>
  <si>
    <t>144</t>
  </si>
  <si>
    <t>52</t>
  </si>
  <si>
    <t>187</t>
  </si>
  <si>
    <t>92</t>
  </si>
  <si>
    <t>32</t>
  </si>
  <si>
    <t>416</t>
  </si>
  <si>
    <t>81</t>
  </si>
  <si>
    <t>550</t>
  </si>
  <si>
    <t>340</t>
  </si>
  <si>
    <t>66</t>
  </si>
  <si>
    <t>29</t>
  </si>
  <si>
    <t>6000</t>
  </si>
  <si>
    <t>404</t>
  </si>
  <si>
    <t>112</t>
  </si>
  <si>
    <t>1067</t>
  </si>
  <si>
    <t>1500</t>
  </si>
  <si>
    <t>210</t>
  </si>
  <si>
    <t>3500</t>
  </si>
  <si>
    <t>517</t>
  </si>
  <si>
    <t>435</t>
  </si>
  <si>
    <t>281</t>
  </si>
  <si>
    <t>27</t>
  </si>
  <si>
    <t>184</t>
  </si>
  <si>
    <t>169</t>
  </si>
  <si>
    <t>2300</t>
  </si>
  <si>
    <t>336</t>
  </si>
  <si>
    <t>306</t>
  </si>
  <si>
    <t>5000</t>
  </si>
  <si>
    <t>370</t>
  </si>
  <si>
    <t>547</t>
  </si>
  <si>
    <t>265</t>
  </si>
  <si>
    <t>69</t>
  </si>
  <si>
    <t>7500</t>
  </si>
  <si>
    <t>337</t>
  </si>
  <si>
    <t>750</t>
  </si>
  <si>
    <t>635</t>
  </si>
  <si>
    <t>330</t>
  </si>
  <si>
    <t>7300</t>
  </si>
  <si>
    <t>983</t>
  </si>
  <si>
    <t>934</t>
  </si>
  <si>
    <t>57</t>
  </si>
  <si>
    <t>280</t>
  </si>
  <si>
    <t>153</t>
  </si>
  <si>
    <t>608</t>
  </si>
  <si>
    <t>530</t>
  </si>
  <si>
    <t>4500</t>
  </si>
  <si>
    <t>2742</t>
  </si>
  <si>
    <t>483</t>
  </si>
  <si>
    <t>104</t>
  </si>
  <si>
    <t>1191</t>
  </si>
  <si>
    <t>99</t>
  </si>
  <si>
    <t>245</t>
  </si>
  <si>
    <t>247</t>
  </si>
  <si>
    <t>275</t>
  </si>
  <si>
    <t>1900</t>
  </si>
  <si>
    <t>749</t>
  </si>
  <si>
    <t>136</t>
  </si>
  <si>
    <t>8000</t>
  </si>
  <si>
    <t>924</t>
  </si>
  <si>
    <t>114</t>
  </si>
  <si>
    <t>689</t>
  </si>
  <si>
    <t>96</t>
  </si>
  <si>
    <t>660</t>
  </si>
  <si>
    <t>314</t>
  </si>
  <si>
    <t>3200</t>
  </si>
  <si>
    <t>373</t>
  </si>
  <si>
    <t>800</t>
  </si>
  <si>
    <t>7000</t>
  </si>
  <si>
    <t>740</t>
  </si>
  <si>
    <t>76</t>
  </si>
  <si>
    <t>118</t>
  </si>
  <si>
    <t>643</t>
  </si>
  <si>
    <t>164</t>
  </si>
  <si>
    <t>714</t>
  </si>
  <si>
    <t>1733</t>
  </si>
  <si>
    <t>137</t>
  </si>
  <si>
    <t>434</t>
  </si>
  <si>
    <t>591</t>
  </si>
  <si>
    <t>124</t>
  </si>
  <si>
    <t>101</t>
  </si>
  <si>
    <t>604</t>
  </si>
  <si>
    <t>145</t>
  </si>
  <si>
    <t>105</t>
  </si>
  <si>
    <t>63</t>
  </si>
  <si>
    <t>503</t>
  </si>
  <si>
    <t>387</t>
  </si>
  <si>
    <t>850</t>
  </si>
  <si>
    <t>212</t>
  </si>
  <si>
    <t>489</t>
  </si>
  <si>
    <t>354</t>
  </si>
  <si>
    <t>512</t>
  </si>
  <si>
    <t>151</t>
  </si>
  <si>
    <t>10000</t>
  </si>
  <si>
    <t>2809</t>
  </si>
  <si>
    <t>852</t>
  </si>
  <si>
    <t>156</t>
  </si>
  <si>
    <t>2213</t>
  </si>
  <si>
    <t>390</t>
  </si>
  <si>
    <t>430</t>
  </si>
  <si>
    <t>86</t>
  </si>
  <si>
    <t>302</t>
  </si>
  <si>
    <t>298</t>
  </si>
  <si>
    <t>525</t>
  </si>
  <si>
    <t>133</t>
  </si>
  <si>
    <t>524</t>
  </si>
  <si>
    <t>78</t>
  </si>
  <si>
    <t>784</t>
  </si>
  <si>
    <t>1300</t>
  </si>
  <si>
    <t>190</t>
  </si>
  <si>
    <t>224</t>
  </si>
  <si>
    <t>130</t>
  </si>
  <si>
    <t>270</t>
  </si>
  <si>
    <t>206</t>
  </si>
  <si>
    <t>9000</t>
  </si>
  <si>
    <t>1133</t>
  </si>
  <si>
    <t>1282</t>
  </si>
  <si>
    <t>295</t>
  </si>
  <si>
    <t>132</t>
  </si>
  <si>
    <t>31</t>
  </si>
  <si>
    <t>62</t>
  </si>
  <si>
    <t>2800</t>
  </si>
  <si>
    <t>230</t>
  </si>
  <si>
    <t>454</t>
  </si>
  <si>
    <t>325</t>
  </si>
  <si>
    <t>234</t>
  </si>
  <si>
    <t>12000</t>
  </si>
  <si>
    <t>978</t>
  </si>
  <si>
    <t>312</t>
  </si>
  <si>
    <t>1152</t>
  </si>
  <si>
    <t>171</t>
  </si>
  <si>
    <t>108</t>
  </si>
  <si>
    <t>182</t>
  </si>
  <si>
    <t>226</t>
  </si>
  <si>
    <t>165</t>
  </si>
  <si>
    <t>93</t>
  </si>
  <si>
    <t>4800</t>
  </si>
  <si>
    <t>1033</t>
  </si>
  <si>
    <t>771</t>
  </si>
  <si>
    <t>1750</t>
  </si>
  <si>
    <t>173</t>
  </si>
  <si>
    <t>494</t>
  </si>
  <si>
    <t>1021</t>
  </si>
  <si>
    <t>157</t>
  </si>
  <si>
    <t>785</t>
  </si>
  <si>
    <t>170</t>
  </si>
  <si>
    <t>159</t>
  </si>
  <si>
    <t>450</t>
  </si>
  <si>
    <t>1080</t>
  </si>
  <si>
    <t>1289</t>
  </si>
  <si>
    <t>522</t>
  </si>
  <si>
    <t>576</t>
  </si>
  <si>
    <t>338</t>
  </si>
  <si>
    <t>680</t>
  </si>
  <si>
    <t>94</t>
  </si>
  <si>
    <t>155</t>
  </si>
  <si>
    <t>158</t>
  </si>
  <si>
    <t>301</t>
  </si>
  <si>
    <t>1570</t>
  </si>
  <si>
    <t>68</t>
  </si>
  <si>
    <t>242</t>
  </si>
  <si>
    <t>244</t>
  </si>
  <si>
    <t>278</t>
  </si>
  <si>
    <t>44</t>
  </si>
  <si>
    <t>188</t>
  </si>
  <si>
    <t>342</t>
  </si>
  <si>
    <t>128</t>
  </si>
  <si>
    <t>536</t>
  </si>
  <si>
    <t>596</t>
  </si>
  <si>
    <t>760</t>
  </si>
  <si>
    <t>167</t>
  </si>
  <si>
    <t>485</t>
  </si>
  <si>
    <t>780</t>
  </si>
  <si>
    <t>6800</t>
  </si>
  <si>
    <t>917</t>
  </si>
  <si>
    <t>186</t>
  </si>
  <si>
    <t>716</t>
  </si>
  <si>
    <t>1247</t>
  </si>
  <si>
    <t>356</t>
  </si>
  <si>
    <t>1144</t>
  </si>
  <si>
    <t>2850</t>
  </si>
  <si>
    <t>2700</t>
  </si>
  <si>
    <t>403</t>
  </si>
  <si>
    <t>345</t>
  </si>
  <si>
    <t>375</t>
  </si>
  <si>
    <t>232</t>
  </si>
  <si>
    <t>472</t>
  </si>
  <si>
    <t>241</t>
  </si>
  <si>
    <t>260</t>
  </si>
  <si>
    <t>1100</t>
  </si>
  <si>
    <t>181</t>
  </si>
  <si>
    <t>365</t>
  </si>
  <si>
    <t>216</t>
  </si>
  <si>
    <t>257</t>
  </si>
  <si>
    <t>308</t>
  </si>
  <si>
    <t>143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</si>
</sst>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sz val="12.0"/>
      <color rgb="FFFF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horizontal="left"/>
    </xf>
    <xf borderId="0" fillId="0" fontId="2" numFmtId="2" xfId="0" applyAlignment="1" applyFont="1" applyNumberFormat="1">
      <alignment horizontal="right"/>
    </xf>
    <xf borderId="0" fillId="0" fontId="2" numFmtId="2" xfId="0" applyAlignment="1" applyFont="1" applyNumberFormat="1">
      <alignment horizontal="left"/>
    </xf>
    <xf borderId="0" fillId="0" fontId="2" numFmtId="2" xfId="0" applyAlignment="1" applyFont="1" applyNumberFormat="1">
      <alignment horizontal="right" readingOrder="0"/>
    </xf>
    <xf borderId="0" fillId="0" fontId="3" numFmtId="2" xfId="0" applyAlignment="1" applyFont="1" applyNumberFormat="1">
      <alignment horizontal="right"/>
    </xf>
    <xf borderId="0" fillId="0" fontId="3" numFmtId="2" xfId="0" applyAlignment="1" applyFont="1" applyNumberFormat="1">
      <alignment horizontal="right" readingOrder="0"/>
    </xf>
    <xf borderId="0" fillId="0" fontId="4" numFmtId="2" xfId="0" applyAlignment="1" applyFont="1" applyNumberFormat="1">
      <alignment horizontal="right"/>
    </xf>
    <xf borderId="0" fillId="0" fontId="4" numFmtId="2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03" width="10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ht="15.75" customHeight="1">
      <c r="A2" s="2" t="s">
        <v>103</v>
      </c>
      <c r="B2" s="2" t="s">
        <v>103</v>
      </c>
      <c r="C2" s="3" t="s">
        <v>104</v>
      </c>
      <c r="D2" s="3"/>
      <c r="E2" s="2"/>
      <c r="F2" s="2"/>
      <c r="G2" s="2" t="s">
        <v>103</v>
      </c>
      <c r="H2" s="2" t="s">
        <v>105</v>
      </c>
      <c r="I2" s="2" t="s">
        <v>106</v>
      </c>
      <c r="J2" s="2" t="s">
        <v>107</v>
      </c>
      <c r="K2" s="2"/>
      <c r="L2" s="2" t="s">
        <v>108</v>
      </c>
      <c r="M2" s="2" t="s">
        <v>109</v>
      </c>
      <c r="N2" s="2" t="s">
        <v>110</v>
      </c>
      <c r="O2" s="2" t="s">
        <v>111</v>
      </c>
      <c r="P2" s="2"/>
      <c r="Q2" s="2" t="s">
        <v>112</v>
      </c>
      <c r="R2" s="2" t="s">
        <v>113</v>
      </c>
      <c r="S2" s="2" t="s">
        <v>114</v>
      </c>
      <c r="T2" s="2" t="s">
        <v>115</v>
      </c>
      <c r="U2" s="2" t="s">
        <v>106</v>
      </c>
      <c r="V2" s="2" t="s">
        <v>105</v>
      </c>
      <c r="W2" s="2"/>
      <c r="X2" s="2"/>
      <c r="Y2" s="2" t="s">
        <v>116</v>
      </c>
      <c r="Z2" s="2"/>
      <c r="AA2" s="2"/>
      <c r="AB2" s="2" t="s">
        <v>113</v>
      </c>
      <c r="AC2" s="2" t="s">
        <v>103</v>
      </c>
      <c r="AD2" s="2" t="s">
        <v>113</v>
      </c>
      <c r="AE2" s="2"/>
      <c r="AF2" s="2" t="s">
        <v>116</v>
      </c>
      <c r="AG2" s="2" t="s">
        <v>103</v>
      </c>
      <c r="AH2" s="2"/>
      <c r="AI2" s="2"/>
      <c r="AJ2" s="2" t="s">
        <v>117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 t="s">
        <v>118</v>
      </c>
      <c r="AX2" s="2"/>
      <c r="AY2" s="2" t="s">
        <v>119</v>
      </c>
      <c r="AZ2" s="2"/>
      <c r="BA2" s="2"/>
      <c r="BB2" s="2"/>
      <c r="BC2" s="2"/>
      <c r="BD2" s="2"/>
      <c r="BE2" s="2"/>
      <c r="BF2" s="2" t="s">
        <v>103</v>
      </c>
      <c r="BG2" s="2" t="s">
        <v>105</v>
      </c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 t="s">
        <v>113</v>
      </c>
      <c r="CD2" s="2" t="s">
        <v>120</v>
      </c>
      <c r="CE2" s="2"/>
      <c r="CF2" s="2"/>
      <c r="CG2" s="2"/>
      <c r="CH2" s="2"/>
      <c r="CI2" s="2" t="s">
        <v>103</v>
      </c>
      <c r="CJ2" s="2" t="s">
        <v>121</v>
      </c>
      <c r="CK2" s="2" t="s">
        <v>122</v>
      </c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 t="s">
        <v>123</v>
      </c>
      <c r="CY2" s="2" t="s">
        <v>105</v>
      </c>
    </row>
    <row r="3" ht="15.75" customHeight="1">
      <c r="A3" s="2" t="s">
        <v>116</v>
      </c>
      <c r="B3" s="2" t="s">
        <v>103</v>
      </c>
      <c r="C3" s="3" t="s">
        <v>104</v>
      </c>
      <c r="D3" s="3"/>
      <c r="E3" s="2"/>
      <c r="F3" s="2"/>
      <c r="G3" s="2" t="s">
        <v>103</v>
      </c>
      <c r="H3" s="2" t="s">
        <v>106</v>
      </c>
      <c r="I3" s="2" t="s">
        <v>124</v>
      </c>
      <c r="J3" s="2"/>
      <c r="K3" s="2"/>
      <c r="L3" s="2"/>
      <c r="M3" s="2" t="s">
        <v>125</v>
      </c>
      <c r="N3" s="2" t="s">
        <v>126</v>
      </c>
      <c r="O3" s="2" t="s">
        <v>106</v>
      </c>
      <c r="P3" s="2"/>
      <c r="Q3" s="2"/>
      <c r="R3" s="2"/>
      <c r="S3" s="2" t="s">
        <v>127</v>
      </c>
      <c r="T3" s="2" t="s">
        <v>111</v>
      </c>
      <c r="U3" s="2" t="s">
        <v>128</v>
      </c>
      <c r="V3" s="2" t="s">
        <v>122</v>
      </c>
      <c r="W3" s="2"/>
      <c r="X3" s="2"/>
      <c r="Y3" s="2" t="s">
        <v>116</v>
      </c>
      <c r="Z3" s="2" t="s">
        <v>116</v>
      </c>
      <c r="AA3" s="2"/>
      <c r="AB3" s="2" t="s">
        <v>129</v>
      </c>
      <c r="AC3" s="2" t="s">
        <v>130</v>
      </c>
      <c r="AD3" s="2" t="s">
        <v>113</v>
      </c>
      <c r="AE3" s="2"/>
      <c r="AF3" s="2"/>
      <c r="AG3" s="2"/>
      <c r="AH3" s="2" t="s">
        <v>103</v>
      </c>
      <c r="AI3" s="2" t="s">
        <v>131</v>
      </c>
      <c r="AJ3" s="2" t="s">
        <v>132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 t="s">
        <v>116</v>
      </c>
      <c r="AW3" s="2" t="s">
        <v>133</v>
      </c>
      <c r="AX3" s="2" t="s">
        <v>113</v>
      </c>
      <c r="AY3" s="2" t="s">
        <v>134</v>
      </c>
      <c r="AZ3" s="2"/>
      <c r="BA3" s="2"/>
      <c r="BB3" s="2"/>
      <c r="BC3" s="2"/>
      <c r="BD3" s="2"/>
      <c r="BE3" s="2"/>
      <c r="BF3" s="2" t="s">
        <v>122</v>
      </c>
      <c r="BG3" s="2" t="s">
        <v>135</v>
      </c>
      <c r="BH3" s="2"/>
      <c r="BI3" s="2"/>
      <c r="BJ3" s="2" t="s">
        <v>116</v>
      </c>
      <c r="BK3" s="2" t="s">
        <v>123</v>
      </c>
      <c r="BL3" s="2"/>
      <c r="BM3" s="2"/>
      <c r="BN3" s="2"/>
      <c r="BO3" s="2"/>
      <c r="BP3" s="2" t="s">
        <v>122</v>
      </c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4">
        <f>1 + (1/2)</f>
        <v>1.5</v>
      </c>
      <c r="CD3" s="2" t="s">
        <v>136</v>
      </c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 t="s">
        <v>105</v>
      </c>
      <c r="CY3" s="2" t="s">
        <v>137</v>
      </c>
    </row>
    <row r="4" ht="15.75" customHeight="1">
      <c r="A4" s="2" t="s">
        <v>113</v>
      </c>
      <c r="B4" s="2" t="s">
        <v>103</v>
      </c>
      <c r="C4" s="3" t="s">
        <v>104</v>
      </c>
      <c r="D4" s="3"/>
      <c r="E4" s="2" t="s">
        <v>103</v>
      </c>
      <c r="F4" s="2"/>
      <c r="G4" s="2"/>
      <c r="H4" s="2" t="s">
        <v>122</v>
      </c>
      <c r="I4" s="2" t="s">
        <v>138</v>
      </c>
      <c r="J4" s="2" t="s">
        <v>138</v>
      </c>
      <c r="K4" s="2"/>
      <c r="L4" s="2" t="s">
        <v>139</v>
      </c>
      <c r="M4" s="2" t="s">
        <v>138</v>
      </c>
      <c r="N4" s="2" t="s">
        <v>140</v>
      </c>
      <c r="O4" s="2" t="s">
        <v>129</v>
      </c>
      <c r="P4" s="2"/>
      <c r="Q4" s="2"/>
      <c r="R4" s="2"/>
      <c r="S4" s="2" t="s">
        <v>135</v>
      </c>
      <c r="T4" s="2"/>
      <c r="U4" s="2"/>
      <c r="V4" s="2"/>
      <c r="W4" s="2"/>
      <c r="X4" s="2"/>
      <c r="Y4" s="2" t="s">
        <v>103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 t="s">
        <v>123</v>
      </c>
      <c r="AX4" s="2"/>
      <c r="AY4" s="2" t="s">
        <v>141</v>
      </c>
      <c r="AZ4" s="2"/>
      <c r="BA4" s="2"/>
      <c r="BB4" s="2"/>
      <c r="BC4" s="2"/>
      <c r="BD4" s="2" t="s">
        <v>103</v>
      </c>
      <c r="BE4" s="2" t="s">
        <v>138</v>
      </c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 t="s">
        <v>114</v>
      </c>
      <c r="BX4" s="2"/>
      <c r="BY4" s="2"/>
      <c r="BZ4" s="2"/>
      <c r="CA4" s="2"/>
      <c r="CB4" s="2"/>
      <c r="CC4" s="2" t="s">
        <v>103</v>
      </c>
      <c r="CD4" s="5" t="s">
        <v>142</v>
      </c>
      <c r="CE4" s="2"/>
      <c r="CF4" s="2"/>
      <c r="CG4" s="2"/>
      <c r="CH4" s="2"/>
      <c r="CI4" s="2"/>
      <c r="CJ4" s="2" t="s">
        <v>130</v>
      </c>
      <c r="CK4" s="2" t="s">
        <v>129</v>
      </c>
      <c r="CL4" s="2"/>
      <c r="CM4" s="2"/>
      <c r="CN4" s="2"/>
      <c r="CO4" s="2" t="s">
        <v>103</v>
      </c>
      <c r="CP4" s="2"/>
      <c r="CQ4" s="2"/>
      <c r="CR4" s="2"/>
      <c r="CS4" s="2"/>
      <c r="CT4" s="2"/>
      <c r="CU4" s="2"/>
      <c r="CV4" s="2"/>
      <c r="CW4" s="2"/>
      <c r="CX4" s="2" t="s">
        <v>143</v>
      </c>
      <c r="CY4" s="2" t="s">
        <v>109</v>
      </c>
    </row>
    <row r="5" ht="15.75" customHeight="1">
      <c r="A5" s="2" t="s">
        <v>122</v>
      </c>
      <c r="B5" s="2" t="s">
        <v>103</v>
      </c>
      <c r="C5" s="3" t="s">
        <v>104</v>
      </c>
      <c r="D5" s="3"/>
      <c r="E5" s="2"/>
      <c r="F5" s="2" t="s">
        <v>103</v>
      </c>
      <c r="G5" s="2"/>
      <c r="H5" s="2" t="s">
        <v>116</v>
      </c>
      <c r="I5" s="2" t="s">
        <v>115</v>
      </c>
      <c r="J5" s="2" t="s">
        <v>138</v>
      </c>
      <c r="K5" s="2"/>
      <c r="L5" s="2" t="s">
        <v>139</v>
      </c>
      <c r="M5" s="2"/>
      <c r="N5" s="2" t="s">
        <v>131</v>
      </c>
      <c r="O5" s="2"/>
      <c r="P5" s="2"/>
      <c r="Q5" s="2"/>
      <c r="R5" s="2"/>
      <c r="S5" s="2" t="s">
        <v>144</v>
      </c>
      <c r="T5" s="2"/>
      <c r="U5" s="2"/>
      <c r="V5" s="2"/>
      <c r="W5" s="2"/>
      <c r="X5" s="2"/>
      <c r="Y5" s="2" t="s">
        <v>103</v>
      </c>
      <c r="Z5" s="2"/>
      <c r="AA5" s="2"/>
      <c r="AB5" s="2" t="s">
        <v>103</v>
      </c>
      <c r="AC5" s="2"/>
      <c r="AD5" s="2"/>
      <c r="AE5" s="2"/>
      <c r="AF5" s="2"/>
      <c r="AG5" s="2"/>
      <c r="AH5" s="2"/>
      <c r="AI5" s="2"/>
      <c r="AJ5" s="2" t="s">
        <v>137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 t="s">
        <v>103</v>
      </c>
      <c r="AW5" s="2" t="s">
        <v>121</v>
      </c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>
        <f>1/2</f>
        <v>0.5</v>
      </c>
      <c r="CD5" s="2" t="s">
        <v>138</v>
      </c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 t="s">
        <v>121</v>
      </c>
      <c r="CY5" s="2" t="s">
        <v>112</v>
      </c>
    </row>
    <row r="6" ht="15.75" customHeight="1">
      <c r="A6" s="2" t="s">
        <v>129</v>
      </c>
      <c r="B6" s="2" t="s">
        <v>103</v>
      </c>
      <c r="C6" s="3" t="s">
        <v>104</v>
      </c>
      <c r="D6" s="3"/>
      <c r="E6" s="2" t="s">
        <v>103</v>
      </c>
      <c r="F6" s="2"/>
      <c r="G6" s="2"/>
      <c r="H6" s="2" t="s">
        <v>121</v>
      </c>
      <c r="I6" s="2" t="s">
        <v>113</v>
      </c>
      <c r="J6" s="5" t="s">
        <v>145</v>
      </c>
      <c r="K6" s="2"/>
      <c r="L6" s="2" t="s">
        <v>146</v>
      </c>
      <c r="M6" s="2"/>
      <c r="N6" s="2" t="s">
        <v>142</v>
      </c>
      <c r="O6" s="2"/>
      <c r="P6" s="2"/>
      <c r="Q6" s="2"/>
      <c r="R6" s="2"/>
      <c r="S6" s="5" t="s">
        <v>147</v>
      </c>
      <c r="T6" s="2" t="s">
        <v>103</v>
      </c>
      <c r="U6" s="2" t="s">
        <v>113</v>
      </c>
      <c r="V6" s="2" t="s">
        <v>103</v>
      </c>
      <c r="W6" s="2"/>
      <c r="X6" s="2"/>
      <c r="Y6" s="2" t="s">
        <v>103</v>
      </c>
      <c r="Z6" s="2"/>
      <c r="AA6" s="2"/>
      <c r="AB6" s="2" t="s">
        <v>103</v>
      </c>
      <c r="AC6" s="2"/>
      <c r="AD6" s="2" t="s">
        <v>103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 t="s">
        <v>148</v>
      </c>
      <c r="AX6" s="2"/>
      <c r="AY6" s="2" t="s">
        <v>141</v>
      </c>
      <c r="AZ6" s="2"/>
      <c r="BA6" s="2"/>
      <c r="BB6" s="2"/>
      <c r="BC6" s="2"/>
      <c r="BD6" s="2" t="s">
        <v>103</v>
      </c>
      <c r="BE6" s="2" t="s">
        <v>133</v>
      </c>
      <c r="BF6" s="2" t="s">
        <v>122</v>
      </c>
      <c r="BG6" s="2" t="s">
        <v>142</v>
      </c>
      <c r="BH6" s="2"/>
      <c r="BI6" s="2"/>
      <c r="BJ6" s="2"/>
      <c r="BK6" s="2"/>
      <c r="BL6" s="2"/>
      <c r="BM6" s="2"/>
      <c r="BN6" s="2"/>
      <c r="BO6" s="2"/>
      <c r="BP6" s="2" t="s">
        <v>122</v>
      </c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 t="s">
        <v>103</v>
      </c>
      <c r="CD6" s="2" t="s">
        <v>149</v>
      </c>
      <c r="CE6" s="2"/>
      <c r="CF6" s="2"/>
      <c r="CG6" s="2"/>
      <c r="CH6" s="2"/>
      <c r="CI6" s="2"/>
      <c r="CJ6" s="2" t="s">
        <v>129</v>
      </c>
      <c r="CK6" s="2" t="s">
        <v>138</v>
      </c>
      <c r="CL6" s="2"/>
      <c r="CM6" s="2"/>
      <c r="CN6" s="2"/>
      <c r="CO6" s="2" t="s">
        <v>116</v>
      </c>
      <c r="CP6" s="2"/>
      <c r="CQ6" s="2"/>
      <c r="CR6" s="2"/>
      <c r="CS6" s="2"/>
      <c r="CT6" s="2"/>
      <c r="CU6" s="2"/>
      <c r="CV6" s="2"/>
      <c r="CW6" s="2"/>
      <c r="CX6" s="2" t="s">
        <v>138</v>
      </c>
      <c r="CY6" s="2" t="s">
        <v>106</v>
      </c>
    </row>
    <row r="7" ht="15.75" customHeight="1">
      <c r="A7" s="2" t="s">
        <v>130</v>
      </c>
      <c r="B7" s="2" t="s">
        <v>103</v>
      </c>
      <c r="C7" s="3" t="s">
        <v>104</v>
      </c>
      <c r="D7" s="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</row>
    <row r="8" ht="15.75" customHeight="1">
      <c r="A8" s="2" t="s">
        <v>121</v>
      </c>
      <c r="B8" s="2" t="s">
        <v>103</v>
      </c>
      <c r="C8" s="3" t="s">
        <v>104</v>
      </c>
      <c r="D8" s="3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</row>
    <row r="9" ht="15.75" customHeight="1">
      <c r="A9" s="2" t="s">
        <v>111</v>
      </c>
      <c r="B9" s="2" t="s">
        <v>103</v>
      </c>
      <c r="C9" s="3" t="s">
        <v>104</v>
      </c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</row>
    <row r="10" ht="15.75" customHeight="1">
      <c r="A10" s="2" t="s">
        <v>150</v>
      </c>
      <c r="B10" s="2" t="s">
        <v>103</v>
      </c>
      <c r="C10" s="3" t="s">
        <v>104</v>
      </c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</row>
    <row r="11" ht="15.75" customHeight="1">
      <c r="A11" s="2" t="s">
        <v>138</v>
      </c>
      <c r="B11" s="2" t="s">
        <v>103</v>
      </c>
      <c r="C11" s="3" t="s">
        <v>104</v>
      </c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</row>
    <row r="12" ht="15.75" customHeight="1">
      <c r="A12" s="2" t="s">
        <v>103</v>
      </c>
      <c r="B12" s="2" t="s">
        <v>116</v>
      </c>
      <c r="C12" s="3" t="s">
        <v>104</v>
      </c>
      <c r="D12" s="3"/>
      <c r="E12" s="2"/>
      <c r="F12" s="2"/>
      <c r="G12" s="2" t="s">
        <v>103</v>
      </c>
      <c r="H12" s="2" t="s">
        <v>106</v>
      </c>
      <c r="I12" s="2" t="s">
        <v>151</v>
      </c>
      <c r="J12" s="2" t="s">
        <v>152</v>
      </c>
      <c r="K12" s="2"/>
      <c r="L12" s="2" t="s">
        <v>153</v>
      </c>
      <c r="M12" s="2" t="s">
        <v>137</v>
      </c>
      <c r="N12" s="2" t="s">
        <v>154</v>
      </c>
      <c r="O12" s="2" t="s">
        <v>138</v>
      </c>
      <c r="P12" s="2" t="s">
        <v>129</v>
      </c>
      <c r="Q12" s="2" t="s">
        <v>155</v>
      </c>
      <c r="R12" s="2" t="s">
        <v>105</v>
      </c>
      <c r="S12" s="2" t="s">
        <v>156</v>
      </c>
      <c r="T12" s="2" t="s">
        <v>129</v>
      </c>
      <c r="U12" s="2" t="s">
        <v>118</v>
      </c>
      <c r="V12" s="2" t="s">
        <v>129</v>
      </c>
      <c r="W12" s="2"/>
      <c r="X12" s="2"/>
      <c r="Y12" s="2" t="s">
        <v>113</v>
      </c>
      <c r="Z12" s="2" t="s">
        <v>103</v>
      </c>
      <c r="AA12" s="2"/>
      <c r="AB12" s="2" t="s">
        <v>122</v>
      </c>
      <c r="AC12" s="2" t="s">
        <v>111</v>
      </c>
      <c r="AD12" s="2" t="s">
        <v>113</v>
      </c>
      <c r="AE12" s="2"/>
      <c r="AF12" s="2"/>
      <c r="AG12" s="2"/>
      <c r="AH12" s="2" t="s">
        <v>103</v>
      </c>
      <c r="AI12" s="2"/>
      <c r="AJ12" s="2" t="s">
        <v>139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 t="s">
        <v>122</v>
      </c>
      <c r="AW12" s="2" t="s">
        <v>157</v>
      </c>
      <c r="AX12" s="2"/>
      <c r="AY12" s="2" t="s">
        <v>120</v>
      </c>
      <c r="AZ12" s="2"/>
      <c r="BA12" s="2"/>
      <c r="BB12" s="2" t="s">
        <v>103</v>
      </c>
      <c r="BC12" s="2" t="s">
        <v>113</v>
      </c>
      <c r="BD12" s="2" t="s">
        <v>122</v>
      </c>
      <c r="BE12" s="2" t="s">
        <v>109</v>
      </c>
      <c r="BF12" s="2" t="s">
        <v>103</v>
      </c>
      <c r="BG12" s="2" t="s">
        <v>142</v>
      </c>
      <c r="BH12" s="2" t="s">
        <v>116</v>
      </c>
      <c r="BI12" s="2" t="s">
        <v>158</v>
      </c>
      <c r="BJ12" s="2"/>
      <c r="BK12" s="2"/>
      <c r="BL12" s="2"/>
      <c r="BM12" s="2"/>
      <c r="BN12" s="2"/>
      <c r="BO12" s="2"/>
      <c r="BP12" s="2" t="s">
        <v>113</v>
      </c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 t="s">
        <v>113</v>
      </c>
      <c r="CD12" s="2" t="s">
        <v>136</v>
      </c>
      <c r="CE12" s="2"/>
      <c r="CF12" s="2"/>
      <c r="CG12" s="2"/>
      <c r="CH12" s="2"/>
      <c r="CI12" s="2"/>
      <c r="CJ12" s="2" t="s">
        <v>113</v>
      </c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 t="s">
        <v>123</v>
      </c>
      <c r="CY12" s="2" t="s">
        <v>105</v>
      </c>
    </row>
    <row r="13" ht="15.75" customHeight="1">
      <c r="A13" s="2" t="s">
        <v>116</v>
      </c>
      <c r="B13" s="2" t="s">
        <v>116</v>
      </c>
      <c r="C13" s="3" t="s">
        <v>104</v>
      </c>
      <c r="D13" s="3"/>
      <c r="E13" s="2" t="s">
        <v>103</v>
      </c>
      <c r="F13" s="2"/>
      <c r="G13" s="2"/>
      <c r="H13" s="2" t="s">
        <v>130</v>
      </c>
      <c r="I13" s="2" t="s">
        <v>106</v>
      </c>
      <c r="J13" s="2" t="s">
        <v>159</v>
      </c>
      <c r="K13" s="2"/>
      <c r="L13" s="2" t="s">
        <v>160</v>
      </c>
      <c r="M13" s="2" t="s">
        <v>109</v>
      </c>
      <c r="N13" s="2" t="s">
        <v>161</v>
      </c>
      <c r="O13" s="2" t="s">
        <v>113</v>
      </c>
      <c r="P13" s="2"/>
      <c r="Q13" s="2" t="s">
        <v>162</v>
      </c>
      <c r="R13" s="2" t="s">
        <v>150</v>
      </c>
      <c r="S13" s="2" t="s">
        <v>163</v>
      </c>
      <c r="T13" s="2" t="s">
        <v>138</v>
      </c>
      <c r="U13" s="2" t="s">
        <v>106</v>
      </c>
      <c r="V13" s="2" t="s">
        <v>123</v>
      </c>
      <c r="W13" s="2"/>
      <c r="X13" s="2"/>
      <c r="Y13" s="2" t="s">
        <v>103</v>
      </c>
      <c r="Z13" s="2"/>
      <c r="AA13" s="2"/>
      <c r="AB13" s="2" t="s">
        <v>113</v>
      </c>
      <c r="AC13" s="2" t="s">
        <v>121</v>
      </c>
      <c r="AD13" s="2" t="s">
        <v>113</v>
      </c>
      <c r="AE13" s="2"/>
      <c r="AF13" s="2"/>
      <c r="AG13" s="2"/>
      <c r="AH13" s="2" t="s">
        <v>103</v>
      </c>
      <c r="AI13" s="2"/>
      <c r="AJ13" s="2" t="s">
        <v>164</v>
      </c>
      <c r="AK13" s="2"/>
      <c r="AL13" s="2" t="s">
        <v>118</v>
      </c>
      <c r="AM13" s="2" t="s">
        <v>138</v>
      </c>
      <c r="AN13" s="2"/>
      <c r="AO13" s="2" t="s">
        <v>121</v>
      </c>
      <c r="AP13" s="2" t="s">
        <v>103</v>
      </c>
      <c r="AQ13" s="2"/>
      <c r="AR13" s="2"/>
      <c r="AS13" s="2"/>
      <c r="AT13" s="2" t="s">
        <v>118</v>
      </c>
      <c r="AU13" s="2" t="s">
        <v>142</v>
      </c>
      <c r="AV13" s="2" t="s">
        <v>116</v>
      </c>
      <c r="AW13" s="2" t="s">
        <v>149</v>
      </c>
      <c r="AX13" s="2"/>
      <c r="AY13" s="2" t="s">
        <v>120</v>
      </c>
      <c r="AZ13" s="2"/>
      <c r="BA13" s="2"/>
      <c r="BB13" s="2"/>
      <c r="BC13" s="2"/>
      <c r="BD13" s="2" t="s">
        <v>103</v>
      </c>
      <c r="BE13" s="2" t="s">
        <v>106</v>
      </c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 t="s">
        <v>114</v>
      </c>
      <c r="BX13" s="2"/>
      <c r="BY13" s="2"/>
      <c r="BZ13" s="2"/>
      <c r="CA13" s="2"/>
      <c r="CB13" s="2"/>
      <c r="CC13" s="2">
        <f t="shared" ref="CC13:CC14" si="1">1/2</f>
        <v>0.5</v>
      </c>
      <c r="CD13" s="2" t="s">
        <v>137</v>
      </c>
      <c r="CE13" s="2"/>
      <c r="CF13" s="2"/>
      <c r="CG13" s="2"/>
      <c r="CH13" s="2"/>
      <c r="CI13" s="2" t="s">
        <v>103</v>
      </c>
      <c r="CJ13" s="2" t="s">
        <v>138</v>
      </c>
      <c r="CK13" s="2" t="s">
        <v>123</v>
      </c>
      <c r="CL13" s="2"/>
      <c r="CM13" s="2"/>
      <c r="CN13" s="2"/>
      <c r="CO13" s="2" t="s">
        <v>113</v>
      </c>
      <c r="CP13" s="2"/>
      <c r="CQ13" s="2"/>
      <c r="CR13" s="2"/>
      <c r="CS13" s="2"/>
      <c r="CT13" s="2"/>
      <c r="CU13" s="2"/>
      <c r="CV13" s="2"/>
      <c r="CW13" s="2"/>
      <c r="CX13" s="2" t="s">
        <v>118</v>
      </c>
      <c r="CY13" s="2" t="s">
        <v>151</v>
      </c>
    </row>
    <row r="14" ht="15.75" customHeight="1">
      <c r="A14" s="2" t="s">
        <v>113</v>
      </c>
      <c r="B14" s="2" t="s">
        <v>116</v>
      </c>
      <c r="C14" s="3" t="s">
        <v>104</v>
      </c>
      <c r="D14" s="3"/>
      <c r="E14" s="2" t="s">
        <v>103</v>
      </c>
      <c r="F14" s="2"/>
      <c r="G14" s="2"/>
      <c r="H14" s="2" t="s">
        <v>118</v>
      </c>
      <c r="I14" s="2" t="s">
        <v>165</v>
      </c>
      <c r="J14" s="2" t="s">
        <v>166</v>
      </c>
      <c r="K14" s="2"/>
      <c r="L14" s="2" t="s">
        <v>167</v>
      </c>
      <c r="M14" s="2" t="s">
        <v>137</v>
      </c>
      <c r="N14" s="2" t="s">
        <v>168</v>
      </c>
      <c r="O14" s="2" t="s">
        <v>122</v>
      </c>
      <c r="P14" s="2"/>
      <c r="Q14" s="2" t="s">
        <v>169</v>
      </c>
      <c r="R14" s="2" t="s">
        <v>149</v>
      </c>
      <c r="S14" s="2" t="s">
        <v>170</v>
      </c>
      <c r="T14" s="2" t="s">
        <v>171</v>
      </c>
      <c r="U14" s="2" t="s">
        <v>165</v>
      </c>
      <c r="V14" s="2" t="s">
        <v>166</v>
      </c>
      <c r="W14" s="2"/>
      <c r="X14" s="2"/>
      <c r="Y14" s="2" t="s">
        <v>103</v>
      </c>
      <c r="Z14" s="2"/>
      <c r="AA14" s="2"/>
      <c r="AB14" s="2" t="s">
        <v>129</v>
      </c>
      <c r="AC14" s="2" t="s">
        <v>129</v>
      </c>
      <c r="AD14" s="2" t="s">
        <v>122</v>
      </c>
      <c r="AE14" s="2"/>
      <c r="AF14" s="2"/>
      <c r="AG14" s="2"/>
      <c r="AH14" s="2" t="s">
        <v>103</v>
      </c>
      <c r="AI14" s="2"/>
      <c r="AJ14" s="2" t="s">
        <v>172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 t="s">
        <v>103</v>
      </c>
      <c r="AW14" s="2" t="s">
        <v>145</v>
      </c>
      <c r="AX14" s="2"/>
      <c r="AY14" s="2" t="s">
        <v>173</v>
      </c>
      <c r="AZ14" s="2"/>
      <c r="BA14" s="2"/>
      <c r="BB14" s="2"/>
      <c r="BC14" s="2"/>
      <c r="BD14" s="2" t="s">
        <v>116</v>
      </c>
      <c r="BE14" s="2" t="s">
        <v>138</v>
      </c>
      <c r="BF14" s="2"/>
      <c r="BG14" s="2"/>
      <c r="BH14" s="2"/>
      <c r="BI14" s="2"/>
      <c r="BJ14" s="2" t="s">
        <v>103</v>
      </c>
      <c r="BK14" s="2" t="s">
        <v>130</v>
      </c>
      <c r="BL14" s="2"/>
      <c r="BM14" s="2"/>
      <c r="BN14" s="2"/>
      <c r="BO14" s="2"/>
      <c r="BP14" s="2" t="s">
        <v>103</v>
      </c>
      <c r="BQ14" s="2"/>
      <c r="BR14" s="2"/>
      <c r="BS14" s="2"/>
      <c r="BT14" s="2"/>
      <c r="BU14" s="2"/>
      <c r="BV14" s="2"/>
      <c r="BW14" s="2" t="s">
        <v>135</v>
      </c>
      <c r="BX14" s="2"/>
      <c r="BY14" s="2"/>
      <c r="BZ14" s="2"/>
      <c r="CA14" s="2"/>
      <c r="CB14" s="2"/>
      <c r="CC14" s="2">
        <f t="shared" si="1"/>
        <v>0.5</v>
      </c>
      <c r="CD14" s="2" t="s">
        <v>174</v>
      </c>
      <c r="CE14" s="2"/>
      <c r="CF14" s="2"/>
      <c r="CG14" s="2"/>
      <c r="CH14" s="2"/>
      <c r="CI14" s="2"/>
      <c r="CJ14" s="2" t="s">
        <v>106</v>
      </c>
      <c r="CK14" s="2" t="s">
        <v>109</v>
      </c>
      <c r="CL14" s="2"/>
      <c r="CM14" s="2"/>
      <c r="CN14" s="2"/>
      <c r="CO14" s="2" t="s">
        <v>130</v>
      </c>
      <c r="CP14" s="2"/>
      <c r="CQ14" s="2"/>
      <c r="CR14" s="2"/>
      <c r="CS14" s="2"/>
      <c r="CT14" s="2"/>
      <c r="CU14" s="2"/>
      <c r="CV14" s="2"/>
      <c r="CW14" s="2"/>
      <c r="CX14" s="2" t="s">
        <v>144</v>
      </c>
      <c r="CY14" s="2" t="s">
        <v>115</v>
      </c>
    </row>
    <row r="15" ht="15.75" customHeight="1">
      <c r="A15" s="2" t="s">
        <v>122</v>
      </c>
      <c r="B15" s="2" t="s">
        <v>116</v>
      </c>
      <c r="C15" s="3" t="s">
        <v>104</v>
      </c>
      <c r="D15" s="3"/>
      <c r="E15" s="2" t="s">
        <v>103</v>
      </c>
      <c r="F15" s="2"/>
      <c r="G15" s="2"/>
      <c r="H15" s="2" t="s">
        <v>123</v>
      </c>
      <c r="I15" s="2" t="s">
        <v>109</v>
      </c>
      <c r="J15" s="2" t="s">
        <v>110</v>
      </c>
      <c r="K15" s="2"/>
      <c r="L15" s="2" t="s">
        <v>108</v>
      </c>
      <c r="M15" s="2" t="s">
        <v>137</v>
      </c>
      <c r="N15" s="2" t="s">
        <v>175</v>
      </c>
      <c r="O15" s="2" t="s">
        <v>129</v>
      </c>
      <c r="P15" s="2"/>
      <c r="Q15" s="2"/>
      <c r="R15" s="2"/>
      <c r="S15" s="2" t="s">
        <v>176</v>
      </c>
      <c r="T15" s="2" t="s">
        <v>129</v>
      </c>
      <c r="U15" s="2" t="s">
        <v>110</v>
      </c>
      <c r="V15" s="2" t="s">
        <v>130</v>
      </c>
      <c r="W15" s="2"/>
      <c r="X15" s="2"/>
      <c r="Y15" s="2" t="s">
        <v>116</v>
      </c>
      <c r="Z15" s="2"/>
      <c r="AA15" s="2"/>
      <c r="AB15" s="2" t="s">
        <v>103</v>
      </c>
      <c r="AC15" s="2"/>
      <c r="AD15" s="2" t="s">
        <v>103</v>
      </c>
      <c r="AE15" s="2"/>
      <c r="AF15" s="2"/>
      <c r="AG15" s="2"/>
      <c r="AH15" s="2"/>
      <c r="AI15" s="2"/>
      <c r="AJ15" s="2" t="s">
        <v>105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 t="s">
        <v>165</v>
      </c>
      <c r="AX15" s="2"/>
      <c r="AY15" s="2" t="s">
        <v>135</v>
      </c>
      <c r="AZ15" s="2"/>
      <c r="BA15" s="2"/>
      <c r="BB15" s="2" t="s">
        <v>103</v>
      </c>
      <c r="BC15" s="2" t="s">
        <v>111</v>
      </c>
      <c r="BD15" s="2" t="s">
        <v>103</v>
      </c>
      <c r="BE15" s="2" t="s">
        <v>123</v>
      </c>
      <c r="BF15" s="2"/>
      <c r="BG15" s="2"/>
      <c r="BH15" s="5">
        <f>1/2</f>
        <v>0.5</v>
      </c>
      <c r="BI15" s="2" t="s">
        <v>106</v>
      </c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 t="s">
        <v>113</v>
      </c>
      <c r="CD15" s="2" t="s">
        <v>120</v>
      </c>
      <c r="CE15" s="2"/>
      <c r="CF15" s="2"/>
      <c r="CG15" s="2"/>
      <c r="CH15" s="2"/>
      <c r="CI15" s="2"/>
      <c r="CJ15" s="2" t="s">
        <v>150</v>
      </c>
      <c r="CK15" s="2" t="s">
        <v>106</v>
      </c>
      <c r="CL15" s="2"/>
      <c r="CM15" s="2"/>
      <c r="CN15" s="2"/>
      <c r="CO15" s="2" t="s">
        <v>122</v>
      </c>
      <c r="CP15" s="2"/>
      <c r="CQ15" s="2"/>
      <c r="CR15" s="2"/>
      <c r="CS15" s="2"/>
      <c r="CT15" s="2"/>
      <c r="CU15" s="2"/>
      <c r="CV15" s="2"/>
      <c r="CW15" s="2"/>
      <c r="CX15" s="2" t="s">
        <v>138</v>
      </c>
      <c r="CY15" s="2" t="s">
        <v>106</v>
      </c>
    </row>
    <row r="16" ht="15.75" customHeight="1">
      <c r="A16" s="2" t="s">
        <v>129</v>
      </c>
      <c r="B16" s="2" t="s">
        <v>116</v>
      </c>
      <c r="C16" s="3" t="s">
        <v>104</v>
      </c>
      <c r="D16" s="3"/>
      <c r="E16" s="2" t="s">
        <v>103</v>
      </c>
      <c r="F16" s="2"/>
      <c r="G16" s="2"/>
      <c r="H16" s="2" t="s">
        <v>149</v>
      </c>
      <c r="I16" s="2" t="s">
        <v>166</v>
      </c>
      <c r="J16" s="2" t="s">
        <v>150</v>
      </c>
      <c r="K16" s="2"/>
      <c r="L16" s="2" t="s">
        <v>177</v>
      </c>
      <c r="M16" s="2" t="s">
        <v>131</v>
      </c>
      <c r="N16" s="2" t="s">
        <v>178</v>
      </c>
      <c r="O16" s="2" t="s">
        <v>106</v>
      </c>
      <c r="P16" s="2"/>
      <c r="Q16" s="2" t="s">
        <v>130</v>
      </c>
      <c r="R16" s="2"/>
      <c r="S16" s="2" t="s">
        <v>179</v>
      </c>
      <c r="T16" s="2" t="s">
        <v>171</v>
      </c>
      <c r="U16" s="2" t="s">
        <v>157</v>
      </c>
      <c r="V16" s="2" t="s">
        <v>166</v>
      </c>
      <c r="W16" s="2"/>
      <c r="X16" s="2"/>
      <c r="Y16" s="2" t="s">
        <v>116</v>
      </c>
      <c r="Z16" s="2"/>
      <c r="AA16" s="2" t="s">
        <v>122</v>
      </c>
      <c r="AB16" s="2" t="s">
        <v>121</v>
      </c>
      <c r="AC16" s="2"/>
      <c r="AD16" s="2" t="s">
        <v>111</v>
      </c>
      <c r="AE16" s="2"/>
      <c r="AF16" s="2" t="s">
        <v>122</v>
      </c>
      <c r="AG16" s="2"/>
      <c r="AH16" s="2"/>
      <c r="AI16" s="2"/>
      <c r="AJ16" s="2" t="s">
        <v>180</v>
      </c>
      <c r="AK16" s="2" t="s">
        <v>135</v>
      </c>
      <c r="AL16" s="2" t="s">
        <v>113</v>
      </c>
      <c r="AM16" s="2"/>
      <c r="AN16" s="2"/>
      <c r="AO16" s="2"/>
      <c r="AP16" s="2"/>
      <c r="AQ16" s="2"/>
      <c r="AR16" s="2"/>
      <c r="AS16" s="2"/>
      <c r="AT16" s="2"/>
      <c r="AU16" s="2"/>
      <c r="AV16" s="2" t="s">
        <v>116</v>
      </c>
      <c r="AW16" s="2" t="s">
        <v>133</v>
      </c>
      <c r="AX16" s="2"/>
      <c r="AY16" s="2" t="s">
        <v>181</v>
      </c>
      <c r="AZ16" s="2"/>
      <c r="BA16" s="2"/>
      <c r="BB16" s="2"/>
      <c r="BC16" s="2"/>
      <c r="BD16" s="2" t="s">
        <v>103</v>
      </c>
      <c r="BE16" s="2" t="s">
        <v>106</v>
      </c>
      <c r="BF16" s="2" t="s">
        <v>103</v>
      </c>
      <c r="BG16" s="2" t="s">
        <v>109</v>
      </c>
      <c r="BH16" s="2"/>
      <c r="BI16" s="2"/>
      <c r="BJ16" s="5" t="s">
        <v>121</v>
      </c>
      <c r="BK16" s="2" t="s">
        <v>138</v>
      </c>
      <c r="BL16" s="2"/>
      <c r="BM16" s="2"/>
      <c r="BN16" s="2"/>
      <c r="BO16" s="2"/>
      <c r="BP16" s="2" t="s">
        <v>103</v>
      </c>
      <c r="BQ16" s="2"/>
      <c r="BR16" s="2"/>
      <c r="BS16" s="2"/>
      <c r="BT16" s="2"/>
      <c r="BU16" s="2"/>
      <c r="BV16" s="2"/>
      <c r="BW16" s="2" t="s">
        <v>136</v>
      </c>
      <c r="BX16" s="2"/>
      <c r="BY16" s="2"/>
      <c r="BZ16" s="2"/>
      <c r="CA16" s="2"/>
      <c r="CB16" s="2"/>
      <c r="CC16" s="2" t="s">
        <v>103</v>
      </c>
      <c r="CD16" s="2" t="s">
        <v>175</v>
      </c>
      <c r="CE16" s="2"/>
      <c r="CF16" s="2"/>
      <c r="CG16" s="2"/>
      <c r="CH16" s="2"/>
      <c r="CI16" s="2" t="s">
        <v>103</v>
      </c>
      <c r="CJ16" s="2" t="s">
        <v>133</v>
      </c>
      <c r="CK16" s="2" t="s">
        <v>135</v>
      </c>
      <c r="CL16" s="2"/>
      <c r="CM16" s="2"/>
      <c r="CN16" s="2"/>
      <c r="CO16" s="2" t="s">
        <v>123</v>
      </c>
      <c r="CP16" s="2"/>
      <c r="CQ16" s="2"/>
      <c r="CR16" s="2"/>
      <c r="CS16" s="2"/>
      <c r="CT16" s="2"/>
      <c r="CU16" s="2"/>
      <c r="CV16" s="2" t="s">
        <v>135</v>
      </c>
      <c r="CW16" s="2"/>
      <c r="CX16" s="2" t="s">
        <v>111</v>
      </c>
      <c r="CY16" s="2" t="s">
        <v>143</v>
      </c>
    </row>
    <row r="17" ht="15.75" customHeight="1">
      <c r="A17" s="2" t="s">
        <v>130</v>
      </c>
      <c r="B17" s="2" t="s">
        <v>116</v>
      </c>
      <c r="C17" s="3" t="s">
        <v>104</v>
      </c>
      <c r="D17" s="3"/>
      <c r="E17" s="2" t="s">
        <v>103</v>
      </c>
      <c r="F17" s="2"/>
      <c r="G17" s="2"/>
      <c r="H17" s="2" t="s">
        <v>130</v>
      </c>
      <c r="I17" s="2"/>
      <c r="J17" s="2" t="s">
        <v>171</v>
      </c>
      <c r="K17" s="2"/>
      <c r="L17" s="2" t="s">
        <v>108</v>
      </c>
      <c r="M17" s="2" t="s">
        <v>105</v>
      </c>
      <c r="N17" s="2" t="s">
        <v>175</v>
      </c>
      <c r="O17" s="2" t="s">
        <v>111</v>
      </c>
      <c r="P17" s="2"/>
      <c r="Q17" s="2" t="s">
        <v>111</v>
      </c>
      <c r="R17" s="2"/>
      <c r="S17" s="2" t="s">
        <v>182</v>
      </c>
      <c r="T17" s="2" t="s">
        <v>116</v>
      </c>
      <c r="U17" s="2"/>
      <c r="V17" s="6">
        <f>2 + (1/2)</f>
        <v>2.5</v>
      </c>
      <c r="W17" s="2"/>
      <c r="X17" s="2"/>
      <c r="Y17" s="2" t="s">
        <v>113</v>
      </c>
      <c r="Z17" s="2"/>
      <c r="AA17" s="2"/>
      <c r="AB17" s="2" t="s">
        <v>103</v>
      </c>
      <c r="AC17" s="2"/>
      <c r="AD17" s="2" t="s">
        <v>103</v>
      </c>
      <c r="AE17" s="2"/>
      <c r="AF17" s="2" t="s">
        <v>116</v>
      </c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 t="s">
        <v>138</v>
      </c>
      <c r="AX17" s="2"/>
      <c r="AY17" s="2" t="s">
        <v>105</v>
      </c>
      <c r="AZ17" s="2"/>
      <c r="BA17" s="2"/>
      <c r="BB17" s="2"/>
      <c r="BC17" s="2"/>
      <c r="BD17" s="2"/>
      <c r="BE17" s="2"/>
      <c r="BF17" s="2" t="s">
        <v>103</v>
      </c>
      <c r="BG17" s="2" t="s">
        <v>105</v>
      </c>
      <c r="BH17" s="2"/>
      <c r="BI17" s="2"/>
      <c r="BJ17" s="2"/>
      <c r="BK17" s="2"/>
      <c r="BL17" s="2"/>
      <c r="BM17" s="2"/>
      <c r="BN17" s="2"/>
      <c r="BO17" s="2"/>
      <c r="BP17" s="2" t="s">
        <v>103</v>
      </c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 t="s">
        <v>103</v>
      </c>
      <c r="CD17" s="2" t="s">
        <v>142</v>
      </c>
      <c r="CE17" s="2"/>
      <c r="CF17" s="2"/>
      <c r="CG17" s="2"/>
      <c r="CH17" s="2"/>
      <c r="CI17" s="2"/>
      <c r="CJ17" s="2" t="s">
        <v>121</v>
      </c>
      <c r="CK17" s="2" t="s">
        <v>144</v>
      </c>
      <c r="CL17" s="2"/>
      <c r="CM17" s="2"/>
      <c r="CN17" s="2"/>
      <c r="CO17" s="2" t="s">
        <v>103</v>
      </c>
      <c r="CP17" s="2"/>
      <c r="CQ17" s="2"/>
      <c r="CR17" s="2"/>
      <c r="CS17" s="2"/>
      <c r="CT17" s="2"/>
      <c r="CU17" s="2"/>
      <c r="CV17" s="2"/>
      <c r="CW17" s="2"/>
      <c r="CX17" s="2" t="s">
        <v>111</v>
      </c>
      <c r="CY17" s="2" t="s">
        <v>143</v>
      </c>
    </row>
    <row r="18" ht="15.75" customHeight="1">
      <c r="A18" s="2" t="s">
        <v>121</v>
      </c>
      <c r="B18" s="2" t="s">
        <v>116</v>
      </c>
      <c r="C18" s="3" t="s">
        <v>104</v>
      </c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</row>
    <row r="19" ht="15.75" customHeight="1">
      <c r="A19" s="2" t="s">
        <v>111</v>
      </c>
      <c r="B19" s="2" t="s">
        <v>116</v>
      </c>
      <c r="C19" s="3" t="s">
        <v>104</v>
      </c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</row>
    <row r="20" ht="15.75" customHeight="1">
      <c r="A20" s="2" t="s">
        <v>150</v>
      </c>
      <c r="B20" s="2" t="s">
        <v>116</v>
      </c>
      <c r="C20" s="3" t="s">
        <v>104</v>
      </c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</row>
    <row r="21" ht="15.75" customHeight="1">
      <c r="A21" s="2" t="s">
        <v>138</v>
      </c>
      <c r="B21" s="2" t="s">
        <v>116</v>
      </c>
      <c r="C21" s="3" t="s">
        <v>104</v>
      </c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</row>
    <row r="22" ht="15.75" customHeight="1">
      <c r="A22" s="2" t="s">
        <v>103</v>
      </c>
      <c r="B22" s="2" t="s">
        <v>113</v>
      </c>
      <c r="C22" s="3" t="s">
        <v>104</v>
      </c>
      <c r="D22" s="3"/>
      <c r="E22" s="2" t="s">
        <v>103</v>
      </c>
      <c r="F22" s="2"/>
      <c r="G22" s="2"/>
      <c r="H22" s="2" t="s">
        <v>122</v>
      </c>
      <c r="I22" s="2" t="s">
        <v>116</v>
      </c>
      <c r="J22" s="2" t="s">
        <v>109</v>
      </c>
      <c r="K22" s="2"/>
      <c r="L22" s="2" t="s">
        <v>183</v>
      </c>
      <c r="M22" s="2" t="s">
        <v>105</v>
      </c>
      <c r="N22" s="2" t="s">
        <v>133</v>
      </c>
      <c r="O22" s="2" t="s">
        <v>113</v>
      </c>
      <c r="P22" s="2"/>
      <c r="Q22" s="2"/>
      <c r="R22" s="2"/>
      <c r="S22" s="2" t="s">
        <v>184</v>
      </c>
      <c r="T22" s="2"/>
      <c r="U22" s="2" t="s">
        <v>116</v>
      </c>
      <c r="V22" s="2"/>
      <c r="W22" s="2"/>
      <c r="X22" s="2"/>
      <c r="Y22" s="2"/>
      <c r="Z22" s="2"/>
      <c r="AA22" s="2"/>
      <c r="AB22" s="2" t="s">
        <v>103</v>
      </c>
      <c r="AC22" s="2"/>
      <c r="AD22" s="2" t="s">
        <v>103</v>
      </c>
      <c r="AE22" s="2"/>
      <c r="AF22" s="2" t="s">
        <v>103</v>
      </c>
      <c r="AG22" s="2"/>
      <c r="AH22" s="2"/>
      <c r="AI22" s="2"/>
      <c r="AJ22" s="2" t="s">
        <v>136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 t="s">
        <v>138</v>
      </c>
      <c r="AX22" s="2"/>
      <c r="AY22" s="2" t="s">
        <v>135</v>
      </c>
      <c r="AZ22" s="2"/>
      <c r="BA22" s="2"/>
      <c r="BB22" s="2" t="s">
        <v>103</v>
      </c>
      <c r="BC22" s="2" t="s">
        <v>138</v>
      </c>
      <c r="BD22" s="2">
        <f>1/3</f>
        <v>0.3333333333</v>
      </c>
      <c r="BE22" s="2" t="s">
        <v>129</v>
      </c>
      <c r="BF22" s="2" t="s">
        <v>116</v>
      </c>
      <c r="BG22" s="2" t="s">
        <v>105</v>
      </c>
      <c r="BH22" s="2"/>
      <c r="BI22" s="2"/>
      <c r="BJ22" s="2"/>
      <c r="BK22" s="2"/>
      <c r="BL22" s="2"/>
      <c r="BM22" s="2"/>
      <c r="BN22" s="2"/>
      <c r="BO22" s="2"/>
      <c r="BP22" s="2" t="s">
        <v>116</v>
      </c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>
        <f>3/4</f>
        <v>0.75</v>
      </c>
      <c r="CD22" s="2" t="s">
        <v>110</v>
      </c>
      <c r="CE22" s="2"/>
      <c r="CF22" s="2"/>
      <c r="CG22" s="2"/>
      <c r="CH22" s="2"/>
      <c r="CI22" s="2"/>
      <c r="CJ22" s="2" t="s">
        <v>118</v>
      </c>
      <c r="CK22" s="2" t="s">
        <v>105</v>
      </c>
      <c r="CL22" s="2"/>
      <c r="CM22" s="2"/>
      <c r="CN22" s="2"/>
      <c r="CO22" s="2" t="s">
        <v>130</v>
      </c>
      <c r="CP22" s="2"/>
      <c r="CQ22" s="2"/>
      <c r="CR22" s="2"/>
      <c r="CS22" s="2"/>
      <c r="CT22" s="2"/>
      <c r="CU22" s="2"/>
      <c r="CV22" s="2"/>
      <c r="CW22" s="2"/>
      <c r="CX22" s="2" t="s">
        <v>157</v>
      </c>
      <c r="CY22" s="2" t="s">
        <v>107</v>
      </c>
    </row>
    <row r="23" ht="15.75" customHeight="1">
      <c r="A23" s="2" t="s">
        <v>116</v>
      </c>
      <c r="B23" s="2" t="s">
        <v>113</v>
      </c>
      <c r="C23" s="3" t="s">
        <v>104</v>
      </c>
      <c r="D23" s="3"/>
      <c r="E23" s="2"/>
      <c r="F23" s="2" t="s">
        <v>103</v>
      </c>
      <c r="G23" s="2"/>
      <c r="H23" s="2" t="s">
        <v>123</v>
      </c>
      <c r="I23" s="2" t="s">
        <v>157</v>
      </c>
      <c r="J23" s="2" t="s">
        <v>185</v>
      </c>
      <c r="K23" s="2"/>
      <c r="L23" s="2" t="s">
        <v>108</v>
      </c>
      <c r="M23" s="2" t="s">
        <v>137</v>
      </c>
      <c r="N23" s="2" t="s">
        <v>175</v>
      </c>
      <c r="O23" s="2" t="s">
        <v>129</v>
      </c>
      <c r="P23" s="2"/>
      <c r="Q23" s="2"/>
      <c r="R23" s="2"/>
      <c r="S23" s="2" t="s">
        <v>186</v>
      </c>
      <c r="T23" s="2" t="s">
        <v>138</v>
      </c>
      <c r="U23" s="2" t="s">
        <v>157</v>
      </c>
      <c r="V23" s="2" t="s">
        <v>129</v>
      </c>
      <c r="W23" s="2"/>
      <c r="X23" s="2"/>
      <c r="Y23" s="2" t="s">
        <v>103</v>
      </c>
      <c r="Z23" s="2"/>
      <c r="AA23" s="2"/>
      <c r="AB23" s="2" t="s">
        <v>129</v>
      </c>
      <c r="AC23" s="2"/>
      <c r="AD23" s="2" t="s">
        <v>129</v>
      </c>
      <c r="AE23" s="2"/>
      <c r="AF23" s="2" t="s">
        <v>113</v>
      </c>
      <c r="AG23" s="2" t="s">
        <v>103</v>
      </c>
      <c r="AH23" s="2"/>
      <c r="AI23" s="2"/>
      <c r="AJ23" s="2" t="s">
        <v>180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 t="s">
        <v>116</v>
      </c>
      <c r="AW23" s="2" t="s">
        <v>143</v>
      </c>
      <c r="AX23" s="2"/>
      <c r="AY23" s="2" t="s">
        <v>136</v>
      </c>
      <c r="AZ23" s="2"/>
      <c r="BA23" s="2"/>
      <c r="BB23" s="2"/>
      <c r="BC23" s="2"/>
      <c r="BD23" s="2" t="s">
        <v>103</v>
      </c>
      <c r="BE23" s="2" t="s">
        <v>106</v>
      </c>
      <c r="BF23" s="2" t="s">
        <v>113</v>
      </c>
      <c r="BG23" s="2" t="s">
        <v>135</v>
      </c>
      <c r="BH23" s="2"/>
      <c r="BI23" s="2"/>
      <c r="BJ23" s="2"/>
      <c r="BK23" s="2"/>
      <c r="BL23" s="2"/>
      <c r="BM23" s="2"/>
      <c r="BN23" s="2"/>
      <c r="BO23" s="2"/>
      <c r="BP23" s="2" t="s">
        <v>113</v>
      </c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 t="s">
        <v>103</v>
      </c>
      <c r="CD23" s="2" t="s">
        <v>187</v>
      </c>
      <c r="CE23" s="2"/>
      <c r="CF23" s="2"/>
      <c r="CG23" s="2"/>
      <c r="CH23" s="2"/>
      <c r="CI23" s="2"/>
      <c r="CJ23" s="2" t="s">
        <v>113</v>
      </c>
      <c r="CK23" s="2" t="s">
        <v>116</v>
      </c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</row>
    <row r="24" ht="15.75" customHeight="1">
      <c r="A24" s="2" t="s">
        <v>113</v>
      </c>
      <c r="B24" s="2" t="s">
        <v>113</v>
      </c>
      <c r="C24" s="3" t="s">
        <v>104</v>
      </c>
      <c r="D24" s="3"/>
      <c r="E24" s="2" t="s">
        <v>103</v>
      </c>
      <c r="F24" s="2"/>
      <c r="G24" s="2"/>
      <c r="H24" s="2" t="s">
        <v>150</v>
      </c>
      <c r="I24" s="2" t="s">
        <v>129</v>
      </c>
      <c r="J24" s="2" t="s">
        <v>188</v>
      </c>
      <c r="K24" s="2"/>
      <c r="L24" s="2" t="s">
        <v>189</v>
      </c>
      <c r="M24" s="2" t="s">
        <v>106</v>
      </c>
      <c r="N24" s="2" t="s">
        <v>110</v>
      </c>
      <c r="O24" s="2" t="s">
        <v>116</v>
      </c>
      <c r="P24" s="2"/>
      <c r="Q24" s="2"/>
      <c r="R24" s="2"/>
      <c r="S24" s="2"/>
      <c r="T24" s="2" t="s">
        <v>130</v>
      </c>
      <c r="U24" s="2" t="s">
        <v>129</v>
      </c>
      <c r="V24" s="2" t="s">
        <v>130</v>
      </c>
      <c r="W24" s="2"/>
      <c r="X24" s="2"/>
      <c r="Y24" s="2"/>
      <c r="Z24" s="2"/>
      <c r="AA24" s="2"/>
      <c r="AB24" s="2" t="s">
        <v>103</v>
      </c>
      <c r="AC24" s="2" t="s">
        <v>103</v>
      </c>
      <c r="AD24" s="2"/>
      <c r="AE24" s="2"/>
      <c r="AF24" s="2"/>
      <c r="AG24" s="2"/>
      <c r="AH24" s="2"/>
      <c r="AI24" s="2" t="s">
        <v>135</v>
      </c>
      <c r="AJ24" s="2" t="s">
        <v>187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 t="s">
        <v>130</v>
      </c>
      <c r="AX24" s="2"/>
      <c r="AY24" s="2" t="s">
        <v>106</v>
      </c>
      <c r="AZ24" s="2"/>
      <c r="BA24" s="2"/>
      <c r="BB24" s="2"/>
      <c r="BC24" s="2"/>
      <c r="BD24" s="2" t="s">
        <v>103</v>
      </c>
      <c r="BE24" s="2" t="s">
        <v>133</v>
      </c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 t="s">
        <v>137</v>
      </c>
      <c r="BX24" s="2"/>
      <c r="BY24" s="2"/>
      <c r="BZ24" s="2"/>
      <c r="CA24" s="2"/>
      <c r="CB24" s="2"/>
      <c r="CC24" s="2"/>
      <c r="CD24" s="2" t="s">
        <v>123</v>
      </c>
      <c r="CE24" s="2"/>
      <c r="CF24" s="2"/>
      <c r="CG24" s="2"/>
      <c r="CH24" s="2"/>
      <c r="CI24" s="2"/>
      <c r="CJ24" s="2" t="s">
        <v>133</v>
      </c>
      <c r="CK24" s="2" t="s">
        <v>133</v>
      </c>
      <c r="CL24" s="2"/>
      <c r="CM24" s="2"/>
      <c r="CN24" s="2"/>
      <c r="CO24" s="2" t="s">
        <v>122</v>
      </c>
      <c r="CP24" s="2"/>
      <c r="CQ24" s="2"/>
      <c r="CR24" s="2"/>
      <c r="CS24" s="2"/>
      <c r="CT24" s="2"/>
      <c r="CU24" s="2"/>
      <c r="CV24" s="2"/>
      <c r="CW24" s="2"/>
      <c r="CX24" s="2" t="s">
        <v>116</v>
      </c>
      <c r="CY24" s="2" t="s">
        <v>122</v>
      </c>
    </row>
    <row r="25" ht="15.75" customHeight="1">
      <c r="A25" s="2" t="s">
        <v>122</v>
      </c>
      <c r="B25" s="2" t="s">
        <v>113</v>
      </c>
      <c r="C25" s="3" t="s">
        <v>104</v>
      </c>
      <c r="D25" s="3"/>
      <c r="E25" s="2" t="s">
        <v>103</v>
      </c>
      <c r="F25" s="2"/>
      <c r="G25" s="2"/>
      <c r="H25" s="2" t="s">
        <v>133</v>
      </c>
      <c r="I25" s="2" t="s">
        <v>171</v>
      </c>
      <c r="J25" s="2" t="s">
        <v>190</v>
      </c>
      <c r="K25" s="2"/>
      <c r="L25" s="2" t="s">
        <v>191</v>
      </c>
      <c r="M25" s="2" t="s">
        <v>131</v>
      </c>
      <c r="N25" s="2" t="s">
        <v>192</v>
      </c>
      <c r="O25" s="2" t="s">
        <v>131</v>
      </c>
      <c r="P25" s="2"/>
      <c r="Q25" s="2"/>
      <c r="R25" s="2"/>
      <c r="S25" s="2" t="s">
        <v>114</v>
      </c>
      <c r="T25" s="2" t="s">
        <v>112</v>
      </c>
      <c r="U25" s="2" t="s">
        <v>123</v>
      </c>
      <c r="V25" s="2" t="s">
        <v>149</v>
      </c>
      <c r="W25" s="2"/>
      <c r="X25" s="2"/>
      <c r="Y25" s="2" t="s">
        <v>116</v>
      </c>
      <c r="Z25" s="2"/>
      <c r="AA25" s="2"/>
      <c r="AB25" s="2" t="s">
        <v>113</v>
      </c>
      <c r="AC25" s="2" t="s">
        <v>122</v>
      </c>
      <c r="AD25" s="2" t="s">
        <v>113</v>
      </c>
      <c r="AE25" s="2" t="s">
        <v>103</v>
      </c>
      <c r="AF25" s="2" t="s">
        <v>122</v>
      </c>
      <c r="AG25" s="2" t="s">
        <v>103</v>
      </c>
      <c r="AH25" s="2"/>
      <c r="AI25" s="2"/>
      <c r="AJ25" s="2" t="s">
        <v>181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 t="s">
        <v>148</v>
      </c>
      <c r="AX25" s="2"/>
      <c r="AY25" s="2" t="s">
        <v>136</v>
      </c>
      <c r="AZ25" s="2"/>
      <c r="BA25" s="2"/>
      <c r="BB25" s="2" t="s">
        <v>113</v>
      </c>
      <c r="BC25" s="2" t="s">
        <v>185</v>
      </c>
      <c r="BD25" s="2" t="s">
        <v>116</v>
      </c>
      <c r="BE25" s="2" t="s">
        <v>137</v>
      </c>
      <c r="BF25" s="2" t="s">
        <v>116</v>
      </c>
      <c r="BG25" s="2" t="s">
        <v>109</v>
      </c>
      <c r="BH25" s="2"/>
      <c r="BI25" s="2"/>
      <c r="BJ25" s="2"/>
      <c r="BK25" s="2"/>
      <c r="BL25" s="2"/>
      <c r="BM25" s="2"/>
      <c r="BN25" s="2"/>
      <c r="BO25" s="2"/>
      <c r="BP25" s="2" t="s">
        <v>116</v>
      </c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 t="s">
        <v>103</v>
      </c>
      <c r="CD25" s="2" t="s">
        <v>193</v>
      </c>
      <c r="CE25" s="2"/>
      <c r="CF25" s="2"/>
      <c r="CG25" s="2"/>
      <c r="CH25" s="2"/>
      <c r="CI25" s="2" t="s">
        <v>122</v>
      </c>
      <c r="CJ25" s="2" t="s">
        <v>122</v>
      </c>
      <c r="CK25" s="2" t="s">
        <v>106</v>
      </c>
      <c r="CL25" s="2"/>
      <c r="CM25" s="2"/>
      <c r="CN25" s="2"/>
      <c r="CO25" s="2" t="s">
        <v>113</v>
      </c>
      <c r="CP25" s="2"/>
      <c r="CQ25" s="2"/>
      <c r="CR25" s="2"/>
      <c r="CS25" s="2"/>
      <c r="CT25" s="2"/>
      <c r="CU25" s="2"/>
      <c r="CV25" s="2"/>
      <c r="CW25" s="2"/>
      <c r="CX25" s="2" t="s">
        <v>106</v>
      </c>
      <c r="CY25" s="2" t="s">
        <v>109</v>
      </c>
    </row>
    <row r="26" ht="15.75" customHeight="1">
      <c r="A26" s="2" t="s">
        <v>129</v>
      </c>
      <c r="B26" s="2" t="s">
        <v>113</v>
      </c>
      <c r="C26" s="3" t="s">
        <v>104</v>
      </c>
      <c r="D26" s="3"/>
      <c r="E26" s="2"/>
      <c r="F26" s="2" t="s">
        <v>103</v>
      </c>
      <c r="G26" s="2"/>
      <c r="H26" s="2" t="s">
        <v>123</v>
      </c>
      <c r="I26" s="2" t="s">
        <v>138</v>
      </c>
      <c r="J26" s="2" t="s">
        <v>136</v>
      </c>
      <c r="K26" s="2"/>
      <c r="L26" s="2" t="s">
        <v>194</v>
      </c>
      <c r="M26" s="2" t="s">
        <v>131</v>
      </c>
      <c r="N26" s="2" t="s">
        <v>195</v>
      </c>
      <c r="O26" s="2" t="s">
        <v>133</v>
      </c>
      <c r="P26" s="2"/>
      <c r="Q26" s="2" t="s">
        <v>151</v>
      </c>
      <c r="R26" s="2" t="s">
        <v>113</v>
      </c>
      <c r="S26" s="2" t="s">
        <v>196</v>
      </c>
      <c r="T26" s="2" t="s">
        <v>123</v>
      </c>
      <c r="U26" s="2" t="s">
        <v>138</v>
      </c>
      <c r="V26" s="2" t="s">
        <v>123</v>
      </c>
      <c r="W26" s="2"/>
      <c r="X26" s="2"/>
      <c r="Y26" s="2" t="s">
        <v>103</v>
      </c>
      <c r="Z26" s="2"/>
      <c r="AA26" s="2"/>
      <c r="AB26" s="2" t="s">
        <v>116</v>
      </c>
      <c r="AC26" s="2"/>
      <c r="AD26" s="2" t="s">
        <v>116</v>
      </c>
      <c r="AE26" s="2"/>
      <c r="AF26" s="2"/>
      <c r="AG26" s="2"/>
      <c r="AH26" s="2"/>
      <c r="AI26" s="2"/>
      <c r="AJ26" s="2" t="s">
        <v>181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 t="s">
        <v>103</v>
      </c>
      <c r="AW26" s="2" t="s">
        <v>143</v>
      </c>
      <c r="AX26" s="2"/>
      <c r="AY26" s="2" t="s">
        <v>120</v>
      </c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 t="s">
        <v>135</v>
      </c>
      <c r="CK26" s="2" t="s">
        <v>139</v>
      </c>
      <c r="CL26" s="2"/>
      <c r="CM26" s="2"/>
      <c r="CN26" s="2"/>
      <c r="CO26" s="2" t="s">
        <v>109</v>
      </c>
      <c r="CP26" s="2"/>
      <c r="CQ26" s="2"/>
      <c r="CR26" s="2"/>
      <c r="CS26" s="2"/>
      <c r="CT26" s="2"/>
      <c r="CU26" s="2"/>
      <c r="CV26" s="2" t="s">
        <v>106</v>
      </c>
      <c r="CW26" s="2"/>
      <c r="CX26" s="2" t="s">
        <v>197</v>
      </c>
      <c r="CY26" s="2" t="s">
        <v>198</v>
      </c>
    </row>
    <row r="27" ht="15.75" customHeight="1">
      <c r="A27" s="2" t="s">
        <v>130</v>
      </c>
      <c r="B27" s="2" t="s">
        <v>113</v>
      </c>
      <c r="C27" s="3" t="s">
        <v>104</v>
      </c>
      <c r="D27" s="3"/>
      <c r="E27" s="2" t="s">
        <v>103</v>
      </c>
      <c r="F27" s="2"/>
      <c r="G27" s="2"/>
      <c r="H27" s="2" t="s">
        <v>133</v>
      </c>
      <c r="I27" s="2" t="s">
        <v>158</v>
      </c>
      <c r="J27" s="2" t="s">
        <v>182</v>
      </c>
      <c r="K27" s="2"/>
      <c r="L27" s="2" t="s">
        <v>194</v>
      </c>
      <c r="M27" s="2" t="s">
        <v>133</v>
      </c>
      <c r="N27" s="2" t="s">
        <v>125</v>
      </c>
      <c r="O27" s="2"/>
      <c r="P27" s="2"/>
      <c r="Q27" s="2"/>
      <c r="R27" s="2"/>
      <c r="S27" s="2" t="s">
        <v>181</v>
      </c>
      <c r="T27" s="2" t="s">
        <v>145</v>
      </c>
      <c r="U27" s="2" t="s">
        <v>158</v>
      </c>
      <c r="V27" s="2" t="s">
        <v>151</v>
      </c>
      <c r="W27" s="2"/>
      <c r="X27" s="2"/>
      <c r="Y27" s="2" t="s">
        <v>116</v>
      </c>
      <c r="Z27" s="2"/>
      <c r="AA27" s="2"/>
      <c r="AB27" s="2" t="s">
        <v>116</v>
      </c>
      <c r="AC27" s="2"/>
      <c r="AD27" s="2" t="s">
        <v>116</v>
      </c>
      <c r="AE27" s="2"/>
      <c r="AF27" s="2"/>
      <c r="AG27" s="2"/>
      <c r="AH27" s="2"/>
      <c r="AI27" s="2"/>
      <c r="AJ27" s="2" t="s">
        <v>125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 t="s">
        <v>103</v>
      </c>
      <c r="AW27" s="2" t="s">
        <v>118</v>
      </c>
      <c r="AX27" s="2"/>
      <c r="AY27" s="2" t="s">
        <v>136</v>
      </c>
      <c r="AZ27" s="2"/>
      <c r="BA27" s="2"/>
      <c r="BB27" s="2"/>
      <c r="BC27" s="2"/>
      <c r="BD27" s="2">
        <f t="shared" ref="BD27:BD28" si="2">1/2</f>
        <v>0.5</v>
      </c>
      <c r="BE27" s="2" t="s">
        <v>131</v>
      </c>
      <c r="BF27" s="2" t="s">
        <v>113</v>
      </c>
      <c r="BG27" s="2" t="s">
        <v>199</v>
      </c>
      <c r="BH27" s="2"/>
      <c r="BI27" s="2"/>
      <c r="BJ27" s="2"/>
      <c r="BK27" s="2"/>
      <c r="BL27" s="2"/>
      <c r="BM27" s="2"/>
      <c r="BN27" s="2"/>
      <c r="BO27" s="2"/>
      <c r="BP27" s="2" t="s">
        <v>113</v>
      </c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 t="s">
        <v>103</v>
      </c>
      <c r="CD27" s="2" t="s">
        <v>184</v>
      </c>
      <c r="CE27" s="2"/>
      <c r="CF27" s="2"/>
      <c r="CG27" s="2"/>
      <c r="CH27" s="2"/>
      <c r="CI27" s="2" t="s">
        <v>116</v>
      </c>
      <c r="CJ27" s="2" t="s">
        <v>109</v>
      </c>
      <c r="CK27" s="2" t="s">
        <v>136</v>
      </c>
      <c r="CL27" s="2"/>
      <c r="CM27" s="2"/>
      <c r="CN27" s="2"/>
      <c r="CO27" s="2" t="s">
        <v>142</v>
      </c>
      <c r="CP27" s="2"/>
      <c r="CQ27" s="2"/>
      <c r="CR27" s="2"/>
      <c r="CS27" s="2"/>
      <c r="CT27" s="2"/>
      <c r="CU27" s="2"/>
      <c r="CV27" s="2"/>
      <c r="CW27" s="2"/>
      <c r="CX27" s="2" t="s">
        <v>138</v>
      </c>
      <c r="CY27" s="2" t="s">
        <v>106</v>
      </c>
    </row>
    <row r="28" ht="15.75" customHeight="1">
      <c r="A28" s="2" t="s">
        <v>121</v>
      </c>
      <c r="B28" s="2" t="s">
        <v>113</v>
      </c>
      <c r="C28" s="3" t="s">
        <v>104</v>
      </c>
      <c r="D28" s="3"/>
      <c r="E28" s="2" t="s">
        <v>103</v>
      </c>
      <c r="F28" s="2"/>
      <c r="G28" s="2"/>
      <c r="H28" s="2" t="s">
        <v>143</v>
      </c>
      <c r="I28" s="2" t="s">
        <v>105</v>
      </c>
      <c r="J28" s="2" t="s">
        <v>195</v>
      </c>
      <c r="K28" s="2"/>
      <c r="L28" s="2" t="s">
        <v>167</v>
      </c>
      <c r="M28" s="2" t="s">
        <v>133</v>
      </c>
      <c r="N28" s="2" t="s">
        <v>200</v>
      </c>
      <c r="O28" s="2" t="s">
        <v>138</v>
      </c>
      <c r="P28" s="2"/>
      <c r="Q28" s="2" t="s">
        <v>201</v>
      </c>
      <c r="R28" s="2" t="s">
        <v>121</v>
      </c>
      <c r="S28" s="2" t="s">
        <v>202</v>
      </c>
      <c r="T28" s="2" t="s">
        <v>105</v>
      </c>
      <c r="U28" s="2" t="s">
        <v>138</v>
      </c>
      <c r="V28" s="2" t="s">
        <v>110</v>
      </c>
      <c r="W28" s="2"/>
      <c r="X28" s="2"/>
      <c r="Y28" s="2" t="s">
        <v>116</v>
      </c>
      <c r="Z28" s="2"/>
      <c r="AA28" s="2" t="s">
        <v>116</v>
      </c>
      <c r="AB28" s="2" t="s">
        <v>122</v>
      </c>
      <c r="AC28" s="2" t="s">
        <v>116</v>
      </c>
      <c r="AD28" s="2" t="s">
        <v>122</v>
      </c>
      <c r="AE28" s="2"/>
      <c r="AF28" s="2" t="s">
        <v>103</v>
      </c>
      <c r="AG28" s="2" t="s">
        <v>116</v>
      </c>
      <c r="AH28" s="2"/>
      <c r="AI28" s="2"/>
      <c r="AJ28" s="2" t="s">
        <v>139</v>
      </c>
      <c r="AK28" s="2"/>
      <c r="AL28" s="2" t="s">
        <v>144</v>
      </c>
      <c r="AM28" s="2" t="s">
        <v>113</v>
      </c>
      <c r="AN28" s="2"/>
      <c r="AO28" s="2"/>
      <c r="AP28" s="2"/>
      <c r="AQ28" s="2"/>
      <c r="AR28" s="2"/>
      <c r="AS28" s="2"/>
      <c r="AT28" s="2" t="s">
        <v>144</v>
      </c>
      <c r="AU28" s="2" t="s">
        <v>131</v>
      </c>
      <c r="AV28" s="2" t="s">
        <v>103</v>
      </c>
      <c r="AW28" s="2" t="s">
        <v>143</v>
      </c>
      <c r="AX28" s="2"/>
      <c r="AY28" s="2" t="s">
        <v>120</v>
      </c>
      <c r="AZ28" s="2"/>
      <c r="BA28" s="2"/>
      <c r="BB28" s="2"/>
      <c r="BC28" s="2"/>
      <c r="BD28" s="2">
        <f t="shared" si="2"/>
        <v>0.5</v>
      </c>
      <c r="BE28" s="2" t="s">
        <v>142</v>
      </c>
      <c r="BF28" s="2">
        <f>3/4</f>
        <v>0.75</v>
      </c>
      <c r="BG28" s="2" t="s">
        <v>203</v>
      </c>
      <c r="BH28" s="2"/>
      <c r="BI28" s="2"/>
      <c r="BJ28" s="2"/>
      <c r="BK28" s="2" t="s">
        <v>130</v>
      </c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 t="s">
        <v>103</v>
      </c>
      <c r="CD28" s="2" t="s">
        <v>135</v>
      </c>
      <c r="CE28" s="2"/>
      <c r="CF28" s="2"/>
      <c r="CG28" s="2"/>
      <c r="CH28" s="2"/>
      <c r="CI28" s="2" t="s">
        <v>116</v>
      </c>
      <c r="CJ28" s="2" t="s">
        <v>109</v>
      </c>
      <c r="CK28" s="2" t="s">
        <v>187</v>
      </c>
      <c r="CL28" s="2"/>
      <c r="CM28" s="2"/>
      <c r="CN28" s="2"/>
      <c r="CO28" s="2" t="s">
        <v>138</v>
      </c>
      <c r="CP28" s="2"/>
      <c r="CQ28" s="2"/>
      <c r="CR28" s="2"/>
      <c r="CS28" s="2"/>
      <c r="CT28" s="2"/>
      <c r="CU28" s="2"/>
      <c r="CV28" s="2" t="s">
        <v>118</v>
      </c>
      <c r="CW28" s="2"/>
      <c r="CX28" s="2" t="s">
        <v>138</v>
      </c>
      <c r="CY28" s="2" t="s">
        <v>123</v>
      </c>
    </row>
    <row r="29" ht="15.75" customHeight="1">
      <c r="A29" s="2" t="s">
        <v>111</v>
      </c>
      <c r="B29" s="2" t="s">
        <v>113</v>
      </c>
      <c r="C29" s="3" t="s">
        <v>104</v>
      </c>
      <c r="D29" s="3"/>
      <c r="E29" s="2"/>
      <c r="F29" s="2" t="s">
        <v>103</v>
      </c>
      <c r="G29" s="2"/>
      <c r="H29" s="2" t="s">
        <v>122</v>
      </c>
      <c r="I29" s="2" t="s">
        <v>116</v>
      </c>
      <c r="J29" s="2" t="s">
        <v>111</v>
      </c>
      <c r="K29" s="2"/>
      <c r="L29" s="2" t="s">
        <v>126</v>
      </c>
      <c r="M29" s="2"/>
      <c r="N29" s="2" t="s">
        <v>204</v>
      </c>
      <c r="O29" s="2" t="s">
        <v>123</v>
      </c>
      <c r="P29" s="2"/>
      <c r="Q29" s="2" t="s">
        <v>129</v>
      </c>
      <c r="R29" s="2"/>
      <c r="S29" s="2" t="s">
        <v>137</v>
      </c>
      <c r="T29" s="2" t="s">
        <v>103</v>
      </c>
      <c r="U29" s="2" t="s">
        <v>116</v>
      </c>
      <c r="V29" s="2" t="s">
        <v>103</v>
      </c>
      <c r="W29" s="2"/>
      <c r="X29" s="2"/>
      <c r="Y29" s="2" t="s">
        <v>103</v>
      </c>
      <c r="Z29" s="2"/>
      <c r="AA29" s="2" t="s">
        <v>116</v>
      </c>
      <c r="AB29" s="2" t="s">
        <v>103</v>
      </c>
      <c r="AC29" s="2"/>
      <c r="AD29" s="2" t="s">
        <v>103</v>
      </c>
      <c r="AE29" s="2"/>
      <c r="AF29" s="2" t="s">
        <v>103</v>
      </c>
      <c r="AG29" s="2"/>
      <c r="AH29" s="2"/>
      <c r="AI29" s="2"/>
      <c r="AJ29" s="2" t="s">
        <v>135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 t="s">
        <v>103</v>
      </c>
      <c r="AW29" s="2" t="s">
        <v>121</v>
      </c>
      <c r="AX29" s="2"/>
      <c r="AY29" s="2" t="s">
        <v>131</v>
      </c>
      <c r="AZ29" s="2"/>
      <c r="BA29" s="2"/>
      <c r="BB29" s="2"/>
      <c r="BC29" s="2"/>
      <c r="BD29" s="2" t="s">
        <v>103</v>
      </c>
      <c r="BE29" s="2" t="s">
        <v>106</v>
      </c>
      <c r="BF29" s="4">
        <f>1 + (1/2)</f>
        <v>1.5</v>
      </c>
      <c r="BG29" s="2" t="s">
        <v>205</v>
      </c>
      <c r="BH29" s="2"/>
      <c r="BI29" s="2"/>
      <c r="BJ29" s="2"/>
      <c r="BK29" s="2"/>
      <c r="BL29" s="2"/>
      <c r="BM29" s="2"/>
      <c r="BN29" s="2"/>
      <c r="BO29" s="2"/>
      <c r="BP29" s="2" t="s">
        <v>103</v>
      </c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 t="s">
        <v>133</v>
      </c>
      <c r="CE29" s="2"/>
      <c r="CF29" s="2"/>
      <c r="CG29" s="2"/>
      <c r="CH29" s="2"/>
      <c r="CI29" s="2"/>
      <c r="CJ29" s="2" t="s">
        <v>159</v>
      </c>
      <c r="CK29" s="2" t="s">
        <v>136</v>
      </c>
      <c r="CL29" s="2"/>
      <c r="CM29" s="2"/>
      <c r="CN29" s="2"/>
      <c r="CO29" s="2" t="s">
        <v>118</v>
      </c>
      <c r="CP29" s="2"/>
      <c r="CQ29" s="2"/>
      <c r="CR29" s="2"/>
      <c r="CS29" s="2"/>
      <c r="CT29" s="2"/>
      <c r="CU29" s="2"/>
      <c r="CV29" s="2"/>
      <c r="CW29" s="2"/>
      <c r="CX29" s="2"/>
      <c r="CY29" s="2"/>
    </row>
    <row r="30" ht="15.75" customHeight="1">
      <c r="A30" s="2" t="s">
        <v>150</v>
      </c>
      <c r="B30" s="2" t="s">
        <v>113</v>
      </c>
      <c r="C30" s="3" t="s">
        <v>104</v>
      </c>
      <c r="D30" s="3"/>
      <c r="E30" s="2" t="s">
        <v>103</v>
      </c>
      <c r="F30" s="2"/>
      <c r="G30" s="2"/>
      <c r="H30" s="2" t="s">
        <v>112</v>
      </c>
      <c r="I30" s="2" t="s">
        <v>106</v>
      </c>
      <c r="J30" s="2" t="s">
        <v>118</v>
      </c>
      <c r="K30" s="2"/>
      <c r="L30" s="2" t="s">
        <v>177</v>
      </c>
      <c r="M30" s="2" t="s">
        <v>206</v>
      </c>
      <c r="N30" s="2" t="s">
        <v>207</v>
      </c>
      <c r="O30" s="2" t="s">
        <v>131</v>
      </c>
      <c r="P30" s="2"/>
      <c r="Q30" s="2"/>
      <c r="R30" s="2"/>
      <c r="S30" s="2" t="s">
        <v>208</v>
      </c>
      <c r="T30" s="2" t="s">
        <v>150</v>
      </c>
      <c r="U30" s="2" t="s">
        <v>118</v>
      </c>
      <c r="V30" s="2" t="s">
        <v>123</v>
      </c>
      <c r="W30" s="2"/>
      <c r="X30" s="2"/>
      <c r="Y30" s="2" t="s">
        <v>116</v>
      </c>
      <c r="Z30" s="2"/>
      <c r="AA30" s="2"/>
      <c r="AB30" s="2" t="s">
        <v>129</v>
      </c>
      <c r="AC30" s="2" t="s">
        <v>113</v>
      </c>
      <c r="AD30" s="2" t="s">
        <v>122</v>
      </c>
      <c r="AE30" s="2"/>
      <c r="AF30" s="2"/>
      <c r="AG30" s="2"/>
      <c r="AH30" s="2"/>
      <c r="AI30" s="2"/>
      <c r="AJ30" s="2" t="s">
        <v>180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 t="s">
        <v>116</v>
      </c>
      <c r="AW30" s="2" t="s">
        <v>145</v>
      </c>
      <c r="AX30" s="2"/>
      <c r="AY30" s="2" t="s">
        <v>136</v>
      </c>
      <c r="AZ30" s="2"/>
      <c r="BA30" s="2"/>
      <c r="BB30" s="2"/>
      <c r="BC30" s="2"/>
      <c r="BD30" s="2" t="s">
        <v>116</v>
      </c>
      <c r="BE30" s="2" t="s">
        <v>131</v>
      </c>
      <c r="BF30" s="2" t="s">
        <v>103</v>
      </c>
      <c r="BG30" s="2" t="s">
        <v>105</v>
      </c>
      <c r="BH30" s="2"/>
      <c r="BI30" s="2"/>
      <c r="BJ30" s="2" t="s">
        <v>103</v>
      </c>
      <c r="BK30" s="2" t="s">
        <v>145</v>
      </c>
      <c r="BL30" s="2"/>
      <c r="BM30" s="2"/>
      <c r="BN30" s="2"/>
      <c r="BO30" s="2"/>
      <c r="BP30" s="2" t="s">
        <v>103</v>
      </c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 t="s">
        <v>103</v>
      </c>
      <c r="CD30" s="2" t="s">
        <v>135</v>
      </c>
      <c r="CE30" s="2"/>
      <c r="CF30" s="2"/>
      <c r="CG30" s="2"/>
      <c r="CH30" s="2"/>
      <c r="CI30" s="2" t="s">
        <v>113</v>
      </c>
      <c r="CJ30" s="2" t="s">
        <v>133</v>
      </c>
      <c r="CK30" s="2" t="s">
        <v>131</v>
      </c>
      <c r="CL30" s="2"/>
      <c r="CM30" s="2"/>
      <c r="CN30" s="2"/>
      <c r="CO30" s="2" t="s">
        <v>133</v>
      </c>
      <c r="CP30" s="2"/>
      <c r="CQ30" s="2"/>
      <c r="CR30" s="2"/>
      <c r="CS30" s="2"/>
      <c r="CT30" s="2"/>
      <c r="CU30" s="2"/>
      <c r="CV30" s="2"/>
      <c r="CW30" s="2"/>
      <c r="CX30" s="2" t="s">
        <v>112</v>
      </c>
      <c r="CY30" s="2" t="s">
        <v>166</v>
      </c>
    </row>
    <row r="31" ht="15.75" customHeight="1">
      <c r="A31" s="2" t="s">
        <v>138</v>
      </c>
      <c r="B31" s="2" t="s">
        <v>113</v>
      </c>
      <c r="C31" s="3" t="s">
        <v>104</v>
      </c>
      <c r="D31" s="3"/>
      <c r="E31" s="2"/>
      <c r="F31" s="2" t="s">
        <v>103</v>
      </c>
      <c r="G31" s="2"/>
      <c r="H31" s="2" t="s">
        <v>138</v>
      </c>
      <c r="I31" s="2" t="s">
        <v>111</v>
      </c>
      <c r="J31" s="2" t="s">
        <v>209</v>
      </c>
      <c r="K31" s="2"/>
      <c r="L31" s="2" t="s">
        <v>146</v>
      </c>
      <c r="M31" s="2" t="s">
        <v>133</v>
      </c>
      <c r="N31" s="2" t="s">
        <v>109</v>
      </c>
      <c r="O31" s="2" t="s">
        <v>122</v>
      </c>
      <c r="P31" s="2"/>
      <c r="Q31" s="2"/>
      <c r="R31" s="2"/>
      <c r="S31" s="2" t="s">
        <v>193</v>
      </c>
      <c r="T31" s="2" t="s">
        <v>129</v>
      </c>
      <c r="U31" s="2" t="s">
        <v>111</v>
      </c>
      <c r="V31" s="2" t="s">
        <v>122</v>
      </c>
      <c r="W31" s="2"/>
      <c r="X31" s="2"/>
      <c r="Y31" s="2"/>
      <c r="Z31" s="2"/>
      <c r="AA31" s="2"/>
      <c r="AB31" s="2" t="s">
        <v>116</v>
      </c>
      <c r="AC31" s="2"/>
      <c r="AD31" s="2" t="s">
        <v>116</v>
      </c>
      <c r="AE31" s="2"/>
      <c r="AF31" s="2"/>
      <c r="AG31" s="2"/>
      <c r="AH31" s="2"/>
      <c r="AI31" s="2"/>
      <c r="AJ31" s="2" t="s">
        <v>181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 t="s">
        <v>138</v>
      </c>
      <c r="AX31" s="2"/>
      <c r="AY31" s="2" t="s">
        <v>135</v>
      </c>
      <c r="AZ31" s="2"/>
      <c r="BA31" s="2"/>
      <c r="BB31" s="2"/>
      <c r="BC31" s="2"/>
      <c r="BD31" s="2" t="s">
        <v>103</v>
      </c>
      <c r="BE31" s="2" t="s">
        <v>106</v>
      </c>
      <c r="BF31" s="2" t="s">
        <v>103</v>
      </c>
      <c r="BG31" s="2" t="s">
        <v>185</v>
      </c>
      <c r="BH31" s="2"/>
      <c r="BI31" s="2"/>
      <c r="BJ31" s="2"/>
      <c r="BK31" s="2"/>
      <c r="BL31" s="2"/>
      <c r="BM31" s="2"/>
      <c r="BN31" s="2"/>
      <c r="BO31" s="2"/>
      <c r="BP31" s="2" t="s">
        <v>103</v>
      </c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 t="s">
        <v>103</v>
      </c>
      <c r="CD31" s="2" t="s">
        <v>197</v>
      </c>
      <c r="CE31" s="2"/>
      <c r="CF31" s="2"/>
      <c r="CG31" s="2"/>
      <c r="CH31" s="2"/>
      <c r="CI31" s="2"/>
      <c r="CJ31" s="2" t="s">
        <v>185</v>
      </c>
      <c r="CK31" s="2" t="s">
        <v>131</v>
      </c>
      <c r="CL31" s="2"/>
      <c r="CM31" s="2"/>
      <c r="CN31" s="2"/>
      <c r="CO31" s="2" t="s">
        <v>129</v>
      </c>
      <c r="CP31" s="2"/>
      <c r="CQ31" s="2"/>
      <c r="CR31" s="2"/>
      <c r="CS31" s="2"/>
      <c r="CT31" s="2"/>
      <c r="CU31" s="2"/>
      <c r="CV31" s="2"/>
      <c r="CW31" s="2"/>
      <c r="CX31" s="2" t="s">
        <v>138</v>
      </c>
      <c r="CY31" s="2" t="s">
        <v>106</v>
      </c>
    </row>
    <row r="32" ht="15.75" customHeight="1">
      <c r="A32" s="2" t="s">
        <v>103</v>
      </c>
      <c r="B32" s="2" t="s">
        <v>122</v>
      </c>
      <c r="C32" s="3" t="s">
        <v>104</v>
      </c>
      <c r="D32" s="3"/>
      <c r="E32" s="2" t="s">
        <v>103</v>
      </c>
      <c r="F32" s="2"/>
      <c r="G32" s="2"/>
      <c r="H32" s="2" t="s">
        <v>133</v>
      </c>
      <c r="I32" s="2" t="s">
        <v>110</v>
      </c>
      <c r="J32" s="2" t="s">
        <v>157</v>
      </c>
      <c r="K32" s="2"/>
      <c r="L32" s="2" t="s">
        <v>194</v>
      </c>
      <c r="M32" s="2" t="s">
        <v>135</v>
      </c>
      <c r="N32" s="2" t="s">
        <v>210</v>
      </c>
      <c r="O32" s="2" t="s">
        <v>113</v>
      </c>
      <c r="P32" s="2" t="s">
        <v>103</v>
      </c>
      <c r="Q32" s="2" t="s">
        <v>109</v>
      </c>
      <c r="R32" s="2" t="s">
        <v>130</v>
      </c>
      <c r="S32" s="2" t="s">
        <v>211</v>
      </c>
      <c r="T32" s="2" t="s">
        <v>106</v>
      </c>
      <c r="U32" s="2" t="s">
        <v>109</v>
      </c>
      <c r="V32" s="2" t="s">
        <v>105</v>
      </c>
      <c r="W32" s="2"/>
      <c r="X32" s="2"/>
      <c r="Y32" s="2" t="s">
        <v>122</v>
      </c>
      <c r="Z32" s="2"/>
      <c r="AA32" s="2"/>
      <c r="AB32" s="2" t="s">
        <v>116</v>
      </c>
      <c r="AC32" s="2" t="s">
        <v>103</v>
      </c>
      <c r="AD32" s="2" t="s">
        <v>116</v>
      </c>
      <c r="AE32" s="2"/>
      <c r="AF32" s="2" t="s">
        <v>116</v>
      </c>
      <c r="AG32" s="2"/>
      <c r="AH32" s="2"/>
      <c r="AI32" s="2"/>
      <c r="AJ32" s="2" t="s">
        <v>114</v>
      </c>
      <c r="AK32" s="2"/>
      <c r="AL32" s="2" t="s">
        <v>133</v>
      </c>
      <c r="AM32" s="2" t="s">
        <v>133</v>
      </c>
      <c r="AN32" s="2" t="s">
        <v>111</v>
      </c>
      <c r="AO32" s="2" t="s">
        <v>122</v>
      </c>
      <c r="AP32" s="2"/>
      <c r="AQ32" s="2"/>
      <c r="AR32" s="2" t="s">
        <v>103</v>
      </c>
      <c r="AS32" s="2"/>
      <c r="AT32" s="2" t="s">
        <v>133</v>
      </c>
      <c r="AU32" s="2" t="s">
        <v>212</v>
      </c>
      <c r="AV32" s="2"/>
      <c r="AW32" s="2" t="s">
        <v>112</v>
      </c>
      <c r="AX32" s="2"/>
      <c r="AY32" s="2" t="s">
        <v>136</v>
      </c>
      <c r="AZ32" s="2"/>
      <c r="BA32" s="2"/>
      <c r="BB32" s="2"/>
      <c r="BC32" s="2"/>
      <c r="BD32" s="2" t="s">
        <v>103</v>
      </c>
      <c r="BE32" s="2" t="s">
        <v>142</v>
      </c>
      <c r="BF32" s="2" t="s">
        <v>116</v>
      </c>
      <c r="BG32" s="2" t="s">
        <v>206</v>
      </c>
      <c r="BH32" s="2" t="s">
        <v>129</v>
      </c>
      <c r="BI32" s="2" t="s">
        <v>133</v>
      </c>
      <c r="BJ32" s="2">
        <f>1/2</f>
        <v>0.5</v>
      </c>
      <c r="BK32" s="2" t="s">
        <v>130</v>
      </c>
      <c r="BL32" s="2"/>
      <c r="BM32" s="2"/>
      <c r="BN32" s="2"/>
      <c r="BO32" s="2"/>
      <c r="BP32" s="2" t="s">
        <v>121</v>
      </c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 t="s">
        <v>103</v>
      </c>
      <c r="CD32" s="2" t="s">
        <v>136</v>
      </c>
      <c r="CE32" s="2"/>
      <c r="CF32" s="2"/>
      <c r="CG32" s="2"/>
      <c r="CH32" s="2"/>
      <c r="CI32" s="2" t="s">
        <v>122</v>
      </c>
      <c r="CJ32" s="2" t="s">
        <v>135</v>
      </c>
      <c r="CK32" s="2" t="s">
        <v>120</v>
      </c>
      <c r="CL32" s="2"/>
      <c r="CM32" s="2"/>
      <c r="CN32" s="2"/>
      <c r="CO32" s="2" t="s">
        <v>106</v>
      </c>
      <c r="CP32" s="2"/>
      <c r="CQ32" s="2"/>
      <c r="CR32" s="2"/>
      <c r="CS32" s="2"/>
      <c r="CT32" s="2"/>
      <c r="CU32" s="2"/>
      <c r="CV32" s="2"/>
      <c r="CW32" s="2"/>
      <c r="CX32" s="2" t="s">
        <v>138</v>
      </c>
      <c r="CY32" s="2" t="s">
        <v>106</v>
      </c>
    </row>
    <row r="33" ht="15.75" customHeight="1">
      <c r="A33" s="2" t="s">
        <v>116</v>
      </c>
      <c r="B33" s="2" t="s">
        <v>122</v>
      </c>
      <c r="C33" s="3" t="s">
        <v>104</v>
      </c>
      <c r="D33" s="3"/>
      <c r="E33" s="2"/>
      <c r="F33" s="2" t="s">
        <v>103</v>
      </c>
      <c r="G33" s="2"/>
      <c r="H33" s="2" t="s">
        <v>133</v>
      </c>
      <c r="I33" s="2" t="s">
        <v>213</v>
      </c>
      <c r="J33" s="2" t="s">
        <v>109</v>
      </c>
      <c r="K33" s="2"/>
      <c r="L33" s="2" t="s">
        <v>214</v>
      </c>
      <c r="M33" s="2" t="s">
        <v>136</v>
      </c>
      <c r="N33" s="2" t="s">
        <v>215</v>
      </c>
      <c r="O33" s="2" t="s">
        <v>129</v>
      </c>
      <c r="P33" s="2"/>
      <c r="Q33" s="2" t="s">
        <v>216</v>
      </c>
      <c r="R33" s="2" t="s">
        <v>106</v>
      </c>
      <c r="S33" s="2" t="s">
        <v>181</v>
      </c>
      <c r="T33" s="2" t="s">
        <v>106</v>
      </c>
      <c r="U33" s="2" t="s">
        <v>217</v>
      </c>
      <c r="V33" s="2" t="s">
        <v>133</v>
      </c>
      <c r="W33" s="2"/>
      <c r="X33" s="2"/>
      <c r="Y33" s="2" t="s">
        <v>122</v>
      </c>
      <c r="Z33" s="2"/>
      <c r="AA33" s="2"/>
      <c r="AB33" s="2" t="s">
        <v>121</v>
      </c>
      <c r="AC33" s="2" t="s">
        <v>150</v>
      </c>
      <c r="AD33" s="2" t="s">
        <v>150</v>
      </c>
      <c r="AE33" s="2"/>
      <c r="AF33" s="2" t="s">
        <v>111</v>
      </c>
      <c r="AG33" s="2"/>
      <c r="AH33" s="2"/>
      <c r="AI33" s="2"/>
      <c r="AJ33" s="2" t="s">
        <v>218</v>
      </c>
      <c r="AK33" s="2" t="s">
        <v>184</v>
      </c>
      <c r="AL33" s="2" t="s">
        <v>103</v>
      </c>
      <c r="AM33" s="2"/>
      <c r="AN33" s="2"/>
      <c r="AO33" s="2"/>
      <c r="AP33" s="2"/>
      <c r="AQ33" s="2"/>
      <c r="AR33" s="2"/>
      <c r="AS33" s="2"/>
      <c r="AT33" s="2"/>
      <c r="AU33" s="2"/>
      <c r="AV33" s="2" t="s">
        <v>116</v>
      </c>
      <c r="AW33" s="2" t="s">
        <v>106</v>
      </c>
      <c r="AX33" s="2"/>
      <c r="AY33" s="2" t="s">
        <v>135</v>
      </c>
      <c r="AZ33" s="2"/>
      <c r="BA33" s="2"/>
      <c r="BB33" s="2"/>
      <c r="BC33" s="2"/>
      <c r="BD33" s="4">
        <f>2 + (1/2)</f>
        <v>2.5</v>
      </c>
      <c r="BE33" s="2" t="s">
        <v>140</v>
      </c>
      <c r="BF33" s="2" t="s">
        <v>116</v>
      </c>
      <c r="BG33" s="2" t="s">
        <v>219</v>
      </c>
      <c r="BH33" s="2"/>
      <c r="BI33" s="2"/>
      <c r="BJ33" s="2"/>
      <c r="BK33" s="2"/>
      <c r="BL33" s="2"/>
      <c r="BM33" s="2"/>
      <c r="BN33" s="2"/>
      <c r="BO33" s="2"/>
      <c r="BP33" s="2" t="s">
        <v>103</v>
      </c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 t="s">
        <v>103</v>
      </c>
      <c r="CD33" s="2" t="s">
        <v>135</v>
      </c>
      <c r="CE33" s="2"/>
      <c r="CF33" s="2"/>
      <c r="CG33" s="2"/>
      <c r="CH33" s="2"/>
      <c r="CI33" s="2" t="s">
        <v>116</v>
      </c>
      <c r="CJ33" s="2" t="s">
        <v>131</v>
      </c>
      <c r="CK33" s="2" t="s">
        <v>136</v>
      </c>
      <c r="CL33" s="2"/>
      <c r="CM33" s="2"/>
      <c r="CN33" s="2"/>
      <c r="CO33" s="2" t="s">
        <v>123</v>
      </c>
      <c r="CP33" s="2"/>
      <c r="CQ33" s="2"/>
      <c r="CR33" s="2"/>
      <c r="CS33" s="2"/>
      <c r="CT33" s="2"/>
      <c r="CU33" s="2"/>
      <c r="CV33" s="2"/>
      <c r="CW33" s="2"/>
      <c r="CX33" s="2" t="s">
        <v>118</v>
      </c>
      <c r="CY33" s="2" t="s">
        <v>151</v>
      </c>
    </row>
    <row r="34" ht="15.75" customHeight="1">
      <c r="A34" s="2" t="s">
        <v>113</v>
      </c>
      <c r="B34" s="2" t="s">
        <v>122</v>
      </c>
      <c r="C34" s="3" t="s">
        <v>104</v>
      </c>
      <c r="D34" s="3"/>
      <c r="E34" s="2" t="s">
        <v>103</v>
      </c>
      <c r="F34" s="2"/>
      <c r="G34" s="2"/>
      <c r="H34" s="2" t="s">
        <v>106</v>
      </c>
      <c r="I34" s="2" t="s">
        <v>204</v>
      </c>
      <c r="J34" s="2" t="s">
        <v>135</v>
      </c>
      <c r="K34" s="2"/>
      <c r="L34" s="2" t="s">
        <v>214</v>
      </c>
      <c r="M34" s="2" t="s">
        <v>135</v>
      </c>
      <c r="N34" s="2" t="s">
        <v>220</v>
      </c>
      <c r="O34" s="2" t="s">
        <v>106</v>
      </c>
      <c r="P34" s="2"/>
      <c r="Q34" s="2" t="s">
        <v>221</v>
      </c>
      <c r="R34" s="2" t="s">
        <v>109</v>
      </c>
      <c r="S34" s="2" t="s">
        <v>222</v>
      </c>
      <c r="T34" s="2" t="s">
        <v>203</v>
      </c>
      <c r="U34" s="2" t="s">
        <v>110</v>
      </c>
      <c r="V34" s="2" t="s">
        <v>213</v>
      </c>
      <c r="W34" s="2"/>
      <c r="X34" s="2"/>
      <c r="Y34" s="2" t="s">
        <v>113</v>
      </c>
      <c r="Z34" s="2"/>
      <c r="AA34" s="2"/>
      <c r="AB34" s="2" t="s">
        <v>129</v>
      </c>
      <c r="AC34" s="2" t="s">
        <v>129</v>
      </c>
      <c r="AD34" s="2" t="s">
        <v>130</v>
      </c>
      <c r="AE34" s="2" t="s">
        <v>103</v>
      </c>
      <c r="AF34" s="2" t="s">
        <v>130</v>
      </c>
      <c r="AG34" s="2" t="s">
        <v>103</v>
      </c>
      <c r="AH34" s="2"/>
      <c r="AI34" s="2"/>
      <c r="AJ34" s="2" t="s">
        <v>146</v>
      </c>
      <c r="AK34" s="2" t="s">
        <v>136</v>
      </c>
      <c r="AL34" s="2" t="s">
        <v>149</v>
      </c>
      <c r="AM34" s="2" t="s">
        <v>121</v>
      </c>
      <c r="AN34" s="2" t="s">
        <v>113</v>
      </c>
      <c r="AO34" s="2"/>
      <c r="AP34" s="2"/>
      <c r="AQ34" s="2"/>
      <c r="AR34" s="2"/>
      <c r="AS34" s="2" t="s">
        <v>113</v>
      </c>
      <c r="AT34" s="2" t="s">
        <v>149</v>
      </c>
      <c r="AU34" s="2" t="s">
        <v>135</v>
      </c>
      <c r="AV34" s="2"/>
      <c r="AW34" s="2" t="s">
        <v>123</v>
      </c>
      <c r="AX34" s="2"/>
      <c r="AY34" s="2" t="s">
        <v>136</v>
      </c>
      <c r="AZ34" s="2"/>
      <c r="BA34" s="2"/>
      <c r="BB34" s="2"/>
      <c r="BC34" s="2"/>
      <c r="BD34" s="2" t="s">
        <v>116</v>
      </c>
      <c r="BE34" s="2" t="s">
        <v>184</v>
      </c>
      <c r="BF34" s="2"/>
      <c r="BG34" s="2"/>
      <c r="BH34" s="2" t="s">
        <v>116</v>
      </c>
      <c r="BI34" s="2" t="s">
        <v>105</v>
      </c>
      <c r="BJ34" s="2"/>
      <c r="BK34" s="2"/>
      <c r="BL34" s="2"/>
      <c r="BM34" s="2"/>
      <c r="BN34" s="2"/>
      <c r="BO34" s="2"/>
      <c r="BP34" s="2" t="s">
        <v>116</v>
      </c>
      <c r="BQ34" s="2"/>
      <c r="BR34" s="2"/>
      <c r="BS34" s="2"/>
      <c r="BT34" s="2"/>
      <c r="BU34" s="2"/>
      <c r="BV34" s="2"/>
      <c r="BW34" s="2" t="s">
        <v>155</v>
      </c>
      <c r="BX34" s="2"/>
      <c r="BY34" s="2"/>
      <c r="BZ34" s="2"/>
      <c r="CA34" s="2"/>
      <c r="CB34" s="2"/>
      <c r="CC34" s="4">
        <f t="shared" ref="CC34:CC35" si="3">1 + (1/2)</f>
        <v>1.5</v>
      </c>
      <c r="CD34" s="2" t="s">
        <v>223</v>
      </c>
      <c r="CE34" s="2"/>
      <c r="CF34" s="2"/>
      <c r="CG34" s="2"/>
      <c r="CH34" s="2"/>
      <c r="CI34" s="2" t="s">
        <v>122</v>
      </c>
      <c r="CJ34" s="2" t="s">
        <v>135</v>
      </c>
      <c r="CK34" s="2" t="s">
        <v>120</v>
      </c>
      <c r="CL34" s="2"/>
      <c r="CM34" s="2"/>
      <c r="CN34" s="2"/>
      <c r="CO34" s="2" t="s">
        <v>133</v>
      </c>
      <c r="CP34" s="2"/>
      <c r="CQ34" s="2"/>
      <c r="CR34" s="2"/>
      <c r="CS34" s="2"/>
      <c r="CT34" s="2"/>
      <c r="CU34" s="2"/>
      <c r="CV34" s="2"/>
      <c r="CW34" s="2"/>
      <c r="CX34" s="2" t="s">
        <v>106</v>
      </c>
      <c r="CY34" s="2" t="s">
        <v>105</v>
      </c>
    </row>
    <row r="35" ht="15.75" customHeight="1">
      <c r="A35" s="2" t="s">
        <v>122</v>
      </c>
      <c r="B35" s="2" t="s">
        <v>122</v>
      </c>
      <c r="C35" s="3" t="s">
        <v>104</v>
      </c>
      <c r="D35" s="3"/>
      <c r="E35" s="2"/>
      <c r="F35" s="2"/>
      <c r="G35" s="2" t="s">
        <v>103</v>
      </c>
      <c r="H35" s="2" t="s">
        <v>185</v>
      </c>
      <c r="I35" s="2" t="s">
        <v>105</v>
      </c>
      <c r="J35" s="2" t="s">
        <v>143</v>
      </c>
      <c r="K35" s="2"/>
      <c r="L35" s="2" t="s">
        <v>224</v>
      </c>
      <c r="M35" s="2" t="s">
        <v>197</v>
      </c>
      <c r="N35" s="2" t="s">
        <v>225</v>
      </c>
      <c r="O35" s="2" t="s">
        <v>116</v>
      </c>
      <c r="P35" s="2"/>
      <c r="Q35" s="2" t="s">
        <v>121</v>
      </c>
      <c r="R35" s="2" t="s">
        <v>103</v>
      </c>
      <c r="S35" s="2" t="s">
        <v>226</v>
      </c>
      <c r="T35" s="2" t="s">
        <v>174</v>
      </c>
      <c r="U35" s="2" t="s">
        <v>151</v>
      </c>
      <c r="V35" s="2" t="s">
        <v>109</v>
      </c>
      <c r="W35" s="2"/>
      <c r="X35" s="2"/>
      <c r="Y35" s="2" t="s">
        <v>103</v>
      </c>
      <c r="Z35" s="2"/>
      <c r="AA35" s="2"/>
      <c r="AB35" s="2" t="s">
        <v>122</v>
      </c>
      <c r="AC35" s="2" t="s">
        <v>113</v>
      </c>
      <c r="AD35" s="2" t="s">
        <v>122</v>
      </c>
      <c r="AE35" s="2" t="s">
        <v>103</v>
      </c>
      <c r="AF35" s="2" t="s">
        <v>113</v>
      </c>
      <c r="AG35" s="2"/>
      <c r="AH35" s="2" t="s">
        <v>103</v>
      </c>
      <c r="AI35" s="2"/>
      <c r="AJ35" s="2" t="s">
        <v>146</v>
      </c>
      <c r="AK35" s="2"/>
      <c r="AL35" s="2"/>
      <c r="AM35" s="2"/>
      <c r="AN35" s="2" t="s">
        <v>103</v>
      </c>
      <c r="AO35" s="2"/>
      <c r="AP35" s="2"/>
      <c r="AQ35" s="2"/>
      <c r="AR35" s="2"/>
      <c r="AS35" s="2"/>
      <c r="AT35" s="2"/>
      <c r="AU35" s="2"/>
      <c r="AV35" s="2"/>
      <c r="AW35" s="2" t="s">
        <v>150</v>
      </c>
      <c r="AX35" s="2"/>
      <c r="AY35" s="2" t="s">
        <v>135</v>
      </c>
      <c r="AZ35" s="2"/>
      <c r="BA35" s="2"/>
      <c r="BB35" s="2"/>
      <c r="BC35" s="2"/>
      <c r="BD35" s="4">
        <f>1 + (1/2)</f>
        <v>1.5</v>
      </c>
      <c r="BE35" s="2" t="s">
        <v>209</v>
      </c>
      <c r="BF35" s="2" t="s">
        <v>103</v>
      </c>
      <c r="BG35" s="2" t="s">
        <v>195</v>
      </c>
      <c r="BH35" s="2"/>
      <c r="BI35" s="2"/>
      <c r="BJ35" s="2" t="s">
        <v>103</v>
      </c>
      <c r="BK35" s="2" t="s">
        <v>227</v>
      </c>
      <c r="BL35" s="2"/>
      <c r="BM35" s="2"/>
      <c r="BN35" s="2"/>
      <c r="BO35" s="2"/>
      <c r="BP35" s="2" t="s">
        <v>116</v>
      </c>
      <c r="BQ35" s="2"/>
      <c r="BR35" s="2"/>
      <c r="BS35" s="2"/>
      <c r="BT35" s="2"/>
      <c r="BU35" s="2"/>
      <c r="BV35" s="2"/>
      <c r="BW35" s="2" t="s">
        <v>109</v>
      </c>
      <c r="BX35" s="2"/>
      <c r="BY35" s="2"/>
      <c r="BZ35" s="2"/>
      <c r="CA35" s="2"/>
      <c r="CB35" s="2"/>
      <c r="CC35" s="4">
        <f t="shared" si="3"/>
        <v>1.5</v>
      </c>
      <c r="CD35" s="2" t="s">
        <v>199</v>
      </c>
      <c r="CE35" s="2"/>
      <c r="CF35" s="2"/>
      <c r="CG35" s="2"/>
      <c r="CH35" s="2"/>
      <c r="CI35" s="4">
        <f>1 + (1/2)</f>
        <v>1.5</v>
      </c>
      <c r="CJ35" s="2" t="s">
        <v>137</v>
      </c>
      <c r="CK35" s="2" t="s">
        <v>120</v>
      </c>
      <c r="CL35" s="2"/>
      <c r="CM35" s="2"/>
      <c r="CN35" s="2"/>
      <c r="CO35" s="2" t="s">
        <v>133</v>
      </c>
      <c r="CP35" s="2"/>
      <c r="CQ35" s="2"/>
      <c r="CR35" s="2"/>
      <c r="CS35" s="2"/>
      <c r="CT35" s="2"/>
      <c r="CU35" s="2"/>
      <c r="CV35" s="2"/>
      <c r="CW35" s="2"/>
      <c r="CX35" s="2" t="s">
        <v>138</v>
      </c>
      <c r="CY35" s="2" t="s">
        <v>106</v>
      </c>
    </row>
    <row r="36" ht="15.75" customHeight="1">
      <c r="A36" s="2" t="s">
        <v>129</v>
      </c>
      <c r="B36" s="2" t="s">
        <v>122</v>
      </c>
      <c r="C36" s="3" t="s">
        <v>104</v>
      </c>
      <c r="D36" s="3"/>
      <c r="E36" s="2" t="s">
        <v>103</v>
      </c>
      <c r="F36" s="2"/>
      <c r="G36" s="2"/>
      <c r="H36" s="2" t="s">
        <v>103</v>
      </c>
      <c r="I36" s="2" t="s">
        <v>121</v>
      </c>
      <c r="J36" s="2" t="s">
        <v>118</v>
      </c>
      <c r="K36" s="2"/>
      <c r="L36" s="2" t="s">
        <v>228</v>
      </c>
      <c r="M36" s="2" t="s">
        <v>138</v>
      </c>
      <c r="N36" s="2" t="s">
        <v>137</v>
      </c>
      <c r="O36" s="2"/>
      <c r="P36" s="2"/>
      <c r="Q36" s="2"/>
      <c r="R36" s="2"/>
      <c r="S36" s="2" t="s">
        <v>229</v>
      </c>
      <c r="T36" s="2"/>
      <c r="U36" s="2" t="s">
        <v>121</v>
      </c>
      <c r="V36" s="2"/>
      <c r="W36" s="2"/>
      <c r="X36" s="2"/>
      <c r="Y36" s="2" t="s">
        <v>103</v>
      </c>
      <c r="Z36" s="2"/>
      <c r="AA36" s="2"/>
      <c r="AB36" s="2" t="s">
        <v>122</v>
      </c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 t="s">
        <v>150</v>
      </c>
      <c r="AX36" s="2"/>
      <c r="AY36" s="2" t="s">
        <v>135</v>
      </c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 t="s">
        <v>143</v>
      </c>
      <c r="CE36" s="2"/>
      <c r="CF36" s="2"/>
      <c r="CG36" s="2"/>
      <c r="CH36" s="2"/>
      <c r="CI36" s="2"/>
      <c r="CJ36" s="2" t="s">
        <v>137</v>
      </c>
      <c r="CK36" s="2" t="s">
        <v>120</v>
      </c>
      <c r="CL36" s="2"/>
      <c r="CM36" s="2"/>
      <c r="CN36" s="2"/>
      <c r="CO36" s="2" t="s">
        <v>133</v>
      </c>
      <c r="CP36" s="2"/>
      <c r="CQ36" s="2"/>
      <c r="CR36" s="2"/>
      <c r="CS36" s="2"/>
      <c r="CT36" s="2"/>
      <c r="CU36" s="2"/>
      <c r="CV36" s="2"/>
      <c r="CW36" s="2"/>
      <c r="CX36" s="2" t="s">
        <v>121</v>
      </c>
      <c r="CY36" s="2" t="s">
        <v>112</v>
      </c>
    </row>
    <row r="37" ht="15.75" customHeight="1">
      <c r="A37" s="2" t="s">
        <v>130</v>
      </c>
      <c r="B37" s="2" t="s">
        <v>122</v>
      </c>
      <c r="C37" s="3" t="s">
        <v>104</v>
      </c>
      <c r="D37" s="3"/>
      <c r="E37" s="2" t="s">
        <v>103</v>
      </c>
      <c r="F37" s="2"/>
      <c r="G37" s="2"/>
      <c r="H37" s="2" t="s">
        <v>115</v>
      </c>
      <c r="I37" s="2" t="s">
        <v>149</v>
      </c>
      <c r="J37" s="2"/>
      <c r="K37" s="2"/>
      <c r="L37" s="2" t="s">
        <v>191</v>
      </c>
      <c r="M37" s="2" t="s">
        <v>197</v>
      </c>
      <c r="N37" s="2" t="s">
        <v>230</v>
      </c>
      <c r="O37" s="2"/>
      <c r="P37" s="2"/>
      <c r="Q37" s="2" t="s">
        <v>149</v>
      </c>
      <c r="R37" s="2" t="s">
        <v>116</v>
      </c>
      <c r="S37" s="2" t="s">
        <v>231</v>
      </c>
      <c r="T37" s="2" t="s">
        <v>118</v>
      </c>
      <c r="U37" s="2" t="s">
        <v>115</v>
      </c>
      <c r="V37" s="2" t="s">
        <v>106</v>
      </c>
      <c r="W37" s="2"/>
      <c r="X37" s="2"/>
      <c r="Y37" s="2" t="s">
        <v>113</v>
      </c>
      <c r="Z37" s="2"/>
      <c r="AA37" s="2"/>
      <c r="AB37" s="2" t="s">
        <v>122</v>
      </c>
      <c r="AC37" s="2" t="s">
        <v>103</v>
      </c>
      <c r="AD37" s="2"/>
      <c r="AE37" s="2" t="s">
        <v>111</v>
      </c>
      <c r="AF37" s="2" t="s">
        <v>116</v>
      </c>
      <c r="AG37" s="2"/>
      <c r="AH37" s="2" t="s">
        <v>103</v>
      </c>
      <c r="AI37" s="2"/>
      <c r="AJ37" s="2" t="s">
        <v>120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 t="s">
        <v>116</v>
      </c>
      <c r="AW37" s="2" t="s">
        <v>150</v>
      </c>
      <c r="AX37" s="2"/>
      <c r="AY37" s="2"/>
      <c r="AZ37" s="2"/>
      <c r="BA37" s="2"/>
      <c r="BB37" s="2"/>
      <c r="BC37" s="2"/>
      <c r="BD37" s="2" t="s">
        <v>103</v>
      </c>
      <c r="BE37" s="2" t="s">
        <v>109</v>
      </c>
      <c r="BF37" s="2"/>
      <c r="BG37" s="2"/>
      <c r="BH37" s="2" t="s">
        <v>116</v>
      </c>
      <c r="BI37" s="2" t="s">
        <v>106</v>
      </c>
      <c r="BJ37" s="2" t="s">
        <v>103</v>
      </c>
      <c r="BK37" s="2" t="s">
        <v>145</v>
      </c>
      <c r="BL37" s="2"/>
      <c r="BM37" s="2"/>
      <c r="BN37" s="2"/>
      <c r="BO37" s="2"/>
      <c r="BP37" s="2" t="s">
        <v>103</v>
      </c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>
        <f>3/4</f>
        <v>0.75</v>
      </c>
      <c r="CD37" s="2" t="s">
        <v>105</v>
      </c>
      <c r="CE37" s="2"/>
      <c r="CF37" s="2"/>
      <c r="CG37" s="2"/>
      <c r="CH37" s="2"/>
      <c r="CI37" s="2" t="s">
        <v>122</v>
      </c>
      <c r="CJ37" s="2" t="s">
        <v>206</v>
      </c>
      <c r="CK37" s="2" t="s">
        <v>114</v>
      </c>
      <c r="CL37" s="2"/>
      <c r="CM37" s="2"/>
      <c r="CN37" s="2"/>
      <c r="CO37" s="2" t="s">
        <v>133</v>
      </c>
      <c r="CP37" s="2"/>
      <c r="CQ37" s="2"/>
      <c r="CR37" s="2"/>
      <c r="CS37" s="2"/>
      <c r="CT37" s="2"/>
      <c r="CU37" s="2"/>
      <c r="CV37" s="2"/>
      <c r="CW37" s="2"/>
      <c r="CX37" s="2"/>
      <c r="CY37" s="2"/>
    </row>
    <row r="38" ht="15.75" customHeight="1">
      <c r="A38" s="2" t="s">
        <v>121</v>
      </c>
      <c r="B38" s="2" t="s">
        <v>122</v>
      </c>
      <c r="C38" s="3" t="s">
        <v>104</v>
      </c>
      <c r="D38" s="3"/>
      <c r="E38" s="2" t="s">
        <v>103</v>
      </c>
      <c r="F38" s="2"/>
      <c r="G38" s="2"/>
      <c r="H38" s="2" t="s">
        <v>105</v>
      </c>
      <c r="I38" s="2" t="s">
        <v>232</v>
      </c>
      <c r="J38" s="2" t="s">
        <v>118</v>
      </c>
      <c r="K38" s="2"/>
      <c r="L38" s="2" t="s">
        <v>167</v>
      </c>
      <c r="M38" s="2"/>
      <c r="N38" s="2" t="s">
        <v>110</v>
      </c>
      <c r="O38" s="2" t="s">
        <v>138</v>
      </c>
      <c r="P38" s="2"/>
      <c r="Q38" s="2" t="s">
        <v>185</v>
      </c>
      <c r="R38" s="2"/>
      <c r="S38" s="2" t="s">
        <v>233</v>
      </c>
      <c r="T38" s="2" t="s">
        <v>166</v>
      </c>
      <c r="U38" s="2" t="s">
        <v>232</v>
      </c>
      <c r="V38" s="2" t="s">
        <v>143</v>
      </c>
      <c r="W38" s="2"/>
      <c r="X38" s="2"/>
      <c r="Y38" s="2"/>
      <c r="Z38" s="2"/>
      <c r="AA38" s="2"/>
      <c r="AB38" s="2" t="s">
        <v>116</v>
      </c>
      <c r="AC38" s="2"/>
      <c r="AD38" s="2" t="s">
        <v>122</v>
      </c>
      <c r="AE38" s="2"/>
      <c r="AF38" s="2" t="s">
        <v>122</v>
      </c>
      <c r="AG38" s="2"/>
      <c r="AH38" s="2"/>
      <c r="AI38" s="2"/>
      <c r="AJ38" s="2" t="s">
        <v>181</v>
      </c>
      <c r="AK38" s="2"/>
      <c r="AL38" s="2"/>
      <c r="AM38" s="2"/>
      <c r="AN38" s="2"/>
      <c r="AO38" s="2" t="s">
        <v>116</v>
      </c>
      <c r="AP38" s="2"/>
      <c r="AQ38" s="2"/>
      <c r="AR38" s="2"/>
      <c r="AS38" s="2"/>
      <c r="AT38" s="2"/>
      <c r="AU38" s="2"/>
      <c r="AV38" s="2"/>
      <c r="AW38" s="2" t="s">
        <v>133</v>
      </c>
      <c r="AX38" s="2"/>
      <c r="AY38" s="2" t="s">
        <v>120</v>
      </c>
      <c r="AZ38" s="2"/>
      <c r="BA38" s="2"/>
      <c r="BB38" s="2"/>
      <c r="BC38" s="2"/>
      <c r="BD38" s="2"/>
      <c r="BE38" s="2" t="s">
        <v>106</v>
      </c>
      <c r="BF38" s="4">
        <f>1 + (1/2)</f>
        <v>1.5</v>
      </c>
      <c r="BG38" s="2" t="s">
        <v>229</v>
      </c>
      <c r="BH38" s="2"/>
      <c r="BI38" s="2"/>
      <c r="BJ38" s="2"/>
      <c r="BK38" s="2"/>
      <c r="BL38" s="2"/>
      <c r="BM38" s="2"/>
      <c r="BN38" s="2"/>
      <c r="BO38" s="2"/>
      <c r="BP38" s="2" t="s">
        <v>103</v>
      </c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>
        <f>1/2</f>
        <v>0.5</v>
      </c>
      <c r="CD38" s="2" t="s">
        <v>109</v>
      </c>
      <c r="CE38" s="2"/>
      <c r="CF38" s="2"/>
      <c r="CG38" s="2"/>
      <c r="CH38" s="2"/>
      <c r="CI38" s="2"/>
      <c r="CJ38" s="2" t="s">
        <v>111</v>
      </c>
      <c r="CK38" s="2" t="s">
        <v>195</v>
      </c>
      <c r="CL38" s="2"/>
      <c r="CM38" s="2"/>
      <c r="CN38" s="2"/>
      <c r="CO38" s="2" t="s">
        <v>121</v>
      </c>
      <c r="CP38" s="2"/>
      <c r="CQ38" s="2"/>
      <c r="CR38" s="2"/>
      <c r="CS38" s="2"/>
      <c r="CT38" s="2"/>
      <c r="CU38" s="2"/>
      <c r="CV38" s="2"/>
      <c r="CW38" s="2"/>
      <c r="CX38" s="2" t="s">
        <v>130</v>
      </c>
      <c r="CY38" s="2" t="s">
        <v>118</v>
      </c>
    </row>
    <row r="39" ht="15.75" customHeight="1">
      <c r="A39" s="2" t="s">
        <v>111</v>
      </c>
      <c r="B39" s="2" t="s">
        <v>122</v>
      </c>
      <c r="C39" s="3" t="s">
        <v>104</v>
      </c>
      <c r="D39" s="3"/>
      <c r="E39" s="2" t="s">
        <v>103</v>
      </c>
      <c r="F39" s="2"/>
      <c r="G39" s="2"/>
      <c r="H39" s="2" t="s">
        <v>106</v>
      </c>
      <c r="I39" s="2" t="s">
        <v>109</v>
      </c>
      <c r="J39" s="2" t="s">
        <v>106</v>
      </c>
      <c r="K39" s="2"/>
      <c r="L39" s="2" t="s">
        <v>153</v>
      </c>
      <c r="M39" s="2" t="s">
        <v>131</v>
      </c>
      <c r="N39" s="2" t="s">
        <v>234</v>
      </c>
      <c r="O39" s="2" t="s">
        <v>137</v>
      </c>
      <c r="P39" s="2"/>
      <c r="Q39" s="2" t="s">
        <v>109</v>
      </c>
      <c r="R39" s="2" t="s">
        <v>143</v>
      </c>
      <c r="S39" s="2" t="s">
        <v>198</v>
      </c>
      <c r="T39" s="2" t="s">
        <v>143</v>
      </c>
      <c r="U39" s="2" t="s">
        <v>109</v>
      </c>
      <c r="V39" s="2" t="s">
        <v>112</v>
      </c>
      <c r="W39" s="2"/>
      <c r="X39" s="2"/>
      <c r="Y39" s="2" t="s">
        <v>103</v>
      </c>
      <c r="Z39" s="2"/>
      <c r="AA39" s="2"/>
      <c r="AB39" s="2" t="s">
        <v>129</v>
      </c>
      <c r="AC39" s="2" t="s">
        <v>116</v>
      </c>
      <c r="AD39" s="2" t="s">
        <v>129</v>
      </c>
      <c r="AE39" s="2" t="s">
        <v>113</v>
      </c>
      <c r="AF39" s="2" t="s">
        <v>113</v>
      </c>
      <c r="AG39" s="2"/>
      <c r="AH39" s="2" t="s">
        <v>103</v>
      </c>
      <c r="AI39" s="2"/>
      <c r="AJ39" s="2" t="s">
        <v>180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 t="s">
        <v>116</v>
      </c>
      <c r="AW39" s="2" t="s">
        <v>118</v>
      </c>
      <c r="AX39" s="2"/>
      <c r="AY39" s="2" t="s">
        <v>193</v>
      </c>
      <c r="AZ39" s="2"/>
      <c r="BA39" s="2"/>
      <c r="BB39" s="2"/>
      <c r="BC39" s="2"/>
      <c r="BD39" s="2" t="s">
        <v>116</v>
      </c>
      <c r="BE39" s="2" t="s">
        <v>138</v>
      </c>
      <c r="BF39" s="2"/>
      <c r="BG39" s="2"/>
      <c r="BH39" s="2"/>
      <c r="BI39" s="2"/>
      <c r="BJ39" s="2">
        <f>1/2</f>
        <v>0.5</v>
      </c>
      <c r="BK39" s="2" t="s">
        <v>149</v>
      </c>
      <c r="BL39" s="2"/>
      <c r="BM39" s="2"/>
      <c r="BN39" s="2"/>
      <c r="BO39" s="2"/>
      <c r="BP39" s="2" t="s">
        <v>103</v>
      </c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 t="s">
        <v>103</v>
      </c>
      <c r="CD39" s="2" t="s">
        <v>135</v>
      </c>
      <c r="CE39" s="2"/>
      <c r="CF39" s="2"/>
      <c r="CG39" s="2"/>
      <c r="CH39" s="2"/>
      <c r="CI39" s="2"/>
      <c r="CJ39" s="2" t="s">
        <v>105</v>
      </c>
      <c r="CK39" s="2" t="s">
        <v>136</v>
      </c>
      <c r="CL39" s="2"/>
      <c r="CM39" s="2"/>
      <c r="CN39" s="2"/>
      <c r="CO39" s="2" t="s">
        <v>123</v>
      </c>
      <c r="CP39" s="2"/>
      <c r="CQ39" s="2"/>
      <c r="CR39" s="2"/>
      <c r="CS39" s="2"/>
      <c r="CT39" s="2"/>
      <c r="CU39" s="2"/>
      <c r="CV39" s="2"/>
      <c r="CW39" s="2"/>
      <c r="CX39" s="2" t="s">
        <v>138</v>
      </c>
      <c r="CY39" s="2" t="s">
        <v>106</v>
      </c>
    </row>
    <row r="40" ht="15.75" customHeight="1">
      <c r="A40" s="2" t="s">
        <v>150</v>
      </c>
      <c r="B40" s="2" t="s">
        <v>122</v>
      </c>
      <c r="C40" s="3" t="s">
        <v>104</v>
      </c>
      <c r="D40" s="3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</row>
    <row r="41" ht="15.75" customHeight="1">
      <c r="A41" s="2" t="s">
        <v>138</v>
      </c>
      <c r="B41" s="2" t="s">
        <v>122</v>
      </c>
      <c r="C41" s="3" t="s">
        <v>104</v>
      </c>
      <c r="D41" s="3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</row>
    <row r="42" ht="15.75" customHeight="1">
      <c r="A42" s="2" t="s">
        <v>103</v>
      </c>
      <c r="B42" s="2" t="s">
        <v>129</v>
      </c>
      <c r="C42" s="3" t="s">
        <v>104</v>
      </c>
      <c r="D42" s="3"/>
      <c r="E42" s="2" t="s">
        <v>103</v>
      </c>
      <c r="F42" s="2"/>
      <c r="G42" s="2"/>
      <c r="H42" s="2" t="s">
        <v>133</v>
      </c>
      <c r="I42" s="2" t="s">
        <v>188</v>
      </c>
      <c r="J42" s="2" t="s">
        <v>131</v>
      </c>
      <c r="K42" s="2"/>
      <c r="L42" s="2" t="s">
        <v>167</v>
      </c>
      <c r="M42" s="2" t="s">
        <v>136</v>
      </c>
      <c r="N42" s="2" t="s">
        <v>183</v>
      </c>
      <c r="O42" s="2" t="s">
        <v>122</v>
      </c>
      <c r="P42" s="2"/>
      <c r="Q42" s="2" t="s">
        <v>155</v>
      </c>
      <c r="R42" s="2" t="s">
        <v>118</v>
      </c>
      <c r="S42" s="2" t="s">
        <v>235</v>
      </c>
      <c r="T42" s="2" t="s">
        <v>148</v>
      </c>
      <c r="U42" s="2" t="s">
        <v>213</v>
      </c>
      <c r="V42" s="2" t="s">
        <v>133</v>
      </c>
      <c r="W42" s="2"/>
      <c r="X42" s="2"/>
      <c r="Y42" s="2" t="s">
        <v>116</v>
      </c>
      <c r="Z42" s="2"/>
      <c r="AA42" s="2"/>
      <c r="AB42" s="2" t="s">
        <v>116</v>
      </c>
      <c r="AC42" s="2" t="s">
        <v>129</v>
      </c>
      <c r="AD42" s="2" t="s">
        <v>130</v>
      </c>
      <c r="AE42" s="2"/>
      <c r="AF42" s="2" t="s">
        <v>112</v>
      </c>
      <c r="AG42" s="2"/>
      <c r="AH42" s="2"/>
      <c r="AI42" s="2"/>
      <c r="AJ42" s="2" t="s">
        <v>180</v>
      </c>
      <c r="AK42" s="2"/>
      <c r="AL42" s="2" t="s">
        <v>148</v>
      </c>
      <c r="AM42" s="2"/>
      <c r="AN42" s="2" t="s">
        <v>148</v>
      </c>
      <c r="AO42" s="2"/>
      <c r="AP42" s="2"/>
      <c r="AQ42" s="2"/>
      <c r="AR42" s="2"/>
      <c r="AS42" s="2"/>
      <c r="AT42" s="2" t="s">
        <v>148</v>
      </c>
      <c r="AU42" s="2" t="s">
        <v>236</v>
      </c>
      <c r="AV42" s="2" t="s">
        <v>103</v>
      </c>
      <c r="AW42" s="2" t="s">
        <v>148</v>
      </c>
      <c r="AX42" s="2" t="s">
        <v>113</v>
      </c>
      <c r="AY42" s="2" t="s">
        <v>120</v>
      </c>
      <c r="AZ42" s="2"/>
      <c r="BA42" s="2"/>
      <c r="BB42" s="2" t="s">
        <v>113</v>
      </c>
      <c r="BC42" s="2" t="s">
        <v>106</v>
      </c>
      <c r="BD42" s="2" t="s">
        <v>113</v>
      </c>
      <c r="BE42" s="2" t="s">
        <v>197</v>
      </c>
      <c r="BF42" s="2" t="s">
        <v>116</v>
      </c>
      <c r="BG42" s="2" t="s">
        <v>184</v>
      </c>
      <c r="BH42" s="2" t="s">
        <v>113</v>
      </c>
      <c r="BI42" s="2" t="s">
        <v>137</v>
      </c>
      <c r="BJ42" s="2"/>
      <c r="BK42" s="2"/>
      <c r="BL42" s="2"/>
      <c r="BM42" s="2"/>
      <c r="BN42" s="2"/>
      <c r="BO42" s="2"/>
      <c r="BP42" s="2" t="s">
        <v>122</v>
      </c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 t="s">
        <v>103</v>
      </c>
      <c r="CD42" s="2" t="s">
        <v>135</v>
      </c>
      <c r="CE42" s="2"/>
      <c r="CF42" s="2"/>
      <c r="CG42" s="2"/>
      <c r="CH42" s="2"/>
      <c r="CI42" s="2"/>
      <c r="CJ42" s="2" t="s">
        <v>106</v>
      </c>
      <c r="CK42" s="2" t="s">
        <v>137</v>
      </c>
      <c r="CL42" s="2"/>
      <c r="CM42" s="2"/>
      <c r="CN42" s="2"/>
      <c r="CO42" s="2" t="s">
        <v>123</v>
      </c>
      <c r="CP42" s="2"/>
      <c r="CQ42" s="2"/>
      <c r="CR42" s="2"/>
      <c r="CS42" s="2"/>
      <c r="CT42" s="2"/>
      <c r="CU42" s="2"/>
      <c r="CV42" s="2"/>
      <c r="CW42" s="2"/>
      <c r="CX42" s="2" t="s">
        <v>123</v>
      </c>
      <c r="CY42" s="2" t="s">
        <v>105</v>
      </c>
    </row>
    <row r="43" ht="15.75" customHeight="1">
      <c r="A43" s="2" t="s">
        <v>116</v>
      </c>
      <c r="B43" s="2" t="s">
        <v>129</v>
      </c>
      <c r="C43" s="3" t="s">
        <v>104</v>
      </c>
      <c r="D43" s="3"/>
      <c r="E43" s="2" t="s">
        <v>103</v>
      </c>
      <c r="F43" s="2"/>
      <c r="G43" s="2"/>
      <c r="H43" s="2" t="s">
        <v>106</v>
      </c>
      <c r="I43" s="2" t="s">
        <v>237</v>
      </c>
      <c r="J43" s="2" t="s">
        <v>138</v>
      </c>
      <c r="K43" s="2"/>
      <c r="L43" s="2" t="s">
        <v>238</v>
      </c>
      <c r="M43" s="2" t="s">
        <v>184</v>
      </c>
      <c r="N43" s="2" t="s">
        <v>239</v>
      </c>
      <c r="O43" s="2" t="s">
        <v>133</v>
      </c>
      <c r="P43" s="2"/>
      <c r="Q43" s="2" t="s">
        <v>240</v>
      </c>
      <c r="R43" s="2" t="s">
        <v>241</v>
      </c>
      <c r="S43" s="2" t="s">
        <v>242</v>
      </c>
      <c r="T43" s="2" t="s">
        <v>143</v>
      </c>
      <c r="U43" s="5" t="s">
        <v>188</v>
      </c>
      <c r="V43" s="2" t="s">
        <v>143</v>
      </c>
      <c r="W43" s="2"/>
      <c r="X43" s="2"/>
      <c r="Y43" s="2" t="s">
        <v>116</v>
      </c>
      <c r="Z43" s="2"/>
      <c r="AA43" s="2"/>
      <c r="AB43" s="2" t="s">
        <v>130</v>
      </c>
      <c r="AC43" s="2" t="s">
        <v>103</v>
      </c>
      <c r="AD43" s="2" t="s">
        <v>130</v>
      </c>
      <c r="AE43" s="2" t="s">
        <v>103</v>
      </c>
      <c r="AF43" s="2" t="s">
        <v>129</v>
      </c>
      <c r="AG43" s="2"/>
      <c r="AH43" s="2"/>
      <c r="AI43" s="2"/>
      <c r="AJ43" s="2" t="s">
        <v>183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 t="s">
        <v>116</v>
      </c>
      <c r="AW43" s="2" t="s">
        <v>123</v>
      </c>
      <c r="AX43" s="2"/>
      <c r="AY43" s="2" t="s">
        <v>136</v>
      </c>
      <c r="AZ43" s="2"/>
      <c r="BA43" s="2"/>
      <c r="BB43" s="2"/>
      <c r="BC43" s="2"/>
      <c r="BD43" s="2" t="s">
        <v>103</v>
      </c>
      <c r="BE43" s="2" t="s">
        <v>142</v>
      </c>
      <c r="BF43" s="4">
        <f>1 + (1/2)</f>
        <v>1.5</v>
      </c>
      <c r="BG43" s="2" t="s">
        <v>142</v>
      </c>
      <c r="BH43" s="2"/>
      <c r="BI43" s="2"/>
      <c r="BJ43" s="2"/>
      <c r="BK43" s="2"/>
      <c r="BL43" s="2"/>
      <c r="BM43" s="2"/>
      <c r="BN43" s="2"/>
      <c r="BO43" s="2"/>
      <c r="BP43" s="2" t="s">
        <v>116</v>
      </c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4">
        <f>1 + (1/2)</f>
        <v>1.5</v>
      </c>
      <c r="CD43" s="2" t="s">
        <v>187</v>
      </c>
      <c r="CE43" s="2"/>
      <c r="CF43" s="2"/>
      <c r="CG43" s="2"/>
      <c r="CH43" s="2"/>
      <c r="CI43" s="2" t="s">
        <v>116</v>
      </c>
      <c r="CJ43" s="2" t="s">
        <v>123</v>
      </c>
      <c r="CK43" s="2" t="s">
        <v>182</v>
      </c>
      <c r="CL43" s="2"/>
      <c r="CM43" s="2"/>
      <c r="CN43" s="2"/>
      <c r="CO43" s="2" t="s">
        <v>138</v>
      </c>
      <c r="CP43" s="2"/>
      <c r="CQ43" s="2"/>
      <c r="CR43" s="2"/>
      <c r="CS43" s="2"/>
      <c r="CT43" s="2"/>
      <c r="CU43" s="2"/>
      <c r="CV43" s="2"/>
      <c r="CW43" s="2"/>
      <c r="CX43" s="2" t="s">
        <v>145</v>
      </c>
      <c r="CY43" s="2" t="s">
        <v>232</v>
      </c>
    </row>
    <row r="44" ht="15.75" customHeight="1">
      <c r="A44" s="2" t="s">
        <v>113</v>
      </c>
      <c r="B44" s="2" t="s">
        <v>129</v>
      </c>
      <c r="C44" s="3" t="s">
        <v>104</v>
      </c>
      <c r="D44" s="3"/>
      <c r="E44" s="2" t="s">
        <v>103</v>
      </c>
      <c r="F44" s="2"/>
      <c r="G44" s="2"/>
      <c r="H44" s="2" t="s">
        <v>106</v>
      </c>
      <c r="I44" s="2" t="s">
        <v>243</v>
      </c>
      <c r="J44" s="2" t="s">
        <v>109</v>
      </c>
      <c r="K44" s="2"/>
      <c r="L44" s="2" t="s">
        <v>238</v>
      </c>
      <c r="M44" s="2" t="s">
        <v>197</v>
      </c>
      <c r="N44" s="2" t="s">
        <v>126</v>
      </c>
      <c r="O44" s="2"/>
      <c r="P44" s="2"/>
      <c r="Q44" s="2" t="s">
        <v>244</v>
      </c>
      <c r="R44" s="2" t="s">
        <v>122</v>
      </c>
      <c r="S44" s="2" t="s">
        <v>245</v>
      </c>
      <c r="T44" s="2" t="s">
        <v>171</v>
      </c>
      <c r="U44" s="2" t="s">
        <v>246</v>
      </c>
      <c r="V44" s="2" t="s">
        <v>133</v>
      </c>
      <c r="W44" s="2"/>
      <c r="X44" s="2"/>
      <c r="Y44" s="2" t="s">
        <v>113</v>
      </c>
      <c r="Z44" s="2"/>
      <c r="AA44" s="2"/>
      <c r="AB44" s="2" t="s">
        <v>129</v>
      </c>
      <c r="AC44" s="2" t="s">
        <v>121</v>
      </c>
      <c r="AD44" s="2" t="s">
        <v>122</v>
      </c>
      <c r="AE44" s="2"/>
      <c r="AF44" s="2" t="s">
        <v>116</v>
      </c>
      <c r="AG44" s="2"/>
      <c r="AH44" s="2"/>
      <c r="AI44" s="2"/>
      <c r="AJ44" s="2" t="s">
        <v>180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 t="s">
        <v>113</v>
      </c>
      <c r="AW44" s="2" t="s">
        <v>112</v>
      </c>
      <c r="AX44" s="2" t="s">
        <v>118</v>
      </c>
      <c r="AY44" s="2" t="s">
        <v>136</v>
      </c>
      <c r="AZ44" s="2"/>
      <c r="BA44" s="2"/>
      <c r="BB44" s="2"/>
      <c r="BC44" s="2"/>
      <c r="BD44" s="2" t="s">
        <v>116</v>
      </c>
      <c r="BE44" s="2" t="s">
        <v>137</v>
      </c>
      <c r="BF44" s="2" t="s">
        <v>116</v>
      </c>
      <c r="BG44" s="2" t="s">
        <v>184</v>
      </c>
      <c r="BH44" s="2" t="s">
        <v>122</v>
      </c>
      <c r="BI44" s="2" t="s">
        <v>131</v>
      </c>
      <c r="BJ44" s="2"/>
      <c r="BK44" s="2"/>
      <c r="BL44" s="2"/>
      <c r="BM44" s="2"/>
      <c r="BN44" s="2"/>
      <c r="BO44" s="2"/>
      <c r="BP44" s="2" t="s">
        <v>129</v>
      </c>
      <c r="BQ44" s="2"/>
      <c r="BR44" s="2"/>
      <c r="BS44" s="2"/>
      <c r="BT44" s="2"/>
      <c r="BU44" s="2"/>
      <c r="BV44" s="2"/>
      <c r="BW44" s="2" t="s">
        <v>141</v>
      </c>
      <c r="BX44" s="2"/>
      <c r="BY44" s="2"/>
      <c r="BZ44" s="2"/>
      <c r="CA44" s="2"/>
      <c r="CB44" s="2"/>
      <c r="CC44" s="2" t="s">
        <v>116</v>
      </c>
      <c r="CD44" s="2" t="s">
        <v>120</v>
      </c>
      <c r="CE44" s="2"/>
      <c r="CF44" s="2"/>
      <c r="CG44" s="2"/>
      <c r="CH44" s="2"/>
      <c r="CI44" s="2"/>
      <c r="CJ44" s="2" t="s">
        <v>105</v>
      </c>
      <c r="CK44" s="2" t="s">
        <v>136</v>
      </c>
      <c r="CL44" s="2"/>
      <c r="CM44" s="2"/>
      <c r="CN44" s="2"/>
      <c r="CO44" s="2" t="s">
        <v>133</v>
      </c>
      <c r="CP44" s="2"/>
      <c r="CQ44" s="2"/>
      <c r="CR44" s="2"/>
      <c r="CS44" s="2"/>
      <c r="CT44" s="2"/>
      <c r="CU44" s="2"/>
      <c r="CV44" s="2"/>
      <c r="CW44" s="2"/>
      <c r="CX44" s="2" t="s">
        <v>118</v>
      </c>
      <c r="CY44" s="2" t="s">
        <v>151</v>
      </c>
    </row>
    <row r="45" ht="15.75" customHeight="1">
      <c r="A45" s="2" t="s">
        <v>122</v>
      </c>
      <c r="B45" s="2" t="s">
        <v>129</v>
      </c>
      <c r="C45" s="3" t="s">
        <v>104</v>
      </c>
      <c r="D45" s="3"/>
      <c r="E45" s="2"/>
      <c r="F45" s="2" t="s">
        <v>103</v>
      </c>
      <c r="G45" s="2"/>
      <c r="H45" s="2" t="s">
        <v>109</v>
      </c>
      <c r="I45" s="2" t="s">
        <v>213</v>
      </c>
      <c r="J45" s="2" t="s">
        <v>121</v>
      </c>
      <c r="K45" s="2"/>
      <c r="L45" s="2" t="s">
        <v>214</v>
      </c>
      <c r="M45" s="2" t="s">
        <v>184</v>
      </c>
      <c r="N45" s="2" t="s">
        <v>132</v>
      </c>
      <c r="O45" s="2" t="s">
        <v>129</v>
      </c>
      <c r="P45" s="2"/>
      <c r="Q45" s="2" t="s">
        <v>135</v>
      </c>
      <c r="R45" s="2" t="s">
        <v>112</v>
      </c>
      <c r="S45" s="2" t="s">
        <v>247</v>
      </c>
      <c r="T45" s="2" t="s">
        <v>133</v>
      </c>
      <c r="U45" s="2" t="s">
        <v>213</v>
      </c>
      <c r="V45" s="2" t="s">
        <v>105</v>
      </c>
      <c r="W45" s="2"/>
      <c r="X45" s="2"/>
      <c r="Y45" s="2" t="s">
        <v>113</v>
      </c>
      <c r="Z45" s="2"/>
      <c r="AA45" s="2"/>
      <c r="AB45" s="2" t="s">
        <v>130</v>
      </c>
      <c r="AC45" s="2"/>
      <c r="AD45" s="2" t="s">
        <v>129</v>
      </c>
      <c r="AE45" s="2"/>
      <c r="AF45" s="2" t="s">
        <v>122</v>
      </c>
      <c r="AG45" s="2"/>
      <c r="AH45" s="2"/>
      <c r="AI45" s="2"/>
      <c r="AJ45" s="2" t="s">
        <v>180</v>
      </c>
      <c r="AK45" s="2"/>
      <c r="AL45" s="2" t="s">
        <v>137</v>
      </c>
      <c r="AM45" s="2" t="s">
        <v>217</v>
      </c>
      <c r="AN45" s="2"/>
      <c r="AO45" s="2"/>
      <c r="AP45" s="2" t="s">
        <v>103</v>
      </c>
      <c r="AQ45" s="2"/>
      <c r="AR45" s="2" t="s">
        <v>122</v>
      </c>
      <c r="AS45" s="2"/>
      <c r="AT45" s="2" t="s">
        <v>137</v>
      </c>
      <c r="AU45" s="2" t="s">
        <v>248</v>
      </c>
      <c r="AV45" s="2" t="s">
        <v>122</v>
      </c>
      <c r="AW45" s="2" t="s">
        <v>115</v>
      </c>
      <c r="AX45" s="2"/>
      <c r="AY45" s="2" t="s">
        <v>136</v>
      </c>
      <c r="AZ45" s="2"/>
      <c r="BA45" s="2"/>
      <c r="BB45" s="2"/>
      <c r="BC45" s="2"/>
      <c r="BD45" s="4">
        <f>1 + (1/2)</f>
        <v>1.5</v>
      </c>
      <c r="BE45" s="2" t="s">
        <v>137</v>
      </c>
      <c r="BF45" s="2" t="s">
        <v>129</v>
      </c>
      <c r="BG45" s="2" t="s">
        <v>120</v>
      </c>
      <c r="BH45" s="2" t="s">
        <v>113</v>
      </c>
      <c r="BI45" s="2" t="s">
        <v>106</v>
      </c>
      <c r="BJ45" s="2"/>
      <c r="BK45" s="2"/>
      <c r="BL45" s="2"/>
      <c r="BM45" s="2"/>
      <c r="BN45" s="2"/>
      <c r="BO45" s="2"/>
      <c r="BP45" s="2" t="s">
        <v>129</v>
      </c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 t="s">
        <v>116</v>
      </c>
      <c r="CD45" s="2" t="s">
        <v>125</v>
      </c>
      <c r="CE45" s="2"/>
      <c r="CF45" s="2"/>
      <c r="CG45" s="2"/>
      <c r="CH45" s="2"/>
      <c r="CI45" s="2" t="s">
        <v>116</v>
      </c>
      <c r="CJ45" s="2" t="s">
        <v>131</v>
      </c>
      <c r="CK45" s="2" t="s">
        <v>120</v>
      </c>
      <c r="CL45" s="2"/>
      <c r="CM45" s="2"/>
      <c r="CN45" s="2"/>
      <c r="CO45" s="2" t="s">
        <v>105</v>
      </c>
      <c r="CP45" s="2"/>
      <c r="CQ45" s="2"/>
      <c r="CR45" s="2"/>
      <c r="CS45" s="2"/>
      <c r="CT45" s="2"/>
      <c r="CU45" s="2"/>
      <c r="CV45" s="2"/>
      <c r="CW45" s="2"/>
      <c r="CX45" s="2" t="s">
        <v>130</v>
      </c>
      <c r="CY45" s="2" t="s">
        <v>118</v>
      </c>
    </row>
    <row r="46" ht="15.75" customHeight="1">
      <c r="A46" s="2" t="s">
        <v>129</v>
      </c>
      <c r="B46" s="2" t="s">
        <v>129</v>
      </c>
      <c r="C46" s="3" t="s">
        <v>104</v>
      </c>
      <c r="D46" s="3"/>
      <c r="E46" s="2" t="s">
        <v>103</v>
      </c>
      <c r="F46" s="2"/>
      <c r="G46" s="2"/>
      <c r="H46" s="2" t="s">
        <v>249</v>
      </c>
      <c r="I46" s="2" t="s">
        <v>142</v>
      </c>
      <c r="J46" s="2" t="s">
        <v>250</v>
      </c>
      <c r="K46" s="2"/>
      <c r="L46" s="2" t="s">
        <v>251</v>
      </c>
      <c r="M46" s="2" t="s">
        <v>181</v>
      </c>
      <c r="N46" s="2" t="s">
        <v>183</v>
      </c>
      <c r="O46" s="2" t="s">
        <v>133</v>
      </c>
      <c r="P46" s="2"/>
      <c r="Q46" s="2" t="s">
        <v>252</v>
      </c>
      <c r="R46" s="2" t="s">
        <v>253</v>
      </c>
      <c r="S46" s="2" t="s">
        <v>254</v>
      </c>
      <c r="T46" s="2" t="s">
        <v>155</v>
      </c>
      <c r="U46" s="2" t="s">
        <v>110</v>
      </c>
      <c r="V46" s="2" t="s">
        <v>155</v>
      </c>
      <c r="W46" s="2"/>
      <c r="X46" s="2"/>
      <c r="Y46" s="2" t="s">
        <v>129</v>
      </c>
      <c r="Z46" s="2"/>
      <c r="AA46" s="2"/>
      <c r="AB46" s="2" t="s">
        <v>138</v>
      </c>
      <c r="AC46" s="2" t="s">
        <v>145</v>
      </c>
      <c r="AD46" s="2" t="s">
        <v>138</v>
      </c>
      <c r="AE46" s="2"/>
      <c r="AF46" s="2" t="s">
        <v>116</v>
      </c>
      <c r="AG46" s="2" t="s">
        <v>122</v>
      </c>
      <c r="AH46" s="2" t="s">
        <v>116</v>
      </c>
      <c r="AI46" s="2"/>
      <c r="AJ46" s="2" t="s">
        <v>255</v>
      </c>
      <c r="AK46" s="2" t="s">
        <v>136</v>
      </c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 t="s">
        <v>113</v>
      </c>
      <c r="AW46" s="2" t="s">
        <v>105</v>
      </c>
      <c r="AX46" s="2" t="s">
        <v>130</v>
      </c>
      <c r="AY46" s="2" t="s">
        <v>120</v>
      </c>
      <c r="AZ46" s="2"/>
      <c r="BA46" s="2"/>
      <c r="BB46" s="2"/>
      <c r="BC46" s="2"/>
      <c r="BD46" s="2" t="s">
        <v>113</v>
      </c>
      <c r="BE46" s="2" t="s">
        <v>206</v>
      </c>
      <c r="BF46" s="2" t="s">
        <v>130</v>
      </c>
      <c r="BG46" s="2" t="s">
        <v>256</v>
      </c>
      <c r="BH46" s="2"/>
      <c r="BI46" s="2"/>
      <c r="BJ46" s="2"/>
      <c r="BK46" s="2"/>
      <c r="BL46" s="2"/>
      <c r="BM46" s="2"/>
      <c r="BN46" s="2"/>
      <c r="BO46" s="2"/>
      <c r="BP46" s="2" t="s">
        <v>122</v>
      </c>
      <c r="BQ46" s="2"/>
      <c r="BR46" s="2"/>
      <c r="BS46" s="2"/>
      <c r="BT46" s="2"/>
      <c r="BU46" s="2"/>
      <c r="BV46" s="2"/>
      <c r="BW46" s="2" t="s">
        <v>181</v>
      </c>
      <c r="BX46" s="2" t="s">
        <v>129</v>
      </c>
      <c r="BY46" s="2"/>
      <c r="BZ46" s="2"/>
      <c r="CA46" s="2"/>
      <c r="CB46" s="2"/>
      <c r="CC46" s="4">
        <f>1 + (1/2)</f>
        <v>1.5</v>
      </c>
      <c r="CD46" s="2" t="s">
        <v>136</v>
      </c>
      <c r="CE46" s="2"/>
      <c r="CF46" s="2"/>
      <c r="CG46" s="2"/>
      <c r="CH46" s="2"/>
      <c r="CI46" s="2" t="s">
        <v>116</v>
      </c>
      <c r="CJ46" s="2" t="s">
        <v>131</v>
      </c>
      <c r="CK46" s="2" t="s">
        <v>181</v>
      </c>
      <c r="CL46" s="2"/>
      <c r="CM46" s="2"/>
      <c r="CN46" s="2"/>
      <c r="CO46" s="2" t="s">
        <v>142</v>
      </c>
      <c r="CP46" s="2"/>
      <c r="CQ46" s="2"/>
      <c r="CR46" s="2"/>
      <c r="CS46" s="2"/>
      <c r="CT46" s="2"/>
      <c r="CU46" s="2"/>
      <c r="CV46" s="2" t="s">
        <v>135</v>
      </c>
      <c r="CW46" s="2"/>
      <c r="CX46" s="2" t="s">
        <v>149</v>
      </c>
      <c r="CY46" s="2" t="s">
        <v>174</v>
      </c>
    </row>
    <row r="47" ht="15.75" customHeight="1">
      <c r="A47" s="2" t="s">
        <v>130</v>
      </c>
      <c r="B47" s="2" t="s">
        <v>129</v>
      </c>
      <c r="C47" s="3" t="s">
        <v>104</v>
      </c>
      <c r="D47" s="3"/>
      <c r="E47" s="2" t="s">
        <v>103</v>
      </c>
      <c r="F47" s="2"/>
      <c r="G47" s="2"/>
      <c r="H47" s="2" t="s">
        <v>105</v>
      </c>
      <c r="I47" s="2" t="s">
        <v>182</v>
      </c>
      <c r="J47" s="2" t="s">
        <v>105</v>
      </c>
      <c r="K47" s="2"/>
      <c r="L47" s="2" t="s">
        <v>257</v>
      </c>
      <c r="M47" s="2" t="s">
        <v>135</v>
      </c>
      <c r="N47" s="2" t="s">
        <v>258</v>
      </c>
      <c r="O47" s="2" t="s">
        <v>138</v>
      </c>
      <c r="P47" s="2" t="s">
        <v>116</v>
      </c>
      <c r="Q47" s="2" t="s">
        <v>206</v>
      </c>
      <c r="R47" s="2" t="s">
        <v>106</v>
      </c>
      <c r="S47" s="2" t="s">
        <v>259</v>
      </c>
      <c r="T47" s="2" t="s">
        <v>157</v>
      </c>
      <c r="U47" s="2" t="s">
        <v>182</v>
      </c>
      <c r="V47" s="2" t="s">
        <v>105</v>
      </c>
      <c r="W47" s="2"/>
      <c r="X47" s="2"/>
      <c r="Y47" s="2" t="s">
        <v>116</v>
      </c>
      <c r="Z47" s="2"/>
      <c r="AA47" s="2"/>
      <c r="AB47" s="2" t="s">
        <v>111</v>
      </c>
      <c r="AC47" s="2" t="s">
        <v>113</v>
      </c>
      <c r="AD47" s="2" t="s">
        <v>150</v>
      </c>
      <c r="AE47" s="2"/>
      <c r="AF47" s="2" t="s">
        <v>130</v>
      </c>
      <c r="AG47" s="2" t="s">
        <v>103</v>
      </c>
      <c r="AH47" s="2"/>
      <c r="AI47" s="2"/>
      <c r="AJ47" s="2" t="s">
        <v>108</v>
      </c>
      <c r="AK47" s="2" t="s">
        <v>128</v>
      </c>
      <c r="AL47" s="2" t="s">
        <v>144</v>
      </c>
      <c r="AM47" s="2"/>
      <c r="AN47" s="2" t="s">
        <v>145</v>
      </c>
      <c r="AO47" s="2"/>
      <c r="AP47" s="2"/>
      <c r="AQ47" s="2"/>
      <c r="AR47" s="2" t="s">
        <v>116</v>
      </c>
      <c r="AS47" s="2"/>
      <c r="AT47" s="2" t="s">
        <v>144</v>
      </c>
      <c r="AU47" s="2" t="s">
        <v>182</v>
      </c>
      <c r="AV47" s="2" t="s">
        <v>116</v>
      </c>
      <c r="AW47" s="2" t="s">
        <v>151</v>
      </c>
      <c r="AX47" s="2"/>
      <c r="AY47" s="2" t="s">
        <v>120</v>
      </c>
      <c r="AZ47" s="2"/>
      <c r="BA47" s="2"/>
      <c r="BB47" s="2"/>
      <c r="BC47" s="2"/>
      <c r="BD47" s="2" t="s">
        <v>116</v>
      </c>
      <c r="BE47" s="2" t="s">
        <v>135</v>
      </c>
      <c r="BF47" s="2"/>
      <c r="BG47" s="2"/>
      <c r="BH47" s="2"/>
      <c r="BI47" s="2"/>
      <c r="BJ47" s="2" t="s">
        <v>103</v>
      </c>
      <c r="BK47" s="2" t="s">
        <v>112</v>
      </c>
      <c r="BL47" s="2"/>
      <c r="BM47" s="2"/>
      <c r="BN47" s="2"/>
      <c r="BO47" s="2"/>
      <c r="BP47" s="2">
        <f>3/4</f>
        <v>0.75</v>
      </c>
      <c r="BQ47" s="2"/>
      <c r="BR47" s="2"/>
      <c r="BS47" s="2"/>
      <c r="BT47" s="2"/>
      <c r="BU47" s="2"/>
      <c r="BV47" s="2"/>
      <c r="BW47" s="2" t="s">
        <v>181</v>
      </c>
      <c r="BX47" s="2"/>
      <c r="BY47" s="2"/>
      <c r="BZ47" s="2"/>
      <c r="CA47" s="2"/>
      <c r="CB47" s="2"/>
      <c r="CC47" s="2">
        <f>1/2</f>
        <v>0.5</v>
      </c>
      <c r="CD47" s="2" t="s">
        <v>137</v>
      </c>
      <c r="CE47" s="2"/>
      <c r="CF47" s="2"/>
      <c r="CG47" s="2"/>
      <c r="CH47" s="2"/>
      <c r="CI47" s="2" t="s">
        <v>116</v>
      </c>
      <c r="CJ47" s="2" t="s">
        <v>131</v>
      </c>
      <c r="CK47" s="2" t="s">
        <v>114</v>
      </c>
      <c r="CL47" s="2"/>
      <c r="CM47" s="2"/>
      <c r="CN47" s="2"/>
      <c r="CO47" s="2" t="s">
        <v>133</v>
      </c>
      <c r="CP47" s="2"/>
      <c r="CQ47" s="2"/>
      <c r="CR47" s="2"/>
      <c r="CS47" s="2"/>
      <c r="CT47" s="2"/>
      <c r="CU47" s="2"/>
      <c r="CV47" s="2" t="s">
        <v>131</v>
      </c>
      <c r="CW47" s="2"/>
      <c r="CX47" s="2" t="s">
        <v>121</v>
      </c>
      <c r="CY47" s="2" t="s">
        <v>112</v>
      </c>
    </row>
    <row r="48" ht="15.75" customHeight="1">
      <c r="A48" s="2" t="s">
        <v>121</v>
      </c>
      <c r="B48" s="2" t="s">
        <v>129</v>
      </c>
      <c r="C48" s="3" t="s">
        <v>104</v>
      </c>
      <c r="D48" s="3"/>
      <c r="E48" s="2" t="s">
        <v>103</v>
      </c>
      <c r="F48" s="2"/>
      <c r="G48" s="2"/>
      <c r="H48" s="2" t="s">
        <v>149</v>
      </c>
      <c r="I48" s="2" t="s">
        <v>115</v>
      </c>
      <c r="J48" s="2" t="s">
        <v>106</v>
      </c>
      <c r="K48" s="2"/>
      <c r="L48" s="2" t="s">
        <v>167</v>
      </c>
      <c r="M48" s="2" t="s">
        <v>137</v>
      </c>
      <c r="N48" s="2" t="s">
        <v>181</v>
      </c>
      <c r="O48" s="2" t="s">
        <v>113</v>
      </c>
      <c r="P48" s="2"/>
      <c r="Q48" s="2" t="s">
        <v>109</v>
      </c>
      <c r="R48" s="2" t="s">
        <v>129</v>
      </c>
      <c r="S48" s="2" t="s">
        <v>260</v>
      </c>
      <c r="T48" s="2" t="s">
        <v>149</v>
      </c>
      <c r="U48" s="2" t="s">
        <v>115</v>
      </c>
      <c r="V48" s="2" t="s">
        <v>261</v>
      </c>
      <c r="W48" s="2"/>
      <c r="X48" s="2"/>
      <c r="Y48" s="2" t="s">
        <v>116</v>
      </c>
      <c r="Z48" s="2"/>
      <c r="AA48" s="2"/>
      <c r="AB48" s="2" t="s">
        <v>113</v>
      </c>
      <c r="AC48" s="2"/>
      <c r="AD48" s="2" t="s">
        <v>129</v>
      </c>
      <c r="AE48" s="2"/>
      <c r="AF48" s="2" t="s">
        <v>116</v>
      </c>
      <c r="AG48" s="2" t="s">
        <v>113</v>
      </c>
      <c r="AH48" s="2"/>
      <c r="AI48" s="2"/>
      <c r="AJ48" s="2" t="s">
        <v>180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 t="s">
        <v>103</v>
      </c>
      <c r="AW48" s="2" t="s">
        <v>144</v>
      </c>
      <c r="AX48" s="2"/>
      <c r="AY48" s="2" t="s">
        <v>136</v>
      </c>
      <c r="AZ48" s="2"/>
      <c r="BA48" s="2"/>
      <c r="BB48" s="2"/>
      <c r="BC48" s="2"/>
      <c r="BD48" s="2" t="s">
        <v>103</v>
      </c>
      <c r="BE48" s="2" t="s">
        <v>123</v>
      </c>
      <c r="BF48" s="2" t="s">
        <v>103</v>
      </c>
      <c r="BG48" s="2" t="s">
        <v>131</v>
      </c>
      <c r="BH48" s="2"/>
      <c r="BI48" s="2"/>
      <c r="BJ48" s="2"/>
      <c r="BK48" s="2"/>
      <c r="BL48" s="2"/>
      <c r="BM48" s="2"/>
      <c r="BN48" s="2"/>
      <c r="BO48" s="2"/>
      <c r="BP48" s="2" t="s">
        <v>103</v>
      </c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 t="s">
        <v>103</v>
      </c>
      <c r="CD48" s="2" t="s">
        <v>109</v>
      </c>
      <c r="CE48" s="2"/>
      <c r="CF48" s="2"/>
      <c r="CG48" s="2"/>
      <c r="CH48" s="2"/>
      <c r="CI48" s="2"/>
      <c r="CJ48" s="2" t="s">
        <v>106</v>
      </c>
      <c r="CK48" s="2" t="s">
        <v>131</v>
      </c>
      <c r="CL48" s="2"/>
      <c r="CM48" s="2"/>
      <c r="CN48" s="2"/>
      <c r="CO48" s="2" t="s">
        <v>123</v>
      </c>
      <c r="CP48" s="2"/>
      <c r="CQ48" s="2"/>
      <c r="CR48" s="2"/>
      <c r="CS48" s="2"/>
      <c r="CT48" s="2"/>
      <c r="CU48" s="2"/>
      <c r="CV48" s="2"/>
      <c r="CW48" s="2"/>
      <c r="CX48" s="2" t="s">
        <v>138</v>
      </c>
      <c r="CY48" s="2" t="s">
        <v>106</v>
      </c>
    </row>
    <row r="49" ht="15.75" customHeight="1">
      <c r="A49" s="2" t="s">
        <v>111</v>
      </c>
      <c r="B49" s="2" t="s">
        <v>129</v>
      </c>
      <c r="C49" s="3" t="s">
        <v>104</v>
      </c>
      <c r="D49" s="3"/>
      <c r="E49" s="2" t="s">
        <v>103</v>
      </c>
      <c r="F49" s="2"/>
      <c r="G49" s="2"/>
      <c r="H49" s="2" t="s">
        <v>106</v>
      </c>
      <c r="I49" s="2" t="s">
        <v>107</v>
      </c>
      <c r="J49" s="2" t="s">
        <v>129</v>
      </c>
      <c r="K49" s="2"/>
      <c r="L49" s="2" t="s">
        <v>153</v>
      </c>
      <c r="M49" s="2" t="s">
        <v>105</v>
      </c>
      <c r="N49" s="2" t="s">
        <v>262</v>
      </c>
      <c r="O49" s="2" t="s">
        <v>123</v>
      </c>
      <c r="P49" s="2"/>
      <c r="Q49" s="2" t="s">
        <v>121</v>
      </c>
      <c r="R49" s="2"/>
      <c r="S49" s="2" t="s">
        <v>263</v>
      </c>
      <c r="T49" s="2" t="s">
        <v>144</v>
      </c>
      <c r="U49" s="2" t="s">
        <v>107</v>
      </c>
      <c r="V49" s="2" t="s">
        <v>138</v>
      </c>
      <c r="W49" s="2"/>
      <c r="X49" s="2"/>
      <c r="Y49" s="2" t="s">
        <v>103</v>
      </c>
      <c r="Z49" s="2"/>
      <c r="AA49" s="2"/>
      <c r="AB49" s="2" t="s">
        <v>113</v>
      </c>
      <c r="AC49" s="2" t="s">
        <v>113</v>
      </c>
      <c r="AD49" s="2" t="s">
        <v>113</v>
      </c>
      <c r="AE49" s="2"/>
      <c r="AF49" s="2"/>
      <c r="AG49" s="2"/>
      <c r="AH49" s="2"/>
      <c r="AI49" s="2"/>
      <c r="AJ49" s="2" t="s">
        <v>181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 t="s">
        <v>116</v>
      </c>
      <c r="AW49" s="2" t="s">
        <v>123</v>
      </c>
      <c r="AX49" s="2" t="s">
        <v>113</v>
      </c>
      <c r="AY49" s="2" t="s">
        <v>136</v>
      </c>
      <c r="AZ49" s="2"/>
      <c r="BA49" s="2"/>
      <c r="BB49" s="2"/>
      <c r="BC49" s="2"/>
      <c r="BD49" s="4">
        <f>1 + (1/2)</f>
        <v>1.5</v>
      </c>
      <c r="BE49" s="2" t="s">
        <v>110</v>
      </c>
      <c r="BF49" s="2"/>
      <c r="BG49" s="2" t="s">
        <v>138</v>
      </c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>
        <f>1/2</f>
        <v>0.5</v>
      </c>
      <c r="CD49" s="2" t="s">
        <v>137</v>
      </c>
      <c r="CE49" s="2"/>
      <c r="CF49" s="2"/>
      <c r="CG49" s="2"/>
      <c r="CH49" s="2"/>
      <c r="CI49" s="2" t="s">
        <v>116</v>
      </c>
      <c r="CJ49" s="2" t="s">
        <v>133</v>
      </c>
      <c r="CK49" s="2" t="s">
        <v>187</v>
      </c>
      <c r="CL49" s="2"/>
      <c r="CM49" s="2"/>
      <c r="CN49" s="2"/>
      <c r="CO49" s="2" t="s">
        <v>138</v>
      </c>
      <c r="CP49" s="2"/>
      <c r="CQ49" s="2"/>
      <c r="CR49" s="2"/>
      <c r="CS49" s="2"/>
      <c r="CT49" s="2"/>
      <c r="CU49" s="2"/>
      <c r="CV49" s="2"/>
      <c r="CW49" s="2"/>
      <c r="CX49" s="2" t="s">
        <v>118</v>
      </c>
      <c r="CY49" s="2" t="s">
        <v>151</v>
      </c>
    </row>
    <row r="50" ht="15.75" customHeight="1">
      <c r="A50" s="2" t="s">
        <v>150</v>
      </c>
      <c r="B50" s="2" t="s">
        <v>129</v>
      </c>
      <c r="C50" s="3" t="s">
        <v>104</v>
      </c>
      <c r="D50" s="3"/>
      <c r="E50" s="2" t="s">
        <v>103</v>
      </c>
      <c r="F50" s="2"/>
      <c r="G50" s="2"/>
      <c r="H50" s="2" t="s">
        <v>185</v>
      </c>
      <c r="I50" s="2" t="s">
        <v>241</v>
      </c>
      <c r="J50" s="2" t="s">
        <v>106</v>
      </c>
      <c r="K50" s="2"/>
      <c r="L50" s="2" t="s">
        <v>264</v>
      </c>
      <c r="M50" s="2" t="s">
        <v>137</v>
      </c>
      <c r="N50" s="2" t="s">
        <v>265</v>
      </c>
      <c r="O50" s="2" t="s">
        <v>109</v>
      </c>
      <c r="P50" s="2" t="s">
        <v>103</v>
      </c>
      <c r="Q50" s="2" t="s">
        <v>122</v>
      </c>
      <c r="R50" s="2"/>
      <c r="S50" s="2" t="s">
        <v>266</v>
      </c>
      <c r="T50" s="2" t="s">
        <v>162</v>
      </c>
      <c r="U50" s="2" t="s">
        <v>109</v>
      </c>
      <c r="V50" s="2" t="s">
        <v>162</v>
      </c>
      <c r="W50" s="2"/>
      <c r="X50" s="2"/>
      <c r="Y50" s="2" t="s">
        <v>116</v>
      </c>
      <c r="Z50" s="2"/>
      <c r="AA50" s="2"/>
      <c r="AB50" s="2" t="s">
        <v>113</v>
      </c>
      <c r="AC50" s="2" t="s">
        <v>116</v>
      </c>
      <c r="AD50" s="2" t="s">
        <v>129</v>
      </c>
      <c r="AE50" s="2"/>
      <c r="AF50" s="2" t="s">
        <v>113</v>
      </c>
      <c r="AG50" s="2"/>
      <c r="AH50" s="2"/>
      <c r="AI50" s="2"/>
      <c r="AJ50" s="2" t="s">
        <v>139</v>
      </c>
      <c r="AK50" s="2"/>
      <c r="AL50" s="2" t="s">
        <v>116</v>
      </c>
      <c r="AM50" s="2"/>
      <c r="AN50" s="2"/>
      <c r="AO50" s="2"/>
      <c r="AP50" s="2"/>
      <c r="AQ50" s="2"/>
      <c r="AR50" s="2"/>
      <c r="AS50" s="2"/>
      <c r="AT50" s="2" t="s">
        <v>116</v>
      </c>
      <c r="AU50" s="2" t="s">
        <v>148</v>
      </c>
      <c r="AV50" s="2" t="s">
        <v>103</v>
      </c>
      <c r="AW50" s="2" t="s">
        <v>121</v>
      </c>
      <c r="AX50" s="2"/>
      <c r="AY50" s="2" t="s">
        <v>140</v>
      </c>
      <c r="AZ50" s="2"/>
      <c r="BA50" s="2"/>
      <c r="BB50" s="2" t="s">
        <v>103</v>
      </c>
      <c r="BC50" s="2" t="s">
        <v>232</v>
      </c>
      <c r="BD50" s="2" t="s">
        <v>116</v>
      </c>
      <c r="BE50" s="2" t="s">
        <v>213</v>
      </c>
      <c r="BF50" s="2">
        <f>1/2</f>
        <v>0.5</v>
      </c>
      <c r="BG50" s="2" t="s">
        <v>106</v>
      </c>
      <c r="BH50" s="2" t="s">
        <v>103</v>
      </c>
      <c r="BI50" s="2" t="s">
        <v>123</v>
      </c>
      <c r="BJ50" s="2"/>
      <c r="BK50" s="2"/>
      <c r="BL50" s="2"/>
      <c r="BM50" s="2" t="s">
        <v>129</v>
      </c>
      <c r="BN50" s="2"/>
      <c r="BO50" s="2"/>
      <c r="BP50" s="2" t="s">
        <v>103</v>
      </c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 t="s">
        <v>103</v>
      </c>
      <c r="CD50" s="2" t="s">
        <v>187</v>
      </c>
      <c r="CE50" s="2"/>
      <c r="CF50" s="2"/>
      <c r="CG50" s="2"/>
      <c r="CH50" s="2"/>
      <c r="CI50" s="2"/>
      <c r="CJ50" s="2" t="s">
        <v>106</v>
      </c>
      <c r="CK50" s="2" t="s">
        <v>136</v>
      </c>
      <c r="CL50" s="2"/>
      <c r="CM50" s="2"/>
      <c r="CN50" s="2"/>
      <c r="CO50" s="2" t="s">
        <v>123</v>
      </c>
      <c r="CP50" s="2"/>
      <c r="CQ50" s="2"/>
      <c r="CR50" s="2"/>
      <c r="CS50" s="2"/>
      <c r="CT50" s="2"/>
      <c r="CU50" s="2"/>
      <c r="CV50" s="2"/>
      <c r="CW50" s="2"/>
      <c r="CX50" s="2" t="s">
        <v>106</v>
      </c>
      <c r="CY50" s="2" t="s">
        <v>109</v>
      </c>
    </row>
    <row r="51" ht="15.75" customHeight="1">
      <c r="A51" s="2" t="s">
        <v>138</v>
      </c>
      <c r="B51" s="2" t="s">
        <v>129</v>
      </c>
      <c r="C51" s="3" t="s">
        <v>104</v>
      </c>
      <c r="D51" s="3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</row>
    <row r="52" ht="15.75" customHeight="1">
      <c r="A52" s="2" t="s">
        <v>103</v>
      </c>
      <c r="B52" s="2" t="s">
        <v>130</v>
      </c>
      <c r="C52" s="3" t="s">
        <v>104</v>
      </c>
      <c r="D52" s="3"/>
      <c r="E52" s="2"/>
      <c r="F52" s="2"/>
      <c r="G52" s="2" t="s">
        <v>103</v>
      </c>
      <c r="H52" s="2" t="s">
        <v>105</v>
      </c>
      <c r="I52" s="2" t="s">
        <v>135</v>
      </c>
      <c r="J52" s="2" t="s">
        <v>184</v>
      </c>
      <c r="K52" s="2"/>
      <c r="L52" s="2" t="s">
        <v>267</v>
      </c>
      <c r="M52" s="2" t="s">
        <v>109</v>
      </c>
      <c r="N52" s="2" t="s">
        <v>268</v>
      </c>
      <c r="O52" s="2" t="s">
        <v>129</v>
      </c>
      <c r="P52" s="2"/>
      <c r="Q52" s="2" t="s">
        <v>141</v>
      </c>
      <c r="R52" s="2" t="s">
        <v>105</v>
      </c>
      <c r="S52" s="2" t="s">
        <v>164</v>
      </c>
      <c r="T52" s="2" t="s">
        <v>232</v>
      </c>
      <c r="U52" s="2" t="s">
        <v>206</v>
      </c>
      <c r="V52" s="2" t="s">
        <v>185</v>
      </c>
      <c r="W52" s="2"/>
      <c r="X52" s="2"/>
      <c r="Y52" s="2" t="s">
        <v>116</v>
      </c>
      <c r="Z52" s="2"/>
      <c r="AA52" s="2"/>
      <c r="AB52" s="2" t="s">
        <v>111</v>
      </c>
      <c r="AC52" s="2" t="s">
        <v>150</v>
      </c>
      <c r="AD52" s="2" t="s">
        <v>150</v>
      </c>
      <c r="AE52" s="2"/>
      <c r="AF52" s="2" t="s">
        <v>113</v>
      </c>
      <c r="AG52" s="2" t="s">
        <v>103</v>
      </c>
      <c r="AH52" s="2"/>
      <c r="AI52" s="2" t="s">
        <v>269</v>
      </c>
      <c r="AJ52" s="2" t="s">
        <v>160</v>
      </c>
      <c r="AK52" s="2" t="s">
        <v>270</v>
      </c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 t="s">
        <v>116</v>
      </c>
      <c r="AW52" s="2" t="s">
        <v>118</v>
      </c>
      <c r="AX52" s="2"/>
      <c r="AY52" s="2" t="s">
        <v>187</v>
      </c>
      <c r="AZ52" s="2"/>
      <c r="BA52" s="2"/>
      <c r="BB52" s="2"/>
      <c r="BC52" s="2"/>
      <c r="BD52" s="2" t="s">
        <v>113</v>
      </c>
      <c r="BE52" s="2" t="s">
        <v>193</v>
      </c>
      <c r="BF52" s="6">
        <f>1 + (1/2)</f>
        <v>1.5</v>
      </c>
      <c r="BG52" s="2" t="s">
        <v>271</v>
      </c>
      <c r="BH52" s="2" t="s">
        <v>129</v>
      </c>
      <c r="BI52" s="2" t="s">
        <v>115</v>
      </c>
      <c r="BJ52" s="2" t="s">
        <v>113</v>
      </c>
      <c r="BK52" s="2" t="s">
        <v>190</v>
      </c>
      <c r="BL52" s="2"/>
      <c r="BM52" s="2"/>
      <c r="BN52" s="2"/>
      <c r="BO52" s="2" t="s">
        <v>122</v>
      </c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4">
        <f>1 + (1/2)</f>
        <v>1.5</v>
      </c>
      <c r="CD52" s="2" t="s">
        <v>136</v>
      </c>
      <c r="CE52" s="2"/>
      <c r="CF52" s="2"/>
      <c r="CG52" s="2"/>
      <c r="CH52" s="2"/>
      <c r="CI52" s="2" t="s">
        <v>103</v>
      </c>
      <c r="CJ52" s="2" t="s">
        <v>131</v>
      </c>
      <c r="CK52" s="2" t="s">
        <v>120</v>
      </c>
      <c r="CL52" s="2"/>
      <c r="CM52" s="2"/>
      <c r="CN52" s="2"/>
      <c r="CO52" s="2" t="s">
        <v>106</v>
      </c>
      <c r="CP52" s="2"/>
      <c r="CQ52" s="2"/>
      <c r="CR52" s="2"/>
      <c r="CS52" s="2"/>
      <c r="CT52" s="2"/>
      <c r="CU52" s="2"/>
      <c r="CV52" s="2"/>
      <c r="CW52" s="2"/>
      <c r="CX52" s="2" t="s">
        <v>109</v>
      </c>
      <c r="CY52" s="2" t="s">
        <v>184</v>
      </c>
    </row>
    <row r="53" ht="15.75" customHeight="1">
      <c r="A53" s="2" t="s">
        <v>116</v>
      </c>
      <c r="B53" s="2" t="s">
        <v>130</v>
      </c>
      <c r="C53" s="3" t="s">
        <v>104</v>
      </c>
      <c r="D53" s="3"/>
      <c r="E53" s="2" t="s">
        <v>103</v>
      </c>
      <c r="F53" s="2"/>
      <c r="G53" s="2"/>
      <c r="H53" s="2" t="s">
        <v>105</v>
      </c>
      <c r="I53" s="2"/>
      <c r="J53" s="2" t="s">
        <v>191</v>
      </c>
      <c r="K53" s="2"/>
      <c r="L53" s="2" t="s">
        <v>272</v>
      </c>
      <c r="M53" s="2"/>
      <c r="N53" s="2" t="s">
        <v>181</v>
      </c>
      <c r="O53" s="2"/>
      <c r="P53" s="2"/>
      <c r="Q53" s="2" t="s">
        <v>137</v>
      </c>
      <c r="R53" s="2" t="s">
        <v>129</v>
      </c>
      <c r="S53" s="2" t="s">
        <v>273</v>
      </c>
      <c r="T53" s="2" t="s">
        <v>133</v>
      </c>
      <c r="U53" s="2"/>
      <c r="V53" s="2" t="s">
        <v>105</v>
      </c>
      <c r="W53" s="2"/>
      <c r="X53" s="2"/>
      <c r="Y53" s="2" t="s">
        <v>122</v>
      </c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 t="s">
        <v>129</v>
      </c>
      <c r="AX53" s="2"/>
      <c r="AY53" s="2" t="s">
        <v>106</v>
      </c>
      <c r="AZ53" s="2"/>
      <c r="BA53" s="2"/>
      <c r="BB53" s="2"/>
      <c r="BC53" s="2"/>
      <c r="BD53" s="2" t="s">
        <v>116</v>
      </c>
      <c r="BE53" s="2" t="s">
        <v>135</v>
      </c>
      <c r="BF53" s="2"/>
      <c r="BG53" s="2"/>
      <c r="BH53" s="2"/>
      <c r="BI53" s="2"/>
      <c r="BJ53" s="2"/>
      <c r="BK53" s="2" t="s">
        <v>133</v>
      </c>
      <c r="BL53" s="2"/>
      <c r="BM53" s="2"/>
      <c r="BN53" s="2"/>
      <c r="BO53" s="2" t="s">
        <v>116</v>
      </c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 t="s">
        <v>130</v>
      </c>
      <c r="CJ53" s="2" t="s">
        <v>193</v>
      </c>
      <c r="CK53" s="2" t="s">
        <v>183</v>
      </c>
      <c r="CL53" s="2"/>
      <c r="CM53" s="2"/>
      <c r="CN53" s="2"/>
      <c r="CO53" s="2" t="s">
        <v>173</v>
      </c>
      <c r="CP53" s="2"/>
      <c r="CQ53" s="2"/>
      <c r="CR53" s="2"/>
      <c r="CS53" s="2"/>
      <c r="CT53" s="2"/>
      <c r="CU53" s="2"/>
      <c r="CV53" s="2"/>
      <c r="CW53" s="2"/>
      <c r="CX53" s="2" t="s">
        <v>255</v>
      </c>
      <c r="CY53" s="2" t="s">
        <v>274</v>
      </c>
    </row>
    <row r="54" ht="15.75" customHeight="1">
      <c r="A54" s="2" t="s">
        <v>113</v>
      </c>
      <c r="B54" s="2" t="s">
        <v>130</v>
      </c>
      <c r="C54" s="3" t="s">
        <v>104</v>
      </c>
      <c r="D54" s="3"/>
      <c r="E54" s="2" t="s">
        <v>103</v>
      </c>
      <c r="F54" s="2"/>
      <c r="G54" s="2"/>
      <c r="H54" s="2" t="s">
        <v>105</v>
      </c>
      <c r="I54" s="2" t="s">
        <v>195</v>
      </c>
      <c r="J54" s="2" t="s">
        <v>195</v>
      </c>
      <c r="K54" s="2"/>
      <c r="L54" s="2" t="s">
        <v>194</v>
      </c>
      <c r="M54" s="2" t="s">
        <v>131</v>
      </c>
      <c r="N54" s="2" t="s">
        <v>275</v>
      </c>
      <c r="O54" s="2" t="s">
        <v>138</v>
      </c>
      <c r="P54" s="2"/>
      <c r="Q54" s="2" t="s">
        <v>135</v>
      </c>
      <c r="R54" s="2" t="s">
        <v>144</v>
      </c>
      <c r="S54" s="2" t="s">
        <v>276</v>
      </c>
      <c r="T54" s="2" t="s">
        <v>106</v>
      </c>
      <c r="U54" s="2"/>
      <c r="V54" s="2" t="s">
        <v>133</v>
      </c>
      <c r="W54" s="2"/>
      <c r="X54" s="2"/>
      <c r="Y54" s="2" t="s">
        <v>121</v>
      </c>
      <c r="Z54" s="2"/>
      <c r="AA54" s="2"/>
      <c r="AB54" s="2" t="s">
        <v>122</v>
      </c>
      <c r="AC54" s="2" t="s">
        <v>103</v>
      </c>
      <c r="AD54" s="2" t="s">
        <v>113</v>
      </c>
      <c r="AE54" s="2"/>
      <c r="AF54" s="2"/>
      <c r="AG54" s="2"/>
      <c r="AH54" s="2" t="s">
        <v>103</v>
      </c>
      <c r="AI54" s="2"/>
      <c r="AJ54" s="2" t="s">
        <v>183</v>
      </c>
      <c r="AK54" s="2"/>
      <c r="AL54" s="2" t="s">
        <v>131</v>
      </c>
      <c r="AM54" s="2" t="s">
        <v>133</v>
      </c>
      <c r="AN54" s="2"/>
      <c r="AO54" s="2" t="s">
        <v>138</v>
      </c>
      <c r="AP54" s="2"/>
      <c r="AQ54" s="2"/>
      <c r="AR54" s="2" t="s">
        <v>129</v>
      </c>
      <c r="AS54" s="2" t="s">
        <v>157</v>
      </c>
      <c r="AT54" s="2" t="s">
        <v>131</v>
      </c>
      <c r="AU54" s="5" t="s">
        <v>125</v>
      </c>
      <c r="AV54" s="2" t="s">
        <v>116</v>
      </c>
      <c r="AW54" s="2" t="s">
        <v>123</v>
      </c>
      <c r="AX54" s="2"/>
      <c r="AY54" s="2" t="s">
        <v>136</v>
      </c>
      <c r="AZ54" s="2"/>
      <c r="BA54" s="2"/>
      <c r="BB54" s="2"/>
      <c r="BC54" s="2"/>
      <c r="BD54" s="5" t="s">
        <v>122</v>
      </c>
      <c r="BE54" s="2" t="s">
        <v>131</v>
      </c>
      <c r="BF54" s="2" t="s">
        <v>122</v>
      </c>
      <c r="BG54" s="2" t="s">
        <v>120</v>
      </c>
      <c r="BH54" s="2" t="s">
        <v>113</v>
      </c>
      <c r="BI54" s="2" t="s">
        <v>118</v>
      </c>
      <c r="BJ54" s="2"/>
      <c r="BK54" s="2"/>
      <c r="BL54" s="2"/>
      <c r="BM54" s="2"/>
      <c r="BN54" s="2"/>
      <c r="BO54" s="2" t="s">
        <v>122</v>
      </c>
      <c r="BP54" s="2"/>
      <c r="BQ54" s="2"/>
      <c r="BR54" s="2"/>
      <c r="BS54" s="2"/>
      <c r="BT54" s="2"/>
      <c r="BU54" s="2"/>
      <c r="BV54" s="2"/>
      <c r="BW54" s="2" t="s">
        <v>135</v>
      </c>
      <c r="BX54" s="2"/>
      <c r="BY54" s="2"/>
      <c r="BZ54" s="2"/>
      <c r="CA54" s="2"/>
      <c r="CB54" s="2"/>
      <c r="CC54" s="2">
        <f>1/2</f>
        <v>0.5</v>
      </c>
      <c r="CD54" s="2" t="s">
        <v>131</v>
      </c>
      <c r="CE54" s="2"/>
      <c r="CF54" s="2"/>
      <c r="CG54" s="2"/>
      <c r="CH54" s="2"/>
      <c r="CI54" s="2" t="s">
        <v>113</v>
      </c>
      <c r="CJ54" s="2" t="s">
        <v>135</v>
      </c>
      <c r="CK54" s="2" t="s">
        <v>183</v>
      </c>
      <c r="CL54" s="2"/>
      <c r="CM54" s="2"/>
      <c r="CN54" s="2"/>
      <c r="CO54" s="2" t="s">
        <v>131</v>
      </c>
      <c r="CP54" s="2"/>
      <c r="CQ54" s="2"/>
      <c r="CR54" s="2"/>
      <c r="CS54" s="2"/>
      <c r="CT54" s="2"/>
      <c r="CU54" s="2"/>
      <c r="CV54" s="2"/>
      <c r="CW54" s="2"/>
      <c r="CX54" s="2" t="s">
        <v>118</v>
      </c>
      <c r="CY54" s="2" t="s">
        <v>151</v>
      </c>
    </row>
    <row r="55" ht="15.75" customHeight="1">
      <c r="A55" s="2" t="s">
        <v>122</v>
      </c>
      <c r="B55" s="2" t="s">
        <v>130</v>
      </c>
      <c r="C55" s="3" t="s">
        <v>104</v>
      </c>
      <c r="D55" s="3"/>
      <c r="E55" s="2" t="s">
        <v>103</v>
      </c>
      <c r="F55" s="2"/>
      <c r="G55" s="2"/>
      <c r="H55" s="2" t="s">
        <v>111</v>
      </c>
      <c r="I55" s="2" t="s">
        <v>227</v>
      </c>
      <c r="J55" s="2" t="s">
        <v>227</v>
      </c>
      <c r="K55" s="2"/>
      <c r="L55" s="2" t="s">
        <v>277</v>
      </c>
      <c r="M55" s="2" t="s">
        <v>184</v>
      </c>
      <c r="N55" s="2" t="s">
        <v>120</v>
      </c>
      <c r="O55" s="2" t="s">
        <v>116</v>
      </c>
      <c r="P55" s="2"/>
      <c r="Q55" s="2"/>
      <c r="R55" s="2"/>
      <c r="S55" s="2"/>
      <c r="T55" s="2" t="s">
        <v>129</v>
      </c>
      <c r="U55" s="2" t="s">
        <v>227</v>
      </c>
      <c r="V55" s="2"/>
      <c r="W55" s="2"/>
      <c r="X55" s="2"/>
      <c r="Y55" s="2" t="s">
        <v>116</v>
      </c>
      <c r="Z55" s="2"/>
      <c r="AA55" s="2"/>
      <c r="AB55" s="2" t="s">
        <v>113</v>
      </c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 t="s">
        <v>103</v>
      </c>
      <c r="AW55" s="2" t="s">
        <v>129</v>
      </c>
      <c r="AX55" s="2"/>
      <c r="AY55" s="2"/>
      <c r="AZ55" s="2"/>
      <c r="BA55" s="2"/>
      <c r="BB55" s="2"/>
      <c r="BC55" s="2"/>
      <c r="BD55" s="4">
        <f>1 + (1/2)</f>
        <v>1.5</v>
      </c>
      <c r="BE55" s="2" t="s">
        <v>137</v>
      </c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 t="s">
        <v>103</v>
      </c>
      <c r="CD55" s="2"/>
      <c r="CE55" s="2"/>
      <c r="CF55" s="2"/>
      <c r="CG55" s="2"/>
      <c r="CH55" s="2"/>
      <c r="CI55" s="5">
        <f>1/2</f>
        <v>0.5</v>
      </c>
      <c r="CJ55" s="2" t="s">
        <v>144</v>
      </c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</row>
    <row r="56" ht="15.75" customHeight="1">
      <c r="A56" s="2" t="s">
        <v>129</v>
      </c>
      <c r="B56" s="2" t="s">
        <v>130</v>
      </c>
      <c r="C56" s="3" t="s">
        <v>104</v>
      </c>
      <c r="D56" s="3"/>
      <c r="E56" s="2" t="s">
        <v>103</v>
      </c>
      <c r="F56" s="2"/>
      <c r="G56" s="2"/>
      <c r="H56" s="2" t="s">
        <v>195</v>
      </c>
      <c r="I56" s="2" t="s">
        <v>195</v>
      </c>
      <c r="J56" s="2" t="s">
        <v>253</v>
      </c>
      <c r="K56" s="2"/>
      <c r="L56" s="2" t="s">
        <v>272</v>
      </c>
      <c r="M56" s="2" t="s">
        <v>181</v>
      </c>
      <c r="N56" s="2" t="s">
        <v>278</v>
      </c>
      <c r="O56" s="2" t="s">
        <v>138</v>
      </c>
      <c r="P56" s="2"/>
      <c r="Q56" s="2" t="s">
        <v>262</v>
      </c>
      <c r="R56" s="2" t="s">
        <v>241</v>
      </c>
      <c r="S56" s="2" t="s">
        <v>279</v>
      </c>
      <c r="T56" s="2" t="s">
        <v>280</v>
      </c>
      <c r="U56" s="2" t="s">
        <v>195</v>
      </c>
      <c r="V56" s="2" t="s">
        <v>201</v>
      </c>
      <c r="W56" s="2"/>
      <c r="X56" s="2"/>
      <c r="Y56" s="2" t="s">
        <v>121</v>
      </c>
      <c r="Z56" s="2"/>
      <c r="AA56" s="2"/>
      <c r="AB56" s="2" t="s">
        <v>144</v>
      </c>
      <c r="AC56" s="2" t="s">
        <v>138</v>
      </c>
      <c r="AD56" s="2" t="s">
        <v>138</v>
      </c>
      <c r="AE56" s="2"/>
      <c r="AF56" s="2" t="s">
        <v>121</v>
      </c>
      <c r="AG56" s="2" t="s">
        <v>103</v>
      </c>
      <c r="AH56" s="2"/>
      <c r="AI56" s="2"/>
      <c r="AJ56" s="2" t="s">
        <v>177</v>
      </c>
      <c r="AK56" s="2"/>
      <c r="AL56" s="2" t="s">
        <v>155</v>
      </c>
      <c r="AM56" s="2" t="s">
        <v>106</v>
      </c>
      <c r="AN56" s="2"/>
      <c r="AO56" s="2" t="s">
        <v>138</v>
      </c>
      <c r="AP56" s="2"/>
      <c r="AQ56" s="2"/>
      <c r="AR56" s="2" t="s">
        <v>116</v>
      </c>
      <c r="AS56" s="2"/>
      <c r="AT56" s="2" t="s">
        <v>155</v>
      </c>
      <c r="AU56" s="2" t="s">
        <v>281</v>
      </c>
      <c r="AV56" s="2" t="s">
        <v>121</v>
      </c>
      <c r="AW56" s="2" t="s">
        <v>115</v>
      </c>
      <c r="AX56" s="2" t="s">
        <v>122</v>
      </c>
      <c r="AY56" s="2" t="s">
        <v>198</v>
      </c>
      <c r="AZ56" s="2"/>
      <c r="BA56" s="2"/>
      <c r="BB56" s="2"/>
      <c r="BC56" s="2"/>
      <c r="BD56" s="2" t="s">
        <v>122</v>
      </c>
      <c r="BE56" s="2" t="s">
        <v>141</v>
      </c>
      <c r="BF56" s="2" t="s">
        <v>130</v>
      </c>
      <c r="BG56" s="2" t="s">
        <v>125</v>
      </c>
      <c r="BH56" s="2"/>
      <c r="BI56" s="2"/>
      <c r="BJ56" s="2" t="s">
        <v>116</v>
      </c>
      <c r="BK56" s="2" t="s">
        <v>158</v>
      </c>
      <c r="BL56" s="2"/>
      <c r="BM56" s="2"/>
      <c r="BN56" s="2"/>
      <c r="BO56" s="2" t="s">
        <v>150</v>
      </c>
      <c r="BP56" s="2"/>
      <c r="BQ56" s="2"/>
      <c r="BR56" s="2"/>
      <c r="BS56" s="2"/>
      <c r="BT56" s="2"/>
      <c r="BU56" s="2"/>
      <c r="BV56" s="2"/>
      <c r="BW56" s="2" t="s">
        <v>181</v>
      </c>
      <c r="BX56" s="2" t="s">
        <v>130</v>
      </c>
      <c r="BY56" s="2"/>
      <c r="BZ56" s="2"/>
      <c r="CA56" s="2"/>
      <c r="CB56" s="2"/>
      <c r="CC56" s="4">
        <f>1 + (1/4)</f>
        <v>1.25</v>
      </c>
      <c r="CD56" s="2" t="s">
        <v>135</v>
      </c>
      <c r="CE56" s="2"/>
      <c r="CF56" s="2"/>
      <c r="CG56" s="2"/>
      <c r="CH56" s="2"/>
      <c r="CI56" s="2" t="s">
        <v>116</v>
      </c>
      <c r="CJ56" s="2" t="s">
        <v>184</v>
      </c>
      <c r="CK56" s="2" t="s">
        <v>120</v>
      </c>
      <c r="CL56" s="2"/>
      <c r="CM56" s="2"/>
      <c r="CN56" s="2"/>
      <c r="CO56" s="2" t="s">
        <v>131</v>
      </c>
      <c r="CP56" s="2"/>
      <c r="CQ56" s="2"/>
      <c r="CR56" s="2"/>
      <c r="CS56" s="2"/>
      <c r="CT56" s="2"/>
      <c r="CU56" s="2"/>
      <c r="CV56" s="2"/>
      <c r="CW56" s="2"/>
      <c r="CX56" s="2" t="s">
        <v>138</v>
      </c>
      <c r="CY56" s="2" t="s">
        <v>106</v>
      </c>
    </row>
    <row r="57" ht="15.75" customHeight="1">
      <c r="A57" s="2" t="s">
        <v>130</v>
      </c>
      <c r="B57" s="2" t="s">
        <v>130</v>
      </c>
      <c r="C57" s="3" t="s">
        <v>104</v>
      </c>
      <c r="D57" s="3"/>
      <c r="E57" s="2"/>
      <c r="F57" s="2"/>
      <c r="G57" s="2" t="s">
        <v>103</v>
      </c>
      <c r="H57" s="2" t="s">
        <v>133</v>
      </c>
      <c r="I57" s="2" t="s">
        <v>282</v>
      </c>
      <c r="J57" s="2" t="s">
        <v>236</v>
      </c>
      <c r="K57" s="2"/>
      <c r="L57" s="2" t="s">
        <v>267</v>
      </c>
      <c r="M57" s="2" t="s">
        <v>155</v>
      </c>
      <c r="N57" s="2" t="s">
        <v>283</v>
      </c>
      <c r="O57" s="2" t="s">
        <v>133</v>
      </c>
      <c r="P57" s="2"/>
      <c r="Q57" s="2"/>
      <c r="R57" s="2"/>
      <c r="S57" s="2" t="s">
        <v>284</v>
      </c>
      <c r="T57" s="2" t="s">
        <v>105</v>
      </c>
      <c r="U57" s="2" t="s">
        <v>187</v>
      </c>
      <c r="V57" s="2" t="s">
        <v>182</v>
      </c>
      <c r="W57" s="2"/>
      <c r="X57" s="2"/>
      <c r="Y57" s="2" t="s">
        <v>113</v>
      </c>
      <c r="Z57" s="2"/>
      <c r="AA57" s="2"/>
      <c r="AB57" s="2" t="s">
        <v>112</v>
      </c>
      <c r="AC57" s="2" t="s">
        <v>150</v>
      </c>
      <c r="AD57" s="2" t="s">
        <v>138</v>
      </c>
      <c r="AE57" s="2" t="s">
        <v>103</v>
      </c>
      <c r="AF57" s="2" t="s">
        <v>113</v>
      </c>
      <c r="AG57" s="2"/>
      <c r="AH57" s="2" t="s">
        <v>116</v>
      </c>
      <c r="AI57" s="2"/>
      <c r="AJ57" s="2" t="s">
        <v>108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 t="s">
        <v>149</v>
      </c>
      <c r="AX57" s="2"/>
      <c r="AY57" s="2" t="s">
        <v>135</v>
      </c>
      <c r="AZ57" s="2"/>
      <c r="BA57" s="2"/>
      <c r="BB57" s="2" t="s">
        <v>116</v>
      </c>
      <c r="BC57" s="2" t="s">
        <v>143</v>
      </c>
      <c r="BD57" s="6">
        <f>2 + (1/2)</f>
        <v>2.5</v>
      </c>
      <c r="BE57" s="2" t="s">
        <v>137</v>
      </c>
      <c r="BF57" s="2" t="s">
        <v>116</v>
      </c>
      <c r="BG57" s="2" t="s">
        <v>137</v>
      </c>
      <c r="BH57" s="2"/>
      <c r="BI57" s="2"/>
      <c r="BJ57" s="2"/>
      <c r="BK57" s="2"/>
      <c r="BL57" s="2"/>
      <c r="BM57" s="2"/>
      <c r="BN57" s="2"/>
      <c r="BO57" s="2" t="s">
        <v>116</v>
      </c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 t="s">
        <v>103</v>
      </c>
      <c r="CD57" s="2" t="s">
        <v>135</v>
      </c>
      <c r="CE57" s="2"/>
      <c r="CF57" s="2"/>
      <c r="CG57" s="2"/>
      <c r="CH57" s="2"/>
      <c r="CI57" s="2" t="s">
        <v>116</v>
      </c>
      <c r="CJ57" s="2" t="s">
        <v>142</v>
      </c>
      <c r="CK57" s="2" t="s">
        <v>181</v>
      </c>
      <c r="CL57" s="2"/>
      <c r="CM57" s="2"/>
      <c r="CN57" s="2"/>
      <c r="CO57" s="2" t="s">
        <v>105</v>
      </c>
      <c r="CP57" s="2"/>
      <c r="CQ57" s="2"/>
      <c r="CR57" s="2"/>
      <c r="CS57" s="2"/>
      <c r="CT57" s="2"/>
      <c r="CU57" s="2"/>
      <c r="CV57" s="2"/>
      <c r="CW57" s="2"/>
      <c r="CX57" s="2" t="s">
        <v>123</v>
      </c>
      <c r="CY57" s="2" t="s">
        <v>105</v>
      </c>
    </row>
    <row r="58" ht="15.75" customHeight="1">
      <c r="A58" s="2" t="s">
        <v>121</v>
      </c>
      <c r="B58" s="2" t="s">
        <v>130</v>
      </c>
      <c r="C58" s="3" t="s">
        <v>104</v>
      </c>
      <c r="D58" s="3"/>
      <c r="E58" s="2" t="s">
        <v>103</v>
      </c>
      <c r="F58" s="2"/>
      <c r="G58" s="2"/>
      <c r="H58" s="2" t="s">
        <v>135</v>
      </c>
      <c r="I58" s="2" t="s">
        <v>151</v>
      </c>
      <c r="J58" s="2" t="s">
        <v>121</v>
      </c>
      <c r="K58" s="2"/>
      <c r="L58" s="2" t="s">
        <v>285</v>
      </c>
      <c r="M58" s="2" t="s">
        <v>139</v>
      </c>
      <c r="N58" s="2" t="s">
        <v>286</v>
      </c>
      <c r="O58" s="2" t="s">
        <v>133</v>
      </c>
      <c r="P58" s="2"/>
      <c r="Q58" s="2" t="s">
        <v>287</v>
      </c>
      <c r="R58" s="2" t="s">
        <v>288</v>
      </c>
      <c r="S58" s="2" t="s">
        <v>289</v>
      </c>
      <c r="T58" s="2" t="s">
        <v>131</v>
      </c>
      <c r="U58" s="2" t="s">
        <v>118</v>
      </c>
      <c r="V58" s="2" t="s">
        <v>137</v>
      </c>
      <c r="W58" s="2"/>
      <c r="X58" s="2"/>
      <c r="Y58" s="2" t="s">
        <v>150</v>
      </c>
      <c r="Z58" s="2"/>
      <c r="AA58" s="2"/>
      <c r="AB58" s="2" t="s">
        <v>145</v>
      </c>
      <c r="AC58" s="2" t="s">
        <v>113</v>
      </c>
      <c r="AD58" s="2" t="s">
        <v>118</v>
      </c>
      <c r="AE58" s="2"/>
      <c r="AF58" s="2" t="s">
        <v>123</v>
      </c>
      <c r="AG58" s="2" t="s">
        <v>122</v>
      </c>
      <c r="AH58" s="2" t="s">
        <v>113</v>
      </c>
      <c r="AI58" s="2"/>
      <c r="AJ58" s="2" t="s">
        <v>255</v>
      </c>
      <c r="AK58" s="2"/>
      <c r="AL58" s="2" t="s">
        <v>150</v>
      </c>
      <c r="AM58" s="2" t="s">
        <v>122</v>
      </c>
      <c r="AN58" s="2" t="s">
        <v>113</v>
      </c>
      <c r="AO58" s="2" t="s">
        <v>103</v>
      </c>
      <c r="AP58" s="2"/>
      <c r="AQ58" s="2"/>
      <c r="AR58" s="2" t="s">
        <v>103</v>
      </c>
      <c r="AS58" s="2"/>
      <c r="AT58" s="2" t="s">
        <v>150</v>
      </c>
      <c r="AU58" s="2" t="s">
        <v>290</v>
      </c>
      <c r="AV58" s="2" t="s">
        <v>116</v>
      </c>
      <c r="AW58" s="2" t="s">
        <v>133</v>
      </c>
      <c r="AX58" s="2" t="s">
        <v>116</v>
      </c>
      <c r="AY58" s="2" t="s">
        <v>291</v>
      </c>
      <c r="AZ58" s="2"/>
      <c r="BA58" s="2"/>
      <c r="BB58" s="2"/>
      <c r="BC58" s="2"/>
      <c r="BD58" s="2" t="s">
        <v>129</v>
      </c>
      <c r="BE58" s="2" t="s">
        <v>120</v>
      </c>
      <c r="BF58" s="2" t="s">
        <v>138</v>
      </c>
      <c r="BG58" s="2" t="s">
        <v>202</v>
      </c>
      <c r="BH58" s="2"/>
      <c r="BI58" s="2"/>
      <c r="BJ58" s="2" t="s">
        <v>113</v>
      </c>
      <c r="BK58" s="2" t="s">
        <v>246</v>
      </c>
      <c r="BL58" s="2"/>
      <c r="BM58" s="2"/>
      <c r="BN58" s="2"/>
      <c r="BO58" s="2" t="s">
        <v>138</v>
      </c>
      <c r="BP58" s="2"/>
      <c r="BQ58" s="2"/>
      <c r="BR58" s="2"/>
      <c r="BS58" s="2"/>
      <c r="BT58" s="2"/>
      <c r="BU58" s="2"/>
      <c r="BV58" s="2"/>
      <c r="BW58" s="2" t="s">
        <v>181</v>
      </c>
      <c r="BX58" s="2"/>
      <c r="BY58" s="2"/>
      <c r="BZ58" s="2"/>
      <c r="CA58" s="2"/>
      <c r="CB58" s="2"/>
      <c r="CC58" s="4">
        <f>1 + (1/2)</f>
        <v>1.5</v>
      </c>
      <c r="CD58" s="2" t="s">
        <v>225</v>
      </c>
      <c r="CE58" s="2"/>
      <c r="CF58" s="2"/>
      <c r="CG58" s="2"/>
      <c r="CH58" s="2"/>
      <c r="CI58" s="2" t="s">
        <v>103</v>
      </c>
      <c r="CJ58" s="2" t="s">
        <v>131</v>
      </c>
      <c r="CK58" s="2" t="s">
        <v>114</v>
      </c>
      <c r="CL58" s="2"/>
      <c r="CM58" s="2"/>
      <c r="CN58" s="2"/>
      <c r="CO58" s="2" t="s">
        <v>131</v>
      </c>
      <c r="CP58" s="2"/>
      <c r="CQ58" s="2"/>
      <c r="CR58" s="2"/>
      <c r="CS58" s="2"/>
      <c r="CT58" s="2"/>
      <c r="CU58" s="2"/>
      <c r="CV58" s="2"/>
      <c r="CW58" s="2"/>
      <c r="CX58" s="2"/>
      <c r="CY58" s="2"/>
    </row>
    <row r="59" ht="15.75" customHeight="1">
      <c r="A59" s="2" t="s">
        <v>111</v>
      </c>
      <c r="B59" s="2" t="s">
        <v>130</v>
      </c>
      <c r="C59" s="3" t="s">
        <v>104</v>
      </c>
      <c r="D59" s="3"/>
      <c r="E59" s="2" t="s">
        <v>103</v>
      </c>
      <c r="F59" s="2"/>
      <c r="G59" s="2"/>
      <c r="H59" s="2" t="s">
        <v>165</v>
      </c>
      <c r="I59" s="2" t="s">
        <v>130</v>
      </c>
      <c r="J59" s="2" t="s">
        <v>138</v>
      </c>
      <c r="K59" s="2"/>
      <c r="L59" s="2" t="s">
        <v>153</v>
      </c>
      <c r="M59" s="2"/>
      <c r="N59" s="2" t="s">
        <v>106</v>
      </c>
      <c r="O59" s="2" t="s">
        <v>116</v>
      </c>
      <c r="P59" s="2"/>
      <c r="Q59" s="2"/>
      <c r="R59" s="2"/>
      <c r="S59" s="2" t="s">
        <v>181</v>
      </c>
      <c r="T59" s="2" t="s">
        <v>143</v>
      </c>
      <c r="U59" s="2" t="s">
        <v>130</v>
      </c>
      <c r="V59" s="2" t="s">
        <v>106</v>
      </c>
      <c r="W59" s="2"/>
      <c r="X59" s="2"/>
      <c r="Y59" s="2" t="s">
        <v>103</v>
      </c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 t="s">
        <v>250</v>
      </c>
      <c r="AX59" s="2"/>
      <c r="AY59" s="2" t="s">
        <v>181</v>
      </c>
      <c r="AZ59" s="2"/>
      <c r="BA59" s="2"/>
      <c r="BB59" s="2"/>
      <c r="BC59" s="2"/>
      <c r="BD59" s="2">
        <f>1/2</f>
        <v>0.5</v>
      </c>
      <c r="BE59" s="2" t="s">
        <v>106</v>
      </c>
      <c r="BF59" s="2" t="s">
        <v>111</v>
      </c>
      <c r="BG59" s="2" t="s">
        <v>126</v>
      </c>
      <c r="BH59" s="2"/>
      <c r="BI59" s="2"/>
      <c r="BJ59" s="2"/>
      <c r="BK59" s="2"/>
      <c r="BL59" s="2"/>
      <c r="BM59" s="2"/>
      <c r="BN59" s="2"/>
      <c r="BO59" s="2" t="s">
        <v>111</v>
      </c>
      <c r="BP59" s="2"/>
      <c r="BQ59" s="2"/>
      <c r="BR59" s="2"/>
      <c r="BS59" s="2"/>
      <c r="BT59" s="2"/>
      <c r="BU59" s="2"/>
      <c r="BV59" s="2"/>
      <c r="BW59" s="2" t="s">
        <v>181</v>
      </c>
      <c r="BX59" s="2"/>
      <c r="BY59" s="2"/>
      <c r="BZ59" s="2"/>
      <c r="CA59" s="2"/>
      <c r="CB59" s="2"/>
      <c r="CC59" s="2"/>
      <c r="CD59" s="2" t="s">
        <v>115</v>
      </c>
      <c r="CE59" s="2"/>
      <c r="CF59" s="2"/>
      <c r="CG59" s="2"/>
      <c r="CH59" s="2"/>
      <c r="CI59" s="2"/>
      <c r="CJ59" s="2" t="s">
        <v>122</v>
      </c>
      <c r="CK59" s="2" t="s">
        <v>116</v>
      </c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 t="s">
        <v>129</v>
      </c>
      <c r="CY59" s="2" t="s">
        <v>138</v>
      </c>
    </row>
    <row r="60" ht="15.75" customHeight="1">
      <c r="A60" s="2" t="s">
        <v>150</v>
      </c>
      <c r="B60" s="2" t="s">
        <v>130</v>
      </c>
      <c r="C60" s="3" t="s">
        <v>104</v>
      </c>
      <c r="D60" s="3"/>
      <c r="E60" s="2" t="s">
        <v>103</v>
      </c>
      <c r="F60" s="2"/>
      <c r="G60" s="2"/>
      <c r="H60" s="2" t="s">
        <v>129</v>
      </c>
      <c r="I60" s="2"/>
      <c r="J60" s="2"/>
      <c r="K60" s="2"/>
      <c r="L60" s="2" t="s">
        <v>146</v>
      </c>
      <c r="M60" s="2" t="s">
        <v>111</v>
      </c>
      <c r="N60" s="2" t="s">
        <v>105</v>
      </c>
      <c r="O60" s="2"/>
      <c r="P60" s="2"/>
      <c r="Q60" s="2"/>
      <c r="R60" s="2"/>
      <c r="S60" s="2"/>
      <c r="T60" s="2" t="s">
        <v>122</v>
      </c>
      <c r="U60" s="2"/>
      <c r="V60" s="2" t="s">
        <v>122</v>
      </c>
      <c r="W60" s="2"/>
      <c r="X60" s="2"/>
      <c r="Y60" s="2" t="s">
        <v>103</v>
      </c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 t="s">
        <v>130</v>
      </c>
      <c r="AX60" s="2"/>
      <c r="AY60" s="2" t="s">
        <v>185</v>
      </c>
      <c r="AZ60" s="2"/>
      <c r="BA60" s="2"/>
      <c r="BB60" s="2"/>
      <c r="BC60" s="2"/>
      <c r="BD60" s="2"/>
      <c r="BE60" s="2"/>
      <c r="BF60" s="2"/>
      <c r="BG60" s="2" t="s">
        <v>118</v>
      </c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 t="s">
        <v>185</v>
      </c>
      <c r="CE60" s="2"/>
      <c r="CF60" s="2"/>
      <c r="CG60" s="2"/>
      <c r="CH60" s="2"/>
      <c r="CI60" s="2" t="s">
        <v>116</v>
      </c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</row>
    <row r="61" ht="15.75" customHeight="1">
      <c r="A61" s="2" t="s">
        <v>138</v>
      </c>
      <c r="B61" s="2" t="s">
        <v>130</v>
      </c>
      <c r="C61" s="3" t="s">
        <v>104</v>
      </c>
      <c r="D61" s="3"/>
      <c r="E61" s="2"/>
      <c r="F61" s="2"/>
      <c r="G61" s="2"/>
      <c r="H61" s="2" t="s">
        <v>150</v>
      </c>
      <c r="I61" s="2" t="s">
        <v>103</v>
      </c>
      <c r="J61" s="2"/>
      <c r="K61" s="2"/>
      <c r="L61" s="2" t="s">
        <v>108</v>
      </c>
      <c r="M61" s="2"/>
      <c r="N61" s="2"/>
      <c r="O61" s="2"/>
      <c r="P61" s="2"/>
      <c r="Q61" s="2"/>
      <c r="R61" s="2"/>
      <c r="S61" s="2" t="s">
        <v>201</v>
      </c>
      <c r="T61" s="2" t="s">
        <v>111</v>
      </c>
      <c r="U61" s="2" t="s">
        <v>103</v>
      </c>
      <c r="V61" s="2" t="s">
        <v>111</v>
      </c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 t="s">
        <v>130</v>
      </c>
      <c r="AX61" s="2"/>
      <c r="AY61" s="2" t="s">
        <v>185</v>
      </c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>
        <f>3/4</f>
        <v>0.75</v>
      </c>
      <c r="CD61" s="2" t="s">
        <v>142</v>
      </c>
      <c r="CE61" s="2"/>
      <c r="CF61" s="2"/>
      <c r="CG61" s="2"/>
      <c r="CH61" s="2"/>
      <c r="CI61" s="2"/>
      <c r="CJ61" s="2" t="s">
        <v>111</v>
      </c>
      <c r="CK61" s="2" t="s">
        <v>123</v>
      </c>
      <c r="CL61" s="2"/>
      <c r="CM61" s="2"/>
      <c r="CN61" s="2"/>
      <c r="CO61" s="2" t="s">
        <v>113</v>
      </c>
      <c r="CP61" s="2"/>
      <c r="CQ61" s="2"/>
      <c r="CR61" s="2"/>
      <c r="CS61" s="2"/>
      <c r="CT61" s="2"/>
      <c r="CU61" s="2"/>
      <c r="CV61" s="2"/>
      <c r="CW61" s="2"/>
      <c r="CX61" s="2"/>
      <c r="CY61" s="2"/>
    </row>
    <row r="62" ht="15.75" customHeight="1">
      <c r="A62" s="2" t="s">
        <v>103</v>
      </c>
      <c r="B62" s="2" t="s">
        <v>121</v>
      </c>
      <c r="C62" s="3" t="s">
        <v>104</v>
      </c>
      <c r="D62" s="3"/>
      <c r="E62" s="2" t="s">
        <v>103</v>
      </c>
      <c r="F62" s="2"/>
      <c r="G62" s="2"/>
      <c r="H62" s="2" t="s">
        <v>138</v>
      </c>
      <c r="I62" s="2" t="s">
        <v>122</v>
      </c>
      <c r="J62" s="2" t="s">
        <v>111</v>
      </c>
      <c r="K62" s="2"/>
      <c r="L62" s="2" t="s">
        <v>191</v>
      </c>
      <c r="M62" s="2" t="s">
        <v>106</v>
      </c>
      <c r="N62" s="2" t="s">
        <v>206</v>
      </c>
      <c r="O62" s="2"/>
      <c r="P62" s="2"/>
      <c r="Q62" s="2" t="s">
        <v>232</v>
      </c>
      <c r="R62" s="2" t="s">
        <v>116</v>
      </c>
      <c r="S62" s="2" t="s">
        <v>292</v>
      </c>
      <c r="T62" s="2" t="s">
        <v>111</v>
      </c>
      <c r="U62" s="2" t="s">
        <v>122</v>
      </c>
      <c r="V62" s="2" t="s">
        <v>118</v>
      </c>
      <c r="W62" s="2"/>
      <c r="X62" s="2"/>
      <c r="Y62" s="2" t="s">
        <v>103</v>
      </c>
      <c r="Z62" s="2"/>
      <c r="AA62" s="2"/>
      <c r="AB62" s="2" t="s">
        <v>116</v>
      </c>
      <c r="AC62" s="2"/>
      <c r="AD62" s="2" t="s">
        <v>116</v>
      </c>
      <c r="AE62" s="2"/>
      <c r="AF62" s="2" t="s">
        <v>116</v>
      </c>
      <c r="AG62" s="2"/>
      <c r="AH62" s="2"/>
      <c r="AI62" s="2"/>
      <c r="AJ62" s="2" t="s">
        <v>114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 t="s">
        <v>103</v>
      </c>
      <c r="AW62" s="2" t="s">
        <v>151</v>
      </c>
      <c r="AX62" s="2"/>
      <c r="AY62" s="2" t="s">
        <v>293</v>
      </c>
      <c r="AZ62" s="2"/>
      <c r="BA62" s="2"/>
      <c r="BB62" s="2"/>
      <c r="BC62" s="2"/>
      <c r="BD62" s="2" t="s">
        <v>103</v>
      </c>
      <c r="BE62" s="2" t="s">
        <v>105</v>
      </c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 t="s">
        <v>139</v>
      </c>
      <c r="BX62" s="2"/>
      <c r="BY62" s="2"/>
      <c r="BZ62" s="2"/>
      <c r="CA62" s="2"/>
      <c r="CB62" s="2"/>
      <c r="CC62" s="2">
        <f t="shared" ref="CC62:CC63" si="4">1/2</f>
        <v>0.5</v>
      </c>
      <c r="CD62" s="2" t="s">
        <v>131</v>
      </c>
      <c r="CE62" s="2"/>
      <c r="CF62" s="2"/>
      <c r="CG62" s="2"/>
      <c r="CH62" s="2"/>
      <c r="CI62" s="2" t="s">
        <v>103</v>
      </c>
      <c r="CJ62" s="2" t="s">
        <v>105</v>
      </c>
      <c r="CK62" s="2" t="s">
        <v>136</v>
      </c>
      <c r="CL62" s="2"/>
      <c r="CM62" s="2"/>
      <c r="CN62" s="2"/>
      <c r="CO62" s="2" t="s">
        <v>182</v>
      </c>
      <c r="CP62" s="2"/>
      <c r="CQ62" s="2"/>
      <c r="CR62" s="2"/>
      <c r="CS62" s="2"/>
      <c r="CT62" s="2"/>
      <c r="CU62" s="2"/>
      <c r="CV62" s="2"/>
      <c r="CW62" s="2"/>
      <c r="CX62" s="2"/>
      <c r="CY62" s="2"/>
    </row>
    <row r="63" ht="15.75" customHeight="1">
      <c r="A63" s="2" t="s">
        <v>116</v>
      </c>
      <c r="B63" s="2" t="s">
        <v>121</v>
      </c>
      <c r="C63" s="3" t="s">
        <v>104</v>
      </c>
      <c r="D63" s="3"/>
      <c r="E63" s="2" t="s">
        <v>103</v>
      </c>
      <c r="F63" s="2"/>
      <c r="G63" s="2"/>
      <c r="H63" s="2" t="s">
        <v>105</v>
      </c>
      <c r="I63" s="2" t="s">
        <v>105</v>
      </c>
      <c r="J63" s="2" t="s">
        <v>123</v>
      </c>
      <c r="K63" s="2"/>
      <c r="L63" s="2" t="s">
        <v>294</v>
      </c>
      <c r="M63" s="2" t="s">
        <v>131</v>
      </c>
      <c r="N63" s="2" t="s">
        <v>293</v>
      </c>
      <c r="O63" s="2" t="s">
        <v>138</v>
      </c>
      <c r="P63" s="2" t="s">
        <v>106</v>
      </c>
      <c r="Q63" s="2" t="s">
        <v>133</v>
      </c>
      <c r="R63" s="2" t="s">
        <v>130</v>
      </c>
      <c r="S63" s="2" t="s">
        <v>120</v>
      </c>
      <c r="T63" s="2" t="s">
        <v>106</v>
      </c>
      <c r="U63" s="2" t="s">
        <v>105</v>
      </c>
      <c r="V63" s="2" t="s">
        <v>149</v>
      </c>
      <c r="W63" s="2"/>
      <c r="X63" s="2"/>
      <c r="Y63" s="2" t="s">
        <v>116</v>
      </c>
      <c r="Z63" s="2"/>
      <c r="AA63" s="2"/>
      <c r="AB63" s="2" t="s">
        <v>103</v>
      </c>
      <c r="AC63" s="2"/>
      <c r="AD63" s="2" t="s">
        <v>103</v>
      </c>
      <c r="AE63" s="2"/>
      <c r="AF63" s="2" t="s">
        <v>103</v>
      </c>
      <c r="AG63" s="2"/>
      <c r="AH63" s="2"/>
      <c r="AI63" s="2" t="s">
        <v>137</v>
      </c>
      <c r="AJ63" s="2" t="s">
        <v>120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 t="s">
        <v>122</v>
      </c>
      <c r="AX63" s="2"/>
      <c r="AY63" s="2" t="s">
        <v>229</v>
      </c>
      <c r="AZ63" s="2"/>
      <c r="BA63" s="2"/>
      <c r="BB63" s="2"/>
      <c r="BC63" s="2"/>
      <c r="BD63" s="2" t="s">
        <v>103</v>
      </c>
      <c r="BE63" s="2" t="s">
        <v>185</v>
      </c>
      <c r="BF63" s="2">
        <f>1/2</f>
        <v>0.5</v>
      </c>
      <c r="BG63" s="2" t="s">
        <v>142</v>
      </c>
      <c r="BH63" s="2"/>
      <c r="BI63" s="2"/>
      <c r="BJ63" s="2"/>
      <c r="BK63" s="2"/>
      <c r="BL63" s="2"/>
      <c r="BM63" s="2"/>
      <c r="BN63" s="2"/>
      <c r="BO63" s="2"/>
      <c r="BP63" s="2" t="s">
        <v>103</v>
      </c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>
        <f t="shared" si="4"/>
        <v>0.5</v>
      </c>
      <c r="CD63" s="2" t="s">
        <v>142</v>
      </c>
      <c r="CE63" s="2"/>
      <c r="CF63" s="2"/>
      <c r="CG63" s="2"/>
      <c r="CH63" s="2"/>
      <c r="CI63" s="2" t="s">
        <v>121</v>
      </c>
      <c r="CJ63" s="2" t="s">
        <v>133</v>
      </c>
      <c r="CK63" s="2" t="s">
        <v>155</v>
      </c>
      <c r="CL63" s="2"/>
      <c r="CM63" s="2"/>
      <c r="CN63" s="2"/>
      <c r="CO63" s="2" t="s">
        <v>121</v>
      </c>
      <c r="CP63" s="2"/>
      <c r="CQ63" s="2"/>
      <c r="CR63" s="2"/>
      <c r="CS63" s="2"/>
      <c r="CT63" s="2"/>
      <c r="CU63" s="2"/>
      <c r="CV63" s="2"/>
      <c r="CW63" s="2"/>
      <c r="CX63" s="2" t="s">
        <v>123</v>
      </c>
      <c r="CY63" s="2" t="s">
        <v>105</v>
      </c>
    </row>
    <row r="64" ht="15.75" customHeight="1">
      <c r="A64" s="2" t="s">
        <v>113</v>
      </c>
      <c r="B64" s="2" t="s">
        <v>121</v>
      </c>
      <c r="C64" s="3" t="s">
        <v>104</v>
      </c>
      <c r="D64" s="3"/>
      <c r="E64" s="2" t="s">
        <v>103</v>
      </c>
      <c r="F64" s="2"/>
      <c r="G64" s="2"/>
      <c r="H64" s="2" t="s">
        <v>109</v>
      </c>
      <c r="I64" s="2" t="s">
        <v>131</v>
      </c>
      <c r="J64" s="2" t="s">
        <v>138</v>
      </c>
      <c r="K64" s="2"/>
      <c r="L64" s="2" t="s">
        <v>214</v>
      </c>
      <c r="M64" s="2" t="s">
        <v>136</v>
      </c>
      <c r="N64" s="2" t="s">
        <v>178</v>
      </c>
      <c r="O64" s="2" t="s">
        <v>138</v>
      </c>
      <c r="P64" s="2" t="s">
        <v>130</v>
      </c>
      <c r="Q64" s="2" t="s">
        <v>142</v>
      </c>
      <c r="R64" s="2" t="s">
        <v>149</v>
      </c>
      <c r="S64" s="2" t="s">
        <v>295</v>
      </c>
      <c r="T64" s="2" t="s">
        <v>133</v>
      </c>
      <c r="U64" s="2" t="s">
        <v>109</v>
      </c>
      <c r="V64" s="2" t="s">
        <v>185</v>
      </c>
      <c r="W64" s="2"/>
      <c r="X64" s="2"/>
      <c r="Y64" s="2" t="s">
        <v>113</v>
      </c>
      <c r="Z64" s="2"/>
      <c r="AA64" s="2"/>
      <c r="AB64" s="2" t="s">
        <v>111</v>
      </c>
      <c r="AC64" s="2" t="s">
        <v>122</v>
      </c>
      <c r="AD64" s="2" t="s">
        <v>111</v>
      </c>
      <c r="AE64" s="2"/>
      <c r="AF64" s="2" t="s">
        <v>113</v>
      </c>
      <c r="AG64" s="2" t="s">
        <v>103</v>
      </c>
      <c r="AH64" s="2" t="s">
        <v>103</v>
      </c>
      <c r="AI64" s="2"/>
      <c r="AJ64" s="2" t="s">
        <v>189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 t="s">
        <v>133</v>
      </c>
      <c r="AX64" s="2"/>
      <c r="AY64" s="2" t="s">
        <v>281</v>
      </c>
      <c r="AZ64" s="2"/>
      <c r="BA64" s="2"/>
      <c r="BB64" s="2"/>
      <c r="BC64" s="2"/>
      <c r="BD64" s="4">
        <f>1 + (1/2)</f>
        <v>1.5</v>
      </c>
      <c r="BE64" s="2" t="s">
        <v>130</v>
      </c>
      <c r="BF64" s="2" t="s">
        <v>129</v>
      </c>
      <c r="BG64" s="2" t="s">
        <v>114</v>
      </c>
      <c r="BH64" s="2"/>
      <c r="BI64" s="2"/>
      <c r="BJ64" s="2" t="s">
        <v>103</v>
      </c>
      <c r="BK64" s="2" t="s">
        <v>112</v>
      </c>
      <c r="BL64" s="2"/>
      <c r="BM64" s="2"/>
      <c r="BN64" s="2"/>
      <c r="BO64" s="2"/>
      <c r="BP64" s="2" t="s">
        <v>130</v>
      </c>
      <c r="BQ64" s="2"/>
      <c r="BR64" s="2"/>
      <c r="BS64" s="2"/>
      <c r="BT64" s="2"/>
      <c r="BU64" s="2"/>
      <c r="BV64" s="2"/>
      <c r="BW64" s="2" t="s">
        <v>135</v>
      </c>
      <c r="BX64" s="2"/>
      <c r="BY64" s="2"/>
      <c r="BZ64" s="2"/>
      <c r="CA64" s="2"/>
      <c r="CB64" s="2"/>
      <c r="CC64" s="2" t="s">
        <v>113</v>
      </c>
      <c r="CD64" s="2" t="s">
        <v>126</v>
      </c>
      <c r="CE64" s="2"/>
      <c r="CF64" s="2"/>
      <c r="CG64" s="2"/>
      <c r="CH64" s="2"/>
      <c r="CI64" s="2"/>
      <c r="CJ64" s="2" t="s">
        <v>155</v>
      </c>
      <c r="CK64" s="2" t="s">
        <v>120</v>
      </c>
      <c r="CL64" s="2"/>
      <c r="CM64" s="2"/>
      <c r="CN64" s="2"/>
      <c r="CO64" s="2" t="s">
        <v>109</v>
      </c>
      <c r="CP64" s="2"/>
      <c r="CQ64" s="2"/>
      <c r="CR64" s="2"/>
      <c r="CS64" s="2"/>
      <c r="CT64" s="2"/>
      <c r="CU64" s="2"/>
      <c r="CV64" s="2"/>
      <c r="CW64" s="2"/>
      <c r="CX64" s="2" t="s">
        <v>123</v>
      </c>
      <c r="CY64" s="2" t="s">
        <v>105</v>
      </c>
    </row>
    <row r="65" ht="15.75" customHeight="1">
      <c r="A65" s="2" t="s">
        <v>122</v>
      </c>
      <c r="B65" s="2" t="s">
        <v>121</v>
      </c>
      <c r="C65" s="3" t="s">
        <v>104</v>
      </c>
      <c r="D65" s="3"/>
      <c r="E65" s="2" t="s">
        <v>103</v>
      </c>
      <c r="F65" s="2"/>
      <c r="G65" s="2"/>
      <c r="H65" s="2" t="s">
        <v>109</v>
      </c>
      <c r="I65" s="2" t="s">
        <v>296</v>
      </c>
      <c r="J65" s="2" t="s">
        <v>151</v>
      </c>
      <c r="K65" s="2"/>
      <c r="L65" s="2" t="s">
        <v>297</v>
      </c>
      <c r="M65" s="2" t="s">
        <v>135</v>
      </c>
      <c r="N65" s="2" t="s">
        <v>298</v>
      </c>
      <c r="O65" s="2" t="s">
        <v>138</v>
      </c>
      <c r="P65" s="2"/>
      <c r="Q65" s="2" t="s">
        <v>299</v>
      </c>
      <c r="R65" s="2" t="s">
        <v>115</v>
      </c>
      <c r="S65" s="2" t="s">
        <v>300</v>
      </c>
      <c r="T65" s="2" t="s">
        <v>155</v>
      </c>
      <c r="U65" s="2" t="s">
        <v>301</v>
      </c>
      <c r="V65" s="2" t="s">
        <v>184</v>
      </c>
      <c r="W65" s="2"/>
      <c r="X65" s="2"/>
      <c r="Y65" s="2" t="s">
        <v>122</v>
      </c>
      <c r="Z65" s="2"/>
      <c r="AA65" s="2" t="s">
        <v>116</v>
      </c>
      <c r="AB65" s="2" t="s">
        <v>130</v>
      </c>
      <c r="AC65" s="2" t="s">
        <v>150</v>
      </c>
      <c r="AD65" s="2" t="s">
        <v>129</v>
      </c>
      <c r="AE65" s="2"/>
      <c r="AF65" s="2"/>
      <c r="AG65" s="2"/>
      <c r="AH65" s="2"/>
      <c r="AI65" s="2"/>
      <c r="AJ65" s="2" t="s">
        <v>183</v>
      </c>
      <c r="AK65" s="2"/>
      <c r="AL65" s="2" t="s">
        <v>197</v>
      </c>
      <c r="AM65" s="2" t="s">
        <v>118</v>
      </c>
      <c r="AN65" s="2"/>
      <c r="AO65" s="2"/>
      <c r="AP65" s="2"/>
      <c r="AQ65" s="2"/>
      <c r="AR65" s="2" t="s">
        <v>122</v>
      </c>
      <c r="AS65" s="2"/>
      <c r="AT65" s="2" t="s">
        <v>197</v>
      </c>
      <c r="AU65" s="2" t="s">
        <v>302</v>
      </c>
      <c r="AV65" s="2" t="s">
        <v>116</v>
      </c>
      <c r="AW65" s="2" t="s">
        <v>105</v>
      </c>
      <c r="AX65" s="2"/>
      <c r="AY65" s="2" t="s">
        <v>303</v>
      </c>
      <c r="AZ65" s="2"/>
      <c r="BA65" s="2"/>
      <c r="BB65" s="2"/>
      <c r="BC65" s="2"/>
      <c r="BD65" s="2" t="s">
        <v>116</v>
      </c>
      <c r="BE65" s="2" t="s">
        <v>109</v>
      </c>
      <c r="BF65" s="2" t="s">
        <v>122</v>
      </c>
      <c r="BG65" s="2" t="s">
        <v>175</v>
      </c>
      <c r="BH65" s="2"/>
      <c r="BI65" s="2"/>
      <c r="BJ65" s="2"/>
      <c r="BK65" s="2"/>
      <c r="BL65" s="2"/>
      <c r="BM65" s="2"/>
      <c r="BN65" s="2"/>
      <c r="BO65" s="2"/>
      <c r="BP65" s="2" t="s">
        <v>122</v>
      </c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 t="s">
        <v>103</v>
      </c>
      <c r="CD65" s="2" t="s">
        <v>120</v>
      </c>
      <c r="CE65" s="2"/>
      <c r="CF65" s="2"/>
      <c r="CG65" s="2"/>
      <c r="CH65" s="2"/>
      <c r="CI65" s="2" t="s">
        <v>113</v>
      </c>
      <c r="CJ65" s="2" t="s">
        <v>109</v>
      </c>
      <c r="CK65" s="2" t="s">
        <v>131</v>
      </c>
      <c r="CL65" s="2"/>
      <c r="CM65" s="2"/>
      <c r="CN65" s="2"/>
      <c r="CO65" s="2" t="s">
        <v>121</v>
      </c>
      <c r="CP65" s="2"/>
      <c r="CQ65" s="2"/>
      <c r="CR65" s="2"/>
      <c r="CS65" s="2"/>
      <c r="CT65" s="2"/>
      <c r="CU65" s="2"/>
      <c r="CV65" s="2"/>
      <c r="CW65" s="2"/>
      <c r="CX65" s="2" t="s">
        <v>138</v>
      </c>
      <c r="CY65" s="2" t="s">
        <v>106</v>
      </c>
    </row>
    <row r="66" ht="15.75" customHeight="1">
      <c r="A66" s="2" t="s">
        <v>129</v>
      </c>
      <c r="B66" s="2" t="s">
        <v>121</v>
      </c>
      <c r="C66" s="3" t="s">
        <v>104</v>
      </c>
      <c r="D66" s="3"/>
      <c r="E66" s="2" t="s">
        <v>103</v>
      </c>
      <c r="F66" s="2"/>
      <c r="G66" s="2"/>
      <c r="H66" s="2" t="s">
        <v>105</v>
      </c>
      <c r="I66" s="2" t="s">
        <v>131</v>
      </c>
      <c r="J66" s="2" t="s">
        <v>143</v>
      </c>
      <c r="K66" s="2"/>
      <c r="L66" s="2" t="s">
        <v>304</v>
      </c>
      <c r="M66" s="2" t="s">
        <v>142</v>
      </c>
      <c r="N66" s="5" t="s">
        <v>305</v>
      </c>
      <c r="O66" s="2" t="s">
        <v>133</v>
      </c>
      <c r="P66" s="2"/>
      <c r="Q66" s="2" t="s">
        <v>244</v>
      </c>
      <c r="R66" s="2" t="s">
        <v>130</v>
      </c>
      <c r="S66" s="2" t="s">
        <v>200</v>
      </c>
      <c r="T66" s="2" t="s">
        <v>105</v>
      </c>
      <c r="U66" s="2" t="s">
        <v>107</v>
      </c>
      <c r="V66" s="2" t="s">
        <v>105</v>
      </c>
      <c r="W66" s="2"/>
      <c r="X66" s="2"/>
      <c r="Y66" s="2" t="s">
        <v>116</v>
      </c>
      <c r="Z66" s="2"/>
      <c r="AA66" s="2"/>
      <c r="AB66" s="2" t="s">
        <v>130</v>
      </c>
      <c r="AC66" s="2" t="s">
        <v>138</v>
      </c>
      <c r="AD66" s="2" t="s">
        <v>122</v>
      </c>
      <c r="AE66" s="2" t="s">
        <v>113</v>
      </c>
      <c r="AF66" s="2" t="s">
        <v>129</v>
      </c>
      <c r="AG66" s="2"/>
      <c r="AH66" s="2"/>
      <c r="AI66" s="2"/>
      <c r="AJ66" s="2" t="s">
        <v>306</v>
      </c>
      <c r="AK66" s="2" t="s">
        <v>197</v>
      </c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 t="s">
        <v>103</v>
      </c>
      <c r="AW66" s="2" t="s">
        <v>118</v>
      </c>
      <c r="AX66" s="2"/>
      <c r="AY66" s="2" t="s">
        <v>128</v>
      </c>
      <c r="AZ66" s="2"/>
      <c r="BA66" s="2"/>
      <c r="BB66" s="2"/>
      <c r="BC66" s="2"/>
      <c r="BD66" s="4">
        <f>1 + (1/2)</f>
        <v>1.5</v>
      </c>
      <c r="BE66" s="2" t="s">
        <v>229</v>
      </c>
      <c r="BF66" s="2" t="s">
        <v>116</v>
      </c>
      <c r="BG66" s="2" t="s">
        <v>137</v>
      </c>
      <c r="BH66" s="2"/>
      <c r="BI66" s="2"/>
      <c r="BJ66" s="2"/>
      <c r="BK66" s="2"/>
      <c r="BL66" s="2"/>
      <c r="BM66" s="2"/>
      <c r="BN66" s="2"/>
      <c r="BO66" s="2"/>
      <c r="BP66" s="2" t="s">
        <v>116</v>
      </c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 t="s">
        <v>103</v>
      </c>
      <c r="CD66" s="2" t="s">
        <v>131</v>
      </c>
      <c r="CE66" s="2"/>
      <c r="CF66" s="2"/>
      <c r="CG66" s="2"/>
      <c r="CH66" s="2"/>
      <c r="CI66" s="2" t="s">
        <v>116</v>
      </c>
      <c r="CJ66" s="2" t="s">
        <v>131</v>
      </c>
      <c r="CK66" s="2" t="s">
        <v>136</v>
      </c>
      <c r="CL66" s="2"/>
      <c r="CM66" s="2"/>
      <c r="CN66" s="2"/>
      <c r="CO66" s="2" t="s">
        <v>123</v>
      </c>
      <c r="CP66" s="2"/>
      <c r="CQ66" s="2"/>
      <c r="CR66" s="2"/>
      <c r="CS66" s="2"/>
      <c r="CT66" s="2"/>
      <c r="CU66" s="2"/>
      <c r="CV66" s="2"/>
      <c r="CW66" s="2"/>
      <c r="CX66" s="2" t="s">
        <v>138</v>
      </c>
      <c r="CY66" s="2" t="s">
        <v>106</v>
      </c>
    </row>
    <row r="67" ht="15.75" customHeight="1">
      <c r="A67" s="2" t="s">
        <v>130</v>
      </c>
      <c r="B67" s="2" t="s">
        <v>121</v>
      </c>
      <c r="C67" s="3" t="s">
        <v>104</v>
      </c>
      <c r="D67" s="3"/>
      <c r="E67" s="2" t="s">
        <v>103</v>
      </c>
      <c r="F67" s="2"/>
      <c r="G67" s="2"/>
      <c r="H67" s="2" t="s">
        <v>185</v>
      </c>
      <c r="I67" s="2" t="s">
        <v>197</v>
      </c>
      <c r="J67" s="2" t="s">
        <v>110</v>
      </c>
      <c r="K67" s="2"/>
      <c r="L67" s="2" t="s">
        <v>307</v>
      </c>
      <c r="M67" s="2" t="s">
        <v>181</v>
      </c>
      <c r="N67" s="2" t="s">
        <v>160</v>
      </c>
      <c r="O67" s="2" t="s">
        <v>105</v>
      </c>
      <c r="P67" s="2"/>
      <c r="Q67" s="2" t="s">
        <v>281</v>
      </c>
      <c r="R67" s="2" t="s">
        <v>219</v>
      </c>
      <c r="S67" s="2" t="s">
        <v>308</v>
      </c>
      <c r="T67" s="2" t="s">
        <v>110</v>
      </c>
      <c r="U67" s="2" t="s">
        <v>135</v>
      </c>
      <c r="V67" s="2" t="s">
        <v>137</v>
      </c>
      <c r="W67" s="2"/>
      <c r="X67" s="2"/>
      <c r="Y67" s="2" t="s">
        <v>150</v>
      </c>
      <c r="Z67" s="2"/>
      <c r="AA67" s="2"/>
      <c r="AB67" s="2" t="s">
        <v>144</v>
      </c>
      <c r="AC67" s="2" t="s">
        <v>150</v>
      </c>
      <c r="AD67" s="2" t="s">
        <v>145</v>
      </c>
      <c r="AE67" s="2"/>
      <c r="AF67" s="2" t="s">
        <v>121</v>
      </c>
      <c r="AG67" s="2" t="s">
        <v>122</v>
      </c>
      <c r="AH67" s="2" t="s">
        <v>103</v>
      </c>
      <c r="AI67" s="2"/>
      <c r="AJ67" s="2" t="s">
        <v>255</v>
      </c>
      <c r="AK67" s="2"/>
      <c r="AL67" s="2" t="s">
        <v>151</v>
      </c>
      <c r="AM67" s="2" t="s">
        <v>130</v>
      </c>
      <c r="AN67" s="2"/>
      <c r="AO67" s="2"/>
      <c r="AP67" s="2"/>
      <c r="AQ67" s="2"/>
      <c r="AR67" s="2" t="s">
        <v>103</v>
      </c>
      <c r="AS67" s="2"/>
      <c r="AT67" s="2" t="s">
        <v>151</v>
      </c>
      <c r="AU67" s="2" t="s">
        <v>309</v>
      </c>
      <c r="AV67" s="2" t="s">
        <v>113</v>
      </c>
      <c r="AW67" s="2" t="s">
        <v>133</v>
      </c>
      <c r="AX67" s="2"/>
      <c r="AY67" s="2" t="s">
        <v>136</v>
      </c>
      <c r="AZ67" s="2"/>
      <c r="BA67" s="2"/>
      <c r="BB67" s="2" t="s">
        <v>103</v>
      </c>
      <c r="BC67" s="2" t="s">
        <v>123</v>
      </c>
      <c r="BD67" s="2" t="s">
        <v>122</v>
      </c>
      <c r="BE67" s="2" t="s">
        <v>136</v>
      </c>
      <c r="BF67" s="6">
        <f>3 + (1/2)</f>
        <v>3.5</v>
      </c>
      <c r="BG67" s="2" t="s">
        <v>136</v>
      </c>
      <c r="BH67" s="2"/>
      <c r="BI67" s="2"/>
      <c r="BJ67" s="2"/>
      <c r="BK67" s="2"/>
      <c r="BL67" s="2"/>
      <c r="BM67" s="2"/>
      <c r="BN67" s="2"/>
      <c r="BO67" s="2"/>
      <c r="BP67" s="2" t="s">
        <v>122</v>
      </c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4">
        <f>1 + (1/2)</f>
        <v>1.5</v>
      </c>
      <c r="CD67" s="2" t="s">
        <v>175</v>
      </c>
      <c r="CE67" s="2"/>
      <c r="CF67" s="2"/>
      <c r="CG67" s="2"/>
      <c r="CH67" s="2"/>
      <c r="CI67" s="2" t="s">
        <v>116</v>
      </c>
      <c r="CJ67" s="2" t="s">
        <v>131</v>
      </c>
      <c r="CK67" s="2" t="s">
        <v>120</v>
      </c>
      <c r="CL67" s="2"/>
      <c r="CM67" s="2"/>
      <c r="CN67" s="2"/>
      <c r="CO67" s="2" t="s">
        <v>185</v>
      </c>
      <c r="CP67" s="2"/>
      <c r="CQ67" s="2"/>
      <c r="CR67" s="2"/>
      <c r="CS67" s="2"/>
      <c r="CT67" s="2"/>
      <c r="CU67" s="2"/>
      <c r="CV67" s="2"/>
      <c r="CW67" s="2"/>
      <c r="CX67" s="2" t="s">
        <v>109</v>
      </c>
      <c r="CY67" s="2" t="s">
        <v>184</v>
      </c>
    </row>
    <row r="68" ht="15.75" customHeight="1">
      <c r="A68" s="2" t="s">
        <v>121</v>
      </c>
      <c r="B68" s="2" t="s">
        <v>121</v>
      </c>
      <c r="C68" s="3" t="s">
        <v>104</v>
      </c>
      <c r="D68" s="3"/>
      <c r="E68" s="2" t="s">
        <v>103</v>
      </c>
      <c r="F68" s="2"/>
      <c r="G68" s="2"/>
      <c r="H68" s="2" t="s">
        <v>110</v>
      </c>
      <c r="I68" s="2" t="s">
        <v>310</v>
      </c>
      <c r="J68" s="2" t="s">
        <v>143</v>
      </c>
      <c r="K68" s="2"/>
      <c r="L68" s="2" t="s">
        <v>251</v>
      </c>
      <c r="M68" s="2" t="s">
        <v>137</v>
      </c>
      <c r="N68" s="2" t="s">
        <v>311</v>
      </c>
      <c r="O68" s="2" t="s">
        <v>145</v>
      </c>
      <c r="P68" s="2"/>
      <c r="Q68" s="2" t="s">
        <v>312</v>
      </c>
      <c r="R68" s="2" t="s">
        <v>244</v>
      </c>
      <c r="S68" s="2" t="s">
        <v>313</v>
      </c>
      <c r="T68" s="2" t="s">
        <v>182</v>
      </c>
      <c r="U68" s="2" t="s">
        <v>135</v>
      </c>
      <c r="V68" s="2" t="s">
        <v>155</v>
      </c>
      <c r="W68" s="2"/>
      <c r="X68" s="2"/>
      <c r="Y68" s="2" t="s">
        <v>116</v>
      </c>
      <c r="Z68" s="2"/>
      <c r="AA68" s="2"/>
      <c r="AB68" s="2" t="s">
        <v>118</v>
      </c>
      <c r="AC68" s="2" t="s">
        <v>111</v>
      </c>
      <c r="AD68" s="2" t="s">
        <v>112</v>
      </c>
      <c r="AE68" s="2"/>
      <c r="AF68" s="2" t="s">
        <v>145</v>
      </c>
      <c r="AG68" s="2" t="s">
        <v>121</v>
      </c>
      <c r="AH68" s="2"/>
      <c r="AI68" s="2"/>
      <c r="AJ68" s="2" t="s">
        <v>314</v>
      </c>
      <c r="AK68" s="2" t="s">
        <v>141</v>
      </c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 t="s">
        <v>113</v>
      </c>
      <c r="AW68" s="2" t="s">
        <v>149</v>
      </c>
      <c r="AX68" s="2"/>
      <c r="AY68" s="2" t="s">
        <v>256</v>
      </c>
      <c r="AZ68" s="2"/>
      <c r="BA68" s="2"/>
      <c r="BB68" s="2"/>
      <c r="BC68" s="2"/>
      <c r="BD68" s="4">
        <f>1 + (1/2)</f>
        <v>1.5</v>
      </c>
      <c r="BE68" s="2" t="s">
        <v>110</v>
      </c>
      <c r="BF68" s="6">
        <f>4 + (1/2)</f>
        <v>4.5</v>
      </c>
      <c r="BG68" s="2" t="s">
        <v>120</v>
      </c>
      <c r="BH68" s="2"/>
      <c r="BI68" s="2"/>
      <c r="BJ68" s="2"/>
      <c r="BK68" s="2"/>
      <c r="BL68" s="2"/>
      <c r="BM68" s="2"/>
      <c r="BN68" s="2"/>
      <c r="BO68" s="2"/>
      <c r="BP68" s="2" t="s">
        <v>122</v>
      </c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 t="s">
        <v>103</v>
      </c>
      <c r="CD68" s="2" t="s">
        <v>135</v>
      </c>
      <c r="CE68" s="2"/>
      <c r="CF68" s="2"/>
      <c r="CG68" s="2"/>
      <c r="CH68" s="2"/>
      <c r="CI68" s="2" t="s">
        <v>116</v>
      </c>
      <c r="CJ68" s="2" t="s">
        <v>135</v>
      </c>
      <c r="CK68" s="2" t="s">
        <v>120</v>
      </c>
      <c r="CL68" s="2"/>
      <c r="CM68" s="2"/>
      <c r="CN68" s="2"/>
      <c r="CO68" s="2" t="s">
        <v>133</v>
      </c>
      <c r="CP68" s="2"/>
      <c r="CQ68" s="2"/>
      <c r="CR68" s="2"/>
      <c r="CS68" s="2"/>
      <c r="CT68" s="2"/>
      <c r="CU68" s="2"/>
      <c r="CV68" s="2" t="s">
        <v>131</v>
      </c>
      <c r="CW68" s="2"/>
      <c r="CX68" s="2" t="s">
        <v>118</v>
      </c>
      <c r="CY68" s="2" t="s">
        <v>151</v>
      </c>
    </row>
    <row r="69" ht="15.75" customHeight="1">
      <c r="A69" s="2" t="s">
        <v>111</v>
      </c>
      <c r="B69" s="2" t="s">
        <v>121</v>
      </c>
      <c r="C69" s="3" t="s">
        <v>104</v>
      </c>
      <c r="D69" s="3"/>
      <c r="E69" s="2" t="s">
        <v>103</v>
      </c>
      <c r="F69" s="2"/>
      <c r="G69" s="2"/>
      <c r="H69" s="2" t="s">
        <v>149</v>
      </c>
      <c r="I69" s="2" t="s">
        <v>315</v>
      </c>
      <c r="J69" s="2" t="s">
        <v>157</v>
      </c>
      <c r="K69" s="2"/>
      <c r="L69" s="2" t="s">
        <v>267</v>
      </c>
      <c r="M69" s="2" t="s">
        <v>187</v>
      </c>
      <c r="N69" s="2" t="s">
        <v>316</v>
      </c>
      <c r="O69" s="2" t="s">
        <v>116</v>
      </c>
      <c r="P69" s="2"/>
      <c r="Q69" s="2" t="s">
        <v>155</v>
      </c>
      <c r="R69" s="2" t="s">
        <v>143</v>
      </c>
      <c r="S69" s="2" t="s">
        <v>317</v>
      </c>
      <c r="T69" s="2" t="s">
        <v>171</v>
      </c>
      <c r="U69" s="2" t="s">
        <v>318</v>
      </c>
      <c r="V69" s="2" t="s">
        <v>133</v>
      </c>
      <c r="W69" s="2"/>
      <c r="X69" s="2"/>
      <c r="Y69" s="2" t="s">
        <v>116</v>
      </c>
      <c r="Z69" s="2"/>
      <c r="AA69" s="2"/>
      <c r="AB69" s="2" t="s">
        <v>130</v>
      </c>
      <c r="AC69" s="2" t="s">
        <v>103</v>
      </c>
      <c r="AD69" s="2" t="s">
        <v>129</v>
      </c>
      <c r="AE69" s="2"/>
      <c r="AF69" s="2" t="s">
        <v>129</v>
      </c>
      <c r="AG69" s="2"/>
      <c r="AH69" s="2"/>
      <c r="AI69" s="2"/>
      <c r="AJ69" s="2" t="s">
        <v>281</v>
      </c>
      <c r="AK69" s="2"/>
      <c r="AL69" s="2" t="s">
        <v>319</v>
      </c>
      <c r="AM69" s="2" t="s">
        <v>232</v>
      </c>
      <c r="AN69" s="2"/>
      <c r="AO69" s="2"/>
      <c r="AP69" s="2" t="s">
        <v>103</v>
      </c>
      <c r="AQ69" s="2"/>
      <c r="AR69" s="2" t="s">
        <v>103</v>
      </c>
      <c r="AS69" s="2"/>
      <c r="AT69" s="2" t="s">
        <v>319</v>
      </c>
      <c r="AU69" s="2" t="s">
        <v>320</v>
      </c>
      <c r="AV69" s="2" t="s">
        <v>103</v>
      </c>
      <c r="AW69" s="2" t="s">
        <v>148</v>
      </c>
      <c r="AX69" s="2"/>
      <c r="AY69" s="2" t="s">
        <v>137</v>
      </c>
      <c r="AZ69" s="2"/>
      <c r="BA69" s="2"/>
      <c r="BB69" s="2"/>
      <c r="BC69" s="2"/>
      <c r="BD69" s="2" t="s">
        <v>122</v>
      </c>
      <c r="BE69" s="2" t="s">
        <v>175</v>
      </c>
      <c r="BF69" s="2" t="s">
        <v>130</v>
      </c>
      <c r="BG69" s="2" t="s">
        <v>281</v>
      </c>
      <c r="BH69" s="2"/>
      <c r="BI69" s="2"/>
      <c r="BJ69" s="2"/>
      <c r="BK69" s="2"/>
      <c r="BL69" s="2"/>
      <c r="BM69" s="2"/>
      <c r="BN69" s="2"/>
      <c r="BO69" s="2"/>
      <c r="BP69" s="2" t="s">
        <v>130</v>
      </c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 t="s">
        <v>116</v>
      </c>
      <c r="CD69" s="2" t="s">
        <v>181</v>
      </c>
      <c r="CE69" s="2"/>
      <c r="CF69" s="2"/>
      <c r="CG69" s="2"/>
      <c r="CH69" s="2"/>
      <c r="CI69" s="2" t="s">
        <v>113</v>
      </c>
      <c r="CJ69" s="2" t="s">
        <v>135</v>
      </c>
      <c r="CK69" s="2" t="s">
        <v>120</v>
      </c>
      <c r="CL69" s="2"/>
      <c r="CM69" s="2"/>
      <c r="CN69" s="2"/>
      <c r="CO69" s="2" t="s">
        <v>106</v>
      </c>
      <c r="CP69" s="2"/>
      <c r="CQ69" s="2"/>
      <c r="CR69" s="2"/>
      <c r="CS69" s="2"/>
      <c r="CT69" s="2"/>
      <c r="CU69" s="2"/>
      <c r="CV69" s="2"/>
      <c r="CW69" s="2"/>
      <c r="CX69" s="2" t="s">
        <v>133</v>
      </c>
      <c r="CY69" s="2" t="s">
        <v>131</v>
      </c>
    </row>
    <row r="70" ht="15.75" customHeight="1">
      <c r="A70" s="2" t="s">
        <v>150</v>
      </c>
      <c r="B70" s="2" t="s">
        <v>121</v>
      </c>
      <c r="C70" s="3" t="s">
        <v>104</v>
      </c>
      <c r="D70" s="3"/>
      <c r="E70" s="2"/>
      <c r="F70" s="2" t="s">
        <v>103</v>
      </c>
      <c r="G70" s="2"/>
      <c r="H70" s="2" t="s">
        <v>133</v>
      </c>
      <c r="I70" s="2" t="s">
        <v>133</v>
      </c>
      <c r="J70" s="2" t="s">
        <v>122</v>
      </c>
      <c r="K70" s="2"/>
      <c r="L70" s="2" t="s">
        <v>160</v>
      </c>
      <c r="M70" s="2" t="s">
        <v>142</v>
      </c>
      <c r="N70" s="2" t="s">
        <v>256</v>
      </c>
      <c r="O70" s="2" t="s">
        <v>116</v>
      </c>
      <c r="P70" s="2"/>
      <c r="Q70" s="2"/>
      <c r="R70" s="2"/>
      <c r="S70" s="2" t="s">
        <v>230</v>
      </c>
      <c r="T70" s="2" t="s">
        <v>138</v>
      </c>
      <c r="U70" s="2" t="s">
        <v>133</v>
      </c>
      <c r="V70" s="2" t="s">
        <v>111</v>
      </c>
      <c r="W70" s="2"/>
      <c r="X70" s="2"/>
      <c r="Y70" s="2" t="s">
        <v>116</v>
      </c>
      <c r="Z70" s="2"/>
      <c r="AA70" s="2"/>
      <c r="AB70" s="2" t="s">
        <v>122</v>
      </c>
      <c r="AC70" s="2"/>
      <c r="AD70" s="2" t="s">
        <v>122</v>
      </c>
      <c r="AE70" s="2"/>
      <c r="AF70" s="2"/>
      <c r="AG70" s="2"/>
      <c r="AH70" s="2"/>
      <c r="AI70" s="2"/>
      <c r="AJ70" s="2" t="s">
        <v>183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 t="s">
        <v>103</v>
      </c>
      <c r="AW70" s="2" t="s">
        <v>105</v>
      </c>
      <c r="AX70" s="2"/>
      <c r="AY70" s="2" t="s">
        <v>321</v>
      </c>
      <c r="AZ70" s="2"/>
      <c r="BA70" s="2"/>
      <c r="BB70" s="2"/>
      <c r="BC70" s="2"/>
      <c r="BD70" s="2" t="s">
        <v>111</v>
      </c>
      <c r="BE70" s="2" t="s">
        <v>136</v>
      </c>
      <c r="BF70" s="2" t="s">
        <v>122</v>
      </c>
      <c r="BG70" s="2" t="s">
        <v>135</v>
      </c>
      <c r="BH70" s="2"/>
      <c r="BI70" s="2"/>
      <c r="BJ70" s="2"/>
      <c r="BK70" s="2"/>
      <c r="BL70" s="2"/>
      <c r="BM70" s="2"/>
      <c r="BN70" s="2"/>
      <c r="BO70" s="2"/>
      <c r="BP70" s="2" t="s">
        <v>122</v>
      </c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>
        <f>1/2</f>
        <v>0.5</v>
      </c>
      <c r="CD70" s="2" t="s">
        <v>131</v>
      </c>
      <c r="CE70" s="2"/>
      <c r="CF70" s="2"/>
      <c r="CG70" s="2"/>
      <c r="CH70" s="2"/>
      <c r="CI70" s="2" t="s">
        <v>103</v>
      </c>
      <c r="CJ70" s="2" t="s">
        <v>109</v>
      </c>
      <c r="CK70" s="2" t="s">
        <v>322</v>
      </c>
      <c r="CL70" s="2"/>
      <c r="CM70" s="2"/>
      <c r="CN70" s="2"/>
      <c r="CO70" s="2" t="s">
        <v>143</v>
      </c>
      <c r="CP70" s="2"/>
      <c r="CQ70" s="2"/>
      <c r="CR70" s="2"/>
      <c r="CS70" s="2"/>
      <c r="CT70" s="2"/>
      <c r="CU70" s="2"/>
      <c r="CV70" s="2"/>
      <c r="CW70" s="2"/>
      <c r="CX70" s="2"/>
      <c r="CY70" s="2"/>
    </row>
    <row r="71" ht="15.75" customHeight="1">
      <c r="A71" s="2" t="s">
        <v>138</v>
      </c>
      <c r="B71" s="2" t="s">
        <v>121</v>
      </c>
      <c r="C71" s="3" t="s">
        <v>104</v>
      </c>
      <c r="D71" s="3"/>
      <c r="E71" s="2" t="s">
        <v>103</v>
      </c>
      <c r="F71" s="2"/>
      <c r="G71" s="2"/>
      <c r="H71" s="2" t="s">
        <v>105</v>
      </c>
      <c r="I71" s="2" t="s">
        <v>323</v>
      </c>
      <c r="J71" s="2" t="s">
        <v>138</v>
      </c>
      <c r="K71" s="2"/>
      <c r="L71" s="2" t="s">
        <v>304</v>
      </c>
      <c r="M71" s="2" t="s">
        <v>187</v>
      </c>
      <c r="N71" s="2" t="s">
        <v>324</v>
      </c>
      <c r="O71" s="2" t="s">
        <v>129</v>
      </c>
      <c r="P71" s="2"/>
      <c r="Q71" s="2"/>
      <c r="R71" s="2"/>
      <c r="S71" s="2" t="s">
        <v>325</v>
      </c>
      <c r="T71" s="2" t="s">
        <v>166</v>
      </c>
      <c r="U71" s="2" t="s">
        <v>182</v>
      </c>
      <c r="V71" s="2" t="s">
        <v>105</v>
      </c>
      <c r="W71" s="2"/>
      <c r="X71" s="2"/>
      <c r="Y71" s="2" t="s">
        <v>113</v>
      </c>
      <c r="Z71" s="2"/>
      <c r="AA71" s="2"/>
      <c r="AB71" s="2" t="s">
        <v>118</v>
      </c>
      <c r="AC71" s="2" t="s">
        <v>129</v>
      </c>
      <c r="AD71" s="2" t="s">
        <v>121</v>
      </c>
      <c r="AE71" s="2" t="s">
        <v>122</v>
      </c>
      <c r="AF71" s="2" t="s">
        <v>116</v>
      </c>
      <c r="AG71" s="2" t="s">
        <v>116</v>
      </c>
      <c r="AH71" s="2"/>
      <c r="AI71" s="2"/>
      <c r="AJ71" s="2" t="s">
        <v>326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 t="s">
        <v>122</v>
      </c>
      <c r="AW71" s="2" t="s">
        <v>133</v>
      </c>
      <c r="AX71" s="2"/>
      <c r="AY71" s="2" t="s">
        <v>327</v>
      </c>
      <c r="AZ71" s="2"/>
      <c r="BA71" s="2"/>
      <c r="BB71" s="4">
        <f>1 + (1/2)</f>
        <v>1.5</v>
      </c>
      <c r="BC71" s="2" t="s">
        <v>123</v>
      </c>
      <c r="BD71" s="2">
        <f>1/2</f>
        <v>0.5</v>
      </c>
      <c r="BE71" s="2" t="s">
        <v>109</v>
      </c>
      <c r="BF71" s="2" t="s">
        <v>103</v>
      </c>
      <c r="BG71" s="2" t="s">
        <v>106</v>
      </c>
      <c r="BH71" s="4">
        <f>1 + (1/2)</f>
        <v>1.5</v>
      </c>
      <c r="BI71" s="2" t="s">
        <v>123</v>
      </c>
      <c r="BJ71" s="4">
        <f>1 + (1/2)</f>
        <v>1.5</v>
      </c>
      <c r="BK71" s="2" t="s">
        <v>123</v>
      </c>
      <c r="BL71" s="2"/>
      <c r="BM71" s="2"/>
      <c r="BN71" s="2"/>
      <c r="BO71" s="2"/>
      <c r="BP71" s="2" t="s">
        <v>122</v>
      </c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4">
        <f>1 + (1/2)</f>
        <v>1.5</v>
      </c>
      <c r="CD71" s="2" t="s">
        <v>136</v>
      </c>
      <c r="CE71" s="2"/>
      <c r="CF71" s="2"/>
      <c r="CG71" s="2"/>
      <c r="CH71" s="2"/>
      <c r="CI71" s="2" t="s">
        <v>103</v>
      </c>
      <c r="CJ71" s="2" t="s">
        <v>217</v>
      </c>
      <c r="CK71" s="2" t="s">
        <v>186</v>
      </c>
      <c r="CL71" s="2"/>
      <c r="CM71" s="2"/>
      <c r="CN71" s="2"/>
      <c r="CO71" s="2" t="s">
        <v>106</v>
      </c>
      <c r="CP71" s="2"/>
      <c r="CQ71" s="2"/>
      <c r="CR71" s="2"/>
      <c r="CS71" s="2"/>
      <c r="CT71" s="2"/>
      <c r="CU71" s="2"/>
      <c r="CV71" s="2"/>
      <c r="CW71" s="2"/>
      <c r="CX71" s="2" t="s">
        <v>112</v>
      </c>
      <c r="CY71" s="2" t="s">
        <v>166</v>
      </c>
    </row>
    <row r="72" ht="15.75" customHeight="1">
      <c r="A72" s="2" t="s">
        <v>103</v>
      </c>
      <c r="B72" s="2" t="s">
        <v>111</v>
      </c>
      <c r="C72" s="3" t="s">
        <v>104</v>
      </c>
      <c r="D72" s="3"/>
      <c r="E72" s="2" t="s">
        <v>103</v>
      </c>
      <c r="F72" s="2"/>
      <c r="G72" s="2"/>
      <c r="H72" s="2" t="s">
        <v>110</v>
      </c>
      <c r="I72" s="2" t="s">
        <v>162</v>
      </c>
      <c r="J72" s="2" t="s">
        <v>130</v>
      </c>
      <c r="K72" s="2"/>
      <c r="L72" s="2" t="s">
        <v>194</v>
      </c>
      <c r="M72" s="2" t="s">
        <v>136</v>
      </c>
      <c r="N72" s="2" t="s">
        <v>328</v>
      </c>
      <c r="O72" s="2" t="s">
        <v>133</v>
      </c>
      <c r="P72" s="2"/>
      <c r="Q72" s="2" t="s">
        <v>157</v>
      </c>
      <c r="R72" s="2" t="s">
        <v>122</v>
      </c>
      <c r="S72" s="2" t="s">
        <v>329</v>
      </c>
      <c r="T72" s="2" t="s">
        <v>185</v>
      </c>
      <c r="U72" s="2" t="s">
        <v>162</v>
      </c>
      <c r="V72" s="2" t="s">
        <v>105</v>
      </c>
      <c r="W72" s="2"/>
      <c r="X72" s="2"/>
      <c r="Y72" s="2" t="s">
        <v>113</v>
      </c>
      <c r="Z72" s="2"/>
      <c r="AA72" s="2"/>
      <c r="AB72" s="2" t="s">
        <v>111</v>
      </c>
      <c r="AC72" s="2" t="s">
        <v>121</v>
      </c>
      <c r="AD72" s="2" t="s">
        <v>130</v>
      </c>
      <c r="AE72" s="2"/>
      <c r="AF72" s="2" t="s">
        <v>121</v>
      </c>
      <c r="AG72" s="2" t="s">
        <v>116</v>
      </c>
      <c r="AH72" s="2" t="s">
        <v>103</v>
      </c>
      <c r="AI72" s="2"/>
      <c r="AJ72" s="2" t="s">
        <v>330</v>
      </c>
      <c r="AK72" s="2"/>
      <c r="AL72" s="2" t="s">
        <v>103</v>
      </c>
      <c r="AM72" s="2"/>
      <c r="AN72" s="2"/>
      <c r="AO72" s="2"/>
      <c r="AP72" s="2"/>
      <c r="AQ72" s="2"/>
      <c r="AR72" s="2"/>
      <c r="AS72" s="2"/>
      <c r="AT72" s="2" t="s">
        <v>103</v>
      </c>
      <c r="AU72" s="2" t="s">
        <v>129</v>
      </c>
      <c r="AV72" s="2"/>
      <c r="AW72" s="2" t="s">
        <v>112</v>
      </c>
      <c r="AX72" s="2"/>
      <c r="AY72" s="2" t="s">
        <v>331</v>
      </c>
      <c r="AZ72" s="2"/>
      <c r="BA72" s="2"/>
      <c r="BB72" s="2">
        <f>3/4</f>
        <v>0.75</v>
      </c>
      <c r="BC72" s="2" t="s">
        <v>130</v>
      </c>
      <c r="BD72" s="2" t="s">
        <v>122</v>
      </c>
      <c r="BE72" s="2" t="s">
        <v>187</v>
      </c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 t="s">
        <v>113</v>
      </c>
      <c r="CD72" s="2" t="s">
        <v>181</v>
      </c>
      <c r="CE72" s="2"/>
      <c r="CF72" s="2"/>
      <c r="CG72" s="2"/>
      <c r="CH72" s="2"/>
      <c r="CI72" s="2" t="s">
        <v>103</v>
      </c>
      <c r="CJ72" s="2" t="s">
        <v>109</v>
      </c>
      <c r="CK72" s="2" t="s">
        <v>120</v>
      </c>
      <c r="CL72" s="2"/>
      <c r="CM72" s="2"/>
      <c r="CN72" s="2"/>
      <c r="CO72" s="2" t="s">
        <v>109</v>
      </c>
      <c r="CP72" s="2"/>
      <c r="CQ72" s="2"/>
      <c r="CR72" s="2"/>
      <c r="CS72" s="2"/>
      <c r="CT72" s="2"/>
      <c r="CU72" s="2"/>
      <c r="CV72" s="2"/>
      <c r="CW72" s="2"/>
      <c r="CX72" s="2" t="s">
        <v>106</v>
      </c>
      <c r="CY72" s="2" t="s">
        <v>109</v>
      </c>
    </row>
    <row r="73" ht="15.75" customHeight="1">
      <c r="A73" s="2" t="s">
        <v>116</v>
      </c>
      <c r="B73" s="2" t="s">
        <v>111</v>
      </c>
      <c r="C73" s="3" t="s">
        <v>104</v>
      </c>
      <c r="D73" s="3"/>
      <c r="E73" s="2" t="s">
        <v>103</v>
      </c>
      <c r="F73" s="2"/>
      <c r="G73" s="2"/>
      <c r="H73" s="2" t="s">
        <v>150</v>
      </c>
      <c r="I73" s="2" t="s">
        <v>113</v>
      </c>
      <c r="J73" s="2" t="s">
        <v>122</v>
      </c>
      <c r="K73" s="2"/>
      <c r="L73" s="2" t="s">
        <v>108</v>
      </c>
      <c r="M73" s="2"/>
      <c r="N73" s="2" t="s">
        <v>142</v>
      </c>
      <c r="O73" s="2" t="s">
        <v>122</v>
      </c>
      <c r="P73" s="2"/>
      <c r="Q73" s="2"/>
      <c r="R73" s="2"/>
      <c r="S73" s="2" t="s">
        <v>322</v>
      </c>
      <c r="T73" s="2" t="s">
        <v>111</v>
      </c>
      <c r="U73" s="2" t="s">
        <v>103</v>
      </c>
      <c r="V73" s="2" t="s">
        <v>144</v>
      </c>
      <c r="W73" s="2"/>
      <c r="X73" s="2"/>
      <c r="Y73" s="2" t="s">
        <v>103</v>
      </c>
      <c r="Z73" s="2"/>
      <c r="AA73" s="2"/>
      <c r="AB73" s="2" t="s">
        <v>103</v>
      </c>
      <c r="AC73" s="2"/>
      <c r="AD73" s="2" t="s">
        <v>103</v>
      </c>
      <c r="AE73" s="2"/>
      <c r="AF73" s="5" t="s">
        <v>121</v>
      </c>
      <c r="AG73" s="2"/>
      <c r="AH73" s="2"/>
      <c r="AI73" s="2"/>
      <c r="AJ73" s="2" t="s">
        <v>136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>
        <f>3/4</f>
        <v>0.75</v>
      </c>
      <c r="BE73" s="2" t="s">
        <v>118</v>
      </c>
      <c r="BF73" s="2" t="s">
        <v>103</v>
      </c>
      <c r="BG73" s="2" t="s">
        <v>174</v>
      </c>
      <c r="BH73" s="2"/>
      <c r="BI73" s="2"/>
      <c r="BJ73" s="2"/>
      <c r="BK73" s="2"/>
      <c r="BL73" s="2"/>
      <c r="BM73" s="2"/>
      <c r="BN73" s="2"/>
      <c r="BO73" s="2"/>
      <c r="BP73" s="2" t="s">
        <v>103</v>
      </c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>
        <f>1/2</f>
        <v>0.5</v>
      </c>
      <c r="CD73" s="2" t="s">
        <v>195</v>
      </c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 t="s">
        <v>122</v>
      </c>
      <c r="CY73" s="2" t="s">
        <v>149</v>
      </c>
    </row>
    <row r="74" ht="15.75" customHeight="1">
      <c r="A74" s="2" t="s">
        <v>113</v>
      </c>
      <c r="B74" s="2" t="s">
        <v>111</v>
      </c>
      <c r="C74" s="3" t="s">
        <v>104</v>
      </c>
      <c r="D74" s="3"/>
      <c r="E74" s="2" t="s">
        <v>103</v>
      </c>
      <c r="F74" s="2"/>
      <c r="G74" s="2"/>
      <c r="H74" s="2" t="s">
        <v>136</v>
      </c>
      <c r="I74" s="2" t="s">
        <v>186</v>
      </c>
      <c r="J74" s="2" t="s">
        <v>184</v>
      </c>
      <c r="K74" s="2"/>
      <c r="L74" s="2" t="s">
        <v>332</v>
      </c>
      <c r="M74" s="2" t="s">
        <v>126</v>
      </c>
      <c r="N74" s="2" t="s">
        <v>333</v>
      </c>
      <c r="O74" s="2" t="s">
        <v>110</v>
      </c>
      <c r="P74" s="2" t="s">
        <v>105</v>
      </c>
      <c r="Q74" s="2" t="s">
        <v>334</v>
      </c>
      <c r="R74" s="2" t="s">
        <v>335</v>
      </c>
      <c r="S74" s="2" t="s">
        <v>336</v>
      </c>
      <c r="T74" s="2" t="s">
        <v>120</v>
      </c>
      <c r="U74" s="2" t="s">
        <v>321</v>
      </c>
      <c r="V74" s="2" t="s">
        <v>181</v>
      </c>
      <c r="W74" s="2"/>
      <c r="X74" s="2"/>
      <c r="Y74" s="2" t="s">
        <v>150</v>
      </c>
      <c r="Z74" s="2"/>
      <c r="AA74" s="2" t="s">
        <v>122</v>
      </c>
      <c r="AB74" s="2" t="s">
        <v>144</v>
      </c>
      <c r="AC74" s="2" t="s">
        <v>131</v>
      </c>
      <c r="AD74" s="2" t="s">
        <v>123</v>
      </c>
      <c r="AE74" s="2" t="s">
        <v>106</v>
      </c>
      <c r="AF74" s="2" t="s">
        <v>109</v>
      </c>
      <c r="AG74" s="2"/>
      <c r="AH74" s="2"/>
      <c r="AI74" s="2"/>
      <c r="AJ74" s="2" t="s">
        <v>160</v>
      </c>
      <c r="AK74" s="2"/>
      <c r="AL74" s="2" t="s">
        <v>181</v>
      </c>
      <c r="AM74" s="2" t="s">
        <v>131</v>
      </c>
      <c r="AN74" s="5" t="s">
        <v>131</v>
      </c>
      <c r="AO74" s="2"/>
      <c r="AP74" s="2"/>
      <c r="AQ74" s="2"/>
      <c r="AR74" s="2" t="s">
        <v>123</v>
      </c>
      <c r="AS74" s="2"/>
      <c r="AT74" s="2" t="s">
        <v>181</v>
      </c>
      <c r="AU74" s="2" t="s">
        <v>153</v>
      </c>
      <c r="AV74" s="2" t="s">
        <v>113</v>
      </c>
      <c r="AW74" s="2" t="s">
        <v>131</v>
      </c>
      <c r="AX74" s="2"/>
      <c r="AY74" s="2" t="s">
        <v>132</v>
      </c>
      <c r="AZ74" s="2"/>
      <c r="BA74" s="2"/>
      <c r="BB74" s="2"/>
      <c r="BC74" s="2"/>
      <c r="BD74" s="2" t="s">
        <v>121</v>
      </c>
      <c r="BE74" s="2" t="s">
        <v>337</v>
      </c>
      <c r="BF74" s="2" t="s">
        <v>138</v>
      </c>
      <c r="BG74" s="2" t="s">
        <v>268</v>
      </c>
      <c r="BH74" s="2"/>
      <c r="BI74" s="2"/>
      <c r="BJ74" s="2" t="s">
        <v>113</v>
      </c>
      <c r="BK74" s="2" t="s">
        <v>131</v>
      </c>
      <c r="BL74" s="2"/>
      <c r="BM74" s="2"/>
      <c r="BN74" s="2"/>
      <c r="BO74" s="2"/>
      <c r="BP74" s="2" t="s">
        <v>145</v>
      </c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 t="s">
        <v>122</v>
      </c>
      <c r="CD74" s="2" t="s">
        <v>139</v>
      </c>
      <c r="CE74" s="2"/>
      <c r="CF74" s="2"/>
      <c r="CG74" s="2"/>
      <c r="CH74" s="2"/>
      <c r="CI74" s="2" t="s">
        <v>113</v>
      </c>
      <c r="CJ74" s="2" t="s">
        <v>120</v>
      </c>
      <c r="CK74" s="2" t="s">
        <v>338</v>
      </c>
      <c r="CL74" s="2"/>
      <c r="CM74" s="2"/>
      <c r="CN74" s="2"/>
      <c r="CO74" s="2" t="s">
        <v>339</v>
      </c>
      <c r="CP74" s="2"/>
      <c r="CQ74" s="2"/>
      <c r="CR74" s="2"/>
      <c r="CS74" s="2"/>
      <c r="CT74" s="2"/>
      <c r="CU74" s="2"/>
      <c r="CV74" s="2"/>
      <c r="CW74" s="2"/>
      <c r="CX74" s="2" t="s">
        <v>137</v>
      </c>
      <c r="CY74" s="2" t="s">
        <v>136</v>
      </c>
    </row>
    <row r="75" ht="15.75" customHeight="1">
      <c r="A75" s="2" t="s">
        <v>122</v>
      </c>
      <c r="B75" s="2" t="s">
        <v>111</v>
      </c>
      <c r="C75" s="3" t="s">
        <v>104</v>
      </c>
      <c r="D75" s="3"/>
      <c r="E75" s="2"/>
      <c r="F75" s="2" t="s">
        <v>103</v>
      </c>
      <c r="G75" s="2"/>
      <c r="H75" s="2" t="s">
        <v>144</v>
      </c>
      <c r="I75" s="2" t="s">
        <v>232</v>
      </c>
      <c r="J75" s="2" t="s">
        <v>130</v>
      </c>
      <c r="K75" s="2"/>
      <c r="L75" s="2" t="s">
        <v>160</v>
      </c>
      <c r="M75" s="2" t="s">
        <v>142</v>
      </c>
      <c r="N75" s="2" t="s">
        <v>340</v>
      </c>
      <c r="O75" s="2" t="s">
        <v>129</v>
      </c>
      <c r="P75" s="2"/>
      <c r="Q75" s="2"/>
      <c r="R75" s="2"/>
      <c r="S75" s="2" t="s">
        <v>341</v>
      </c>
      <c r="T75" s="2" t="s">
        <v>113</v>
      </c>
      <c r="U75" s="2" t="s">
        <v>232</v>
      </c>
      <c r="V75" s="2" t="s">
        <v>122</v>
      </c>
      <c r="W75" s="2"/>
      <c r="X75" s="2"/>
      <c r="Y75" s="2" t="s">
        <v>116</v>
      </c>
      <c r="Z75" s="2"/>
      <c r="AA75" s="2"/>
      <c r="AB75" s="2" t="s">
        <v>129</v>
      </c>
      <c r="AC75" s="2" t="s">
        <v>111</v>
      </c>
      <c r="AD75" s="2" t="s">
        <v>122</v>
      </c>
      <c r="AE75" s="2"/>
      <c r="AF75" s="2"/>
      <c r="AG75" s="2"/>
      <c r="AH75" s="2"/>
      <c r="AI75" s="2"/>
      <c r="AJ75" s="2" t="s">
        <v>342</v>
      </c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 t="s">
        <v>116</v>
      </c>
      <c r="AW75" s="2" t="s">
        <v>138</v>
      </c>
      <c r="AX75" s="2" t="s">
        <v>111</v>
      </c>
      <c r="AY75" s="2" t="s">
        <v>322</v>
      </c>
      <c r="AZ75" s="2"/>
      <c r="BA75" s="2"/>
      <c r="BB75" s="2"/>
      <c r="BC75" s="2"/>
      <c r="BD75" s="4">
        <f>1 + (1/2)</f>
        <v>1.5</v>
      </c>
      <c r="BE75" s="2" t="s">
        <v>205</v>
      </c>
      <c r="BF75" s="2" t="s">
        <v>129</v>
      </c>
      <c r="BG75" s="2" t="s">
        <v>193</v>
      </c>
      <c r="BH75" s="2"/>
      <c r="BI75" s="2"/>
      <c r="BJ75" s="2"/>
      <c r="BK75" s="2"/>
      <c r="BL75" s="2"/>
      <c r="BM75" s="2"/>
      <c r="BN75" s="2"/>
      <c r="BO75" s="2"/>
      <c r="BP75" s="2" t="s">
        <v>122</v>
      </c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4">
        <f>1 + (1/2)</f>
        <v>1.5</v>
      </c>
      <c r="CD75" s="2" t="s">
        <v>120</v>
      </c>
      <c r="CE75" s="2"/>
      <c r="CF75" s="2"/>
      <c r="CG75" s="2"/>
      <c r="CH75" s="2"/>
      <c r="CI75" s="2" t="s">
        <v>103</v>
      </c>
      <c r="CJ75" s="2" t="s">
        <v>105</v>
      </c>
      <c r="CK75" s="2" t="s">
        <v>135</v>
      </c>
      <c r="CL75" s="2"/>
      <c r="CM75" s="2"/>
      <c r="CN75" s="2"/>
      <c r="CO75" s="2" t="s">
        <v>138</v>
      </c>
      <c r="CP75" s="2"/>
      <c r="CQ75" s="2"/>
      <c r="CR75" s="2"/>
      <c r="CS75" s="2"/>
      <c r="CT75" s="2"/>
      <c r="CU75" s="2"/>
      <c r="CV75" s="2"/>
      <c r="CW75" s="2"/>
      <c r="CX75" s="2"/>
      <c r="CY75" s="2"/>
    </row>
    <row r="76" ht="15.75" customHeight="1">
      <c r="A76" s="2" t="s">
        <v>129</v>
      </c>
      <c r="B76" s="2" t="s">
        <v>111</v>
      </c>
      <c r="C76" s="3" t="s">
        <v>104</v>
      </c>
      <c r="D76" s="3"/>
      <c r="E76" s="2" t="s">
        <v>103</v>
      </c>
      <c r="F76" s="2"/>
      <c r="G76" s="2"/>
      <c r="H76" s="2" t="s">
        <v>144</v>
      </c>
      <c r="I76" s="2" t="s">
        <v>144</v>
      </c>
      <c r="J76" s="2"/>
      <c r="K76" s="2"/>
      <c r="L76" s="2" t="s">
        <v>180</v>
      </c>
      <c r="M76" s="2"/>
      <c r="N76" s="2"/>
      <c r="O76" s="2"/>
      <c r="P76" s="2"/>
      <c r="Q76" s="2"/>
      <c r="R76" s="2"/>
      <c r="S76" s="2" t="s">
        <v>343</v>
      </c>
      <c r="T76" s="2" t="s">
        <v>113</v>
      </c>
      <c r="U76" s="2" t="s">
        <v>123</v>
      </c>
      <c r="V76" s="2" t="s">
        <v>113</v>
      </c>
      <c r="W76" s="2"/>
      <c r="X76" s="2"/>
      <c r="Y76" s="2"/>
      <c r="Z76" s="2"/>
      <c r="AA76" s="2"/>
      <c r="AB76" s="2"/>
      <c r="AC76" s="2"/>
      <c r="AD76" s="2" t="s">
        <v>116</v>
      </c>
      <c r="AE76" s="2" t="s">
        <v>116</v>
      </c>
      <c r="AF76" s="2" t="s">
        <v>116</v>
      </c>
      <c r="AG76" s="2"/>
      <c r="AH76" s="2"/>
      <c r="AI76" s="2"/>
      <c r="AJ76" s="2" t="s">
        <v>187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 t="s">
        <v>201</v>
      </c>
      <c r="AZ76" s="2"/>
      <c r="BA76" s="2"/>
      <c r="BB76" s="2"/>
      <c r="BC76" s="2"/>
      <c r="BD76" s="2" t="s">
        <v>103</v>
      </c>
      <c r="BE76" s="2" t="s">
        <v>185</v>
      </c>
      <c r="BF76" s="2" t="s">
        <v>116</v>
      </c>
      <c r="BG76" s="2" t="s">
        <v>131</v>
      </c>
      <c r="BH76" s="2"/>
      <c r="BI76" s="2"/>
      <c r="BJ76" s="2"/>
      <c r="BK76" s="2"/>
      <c r="BL76" s="2"/>
      <c r="BM76" s="2"/>
      <c r="BN76" s="2"/>
      <c r="BO76" s="2"/>
      <c r="BP76" s="2" t="s">
        <v>116</v>
      </c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 t="s">
        <v>103</v>
      </c>
      <c r="CD76" s="2" t="s">
        <v>195</v>
      </c>
      <c r="CE76" s="2"/>
      <c r="CF76" s="2"/>
      <c r="CG76" s="2"/>
      <c r="CH76" s="2"/>
      <c r="CI76" s="2"/>
      <c r="CJ76" s="2" t="s">
        <v>123</v>
      </c>
      <c r="CK76" s="2" t="s">
        <v>185</v>
      </c>
      <c r="CL76" s="2"/>
      <c r="CM76" s="2"/>
      <c r="CN76" s="2"/>
      <c r="CO76" s="2" t="s">
        <v>138</v>
      </c>
      <c r="CP76" s="2"/>
      <c r="CQ76" s="2"/>
      <c r="CR76" s="2"/>
      <c r="CS76" s="2"/>
      <c r="CT76" s="2"/>
      <c r="CU76" s="2"/>
      <c r="CV76" s="2"/>
      <c r="CW76" s="2"/>
      <c r="CX76" s="2"/>
      <c r="CY76" s="2"/>
    </row>
    <row r="77" ht="15.75" customHeight="1">
      <c r="A77" s="2" t="s">
        <v>130</v>
      </c>
      <c r="B77" s="2" t="s">
        <v>111</v>
      </c>
      <c r="C77" s="3" t="s">
        <v>104</v>
      </c>
      <c r="D77" s="3"/>
      <c r="E77" s="2"/>
      <c r="F77" s="2"/>
      <c r="G77" s="2" t="s">
        <v>103</v>
      </c>
      <c r="H77" s="2" t="s">
        <v>155</v>
      </c>
      <c r="I77" s="2" t="s">
        <v>109</v>
      </c>
      <c r="J77" s="2" t="s">
        <v>138</v>
      </c>
      <c r="K77" s="2"/>
      <c r="L77" s="2" t="s">
        <v>267</v>
      </c>
      <c r="M77" s="2" t="s">
        <v>142</v>
      </c>
      <c r="N77" s="2" t="s">
        <v>344</v>
      </c>
      <c r="O77" s="2" t="s">
        <v>103</v>
      </c>
      <c r="P77" s="2"/>
      <c r="Q77" s="2" t="s">
        <v>345</v>
      </c>
      <c r="R77" s="2" t="s">
        <v>261</v>
      </c>
      <c r="S77" s="2" t="s">
        <v>346</v>
      </c>
      <c r="T77" s="2" t="s">
        <v>131</v>
      </c>
      <c r="U77" s="2" t="s">
        <v>109</v>
      </c>
      <c r="V77" s="2" t="s">
        <v>131</v>
      </c>
      <c r="W77" s="2"/>
      <c r="X77" s="2"/>
      <c r="Y77" s="2" t="s">
        <v>116</v>
      </c>
      <c r="Z77" s="2"/>
      <c r="AA77" s="2"/>
      <c r="AB77" s="2" t="s">
        <v>121</v>
      </c>
      <c r="AC77" s="2" t="s">
        <v>121</v>
      </c>
      <c r="AD77" s="2" t="s">
        <v>150</v>
      </c>
      <c r="AE77" s="2"/>
      <c r="AF77" s="2" t="s">
        <v>130</v>
      </c>
      <c r="AG77" s="2"/>
      <c r="AH77" s="2" t="s">
        <v>113</v>
      </c>
      <c r="AI77" s="2"/>
      <c r="AJ77" s="2" t="s">
        <v>347</v>
      </c>
      <c r="AK77" s="2"/>
      <c r="AL77" s="2" t="s">
        <v>158</v>
      </c>
      <c r="AM77" s="2" t="s">
        <v>144</v>
      </c>
      <c r="AN77" s="2"/>
      <c r="AO77" s="2"/>
      <c r="AP77" s="2"/>
      <c r="AQ77" s="2"/>
      <c r="AR77" s="2" t="s">
        <v>116</v>
      </c>
      <c r="AS77" s="2"/>
      <c r="AT77" s="2" t="s">
        <v>158</v>
      </c>
      <c r="AU77" s="2" t="s">
        <v>348</v>
      </c>
      <c r="AV77" s="2" t="s">
        <v>116</v>
      </c>
      <c r="AW77" s="2" t="s">
        <v>118</v>
      </c>
      <c r="AX77" s="2"/>
      <c r="AY77" s="2" t="s">
        <v>349</v>
      </c>
      <c r="AZ77" s="2"/>
      <c r="BA77" s="2"/>
      <c r="BB77" s="2"/>
      <c r="BC77" s="2"/>
      <c r="BD77" s="2" t="s">
        <v>113</v>
      </c>
      <c r="BE77" s="2" t="s">
        <v>187</v>
      </c>
      <c r="BF77" s="2" t="s">
        <v>129</v>
      </c>
      <c r="BG77" s="2" t="s">
        <v>136</v>
      </c>
      <c r="BH77" s="2"/>
      <c r="BI77" s="2"/>
      <c r="BJ77" s="2" t="s">
        <v>103</v>
      </c>
      <c r="BK77" s="2" t="s">
        <v>138</v>
      </c>
      <c r="BL77" s="2"/>
      <c r="BM77" s="2"/>
      <c r="BN77" s="2"/>
      <c r="BO77" s="2"/>
      <c r="BP77" s="2" t="s">
        <v>122</v>
      </c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 t="s">
        <v>113</v>
      </c>
      <c r="CD77" s="2" t="s">
        <v>114</v>
      </c>
      <c r="CE77" s="2"/>
      <c r="CF77" s="2"/>
      <c r="CG77" s="2"/>
      <c r="CH77" s="2"/>
      <c r="CI77" s="2" t="s">
        <v>129</v>
      </c>
      <c r="CJ77" s="2" t="s">
        <v>350</v>
      </c>
      <c r="CK77" s="2" t="s">
        <v>351</v>
      </c>
      <c r="CL77" s="2"/>
      <c r="CM77" s="2"/>
      <c r="CN77" s="2"/>
      <c r="CO77" s="2" t="s">
        <v>243</v>
      </c>
      <c r="CP77" s="2"/>
      <c r="CQ77" s="2"/>
      <c r="CR77" s="2"/>
      <c r="CS77" s="2"/>
      <c r="CT77" s="2"/>
      <c r="CU77" s="2"/>
      <c r="CV77" s="2"/>
      <c r="CW77" s="2"/>
      <c r="CX77" s="2" t="s">
        <v>123</v>
      </c>
      <c r="CY77" s="2" t="s">
        <v>105</v>
      </c>
    </row>
    <row r="78" ht="15.75" customHeight="1">
      <c r="A78" s="2" t="s">
        <v>121</v>
      </c>
      <c r="B78" s="2" t="s">
        <v>111</v>
      </c>
      <c r="C78" s="3" t="s">
        <v>104</v>
      </c>
      <c r="D78" s="3"/>
      <c r="E78" s="2" t="s">
        <v>103</v>
      </c>
      <c r="F78" s="2"/>
      <c r="G78" s="2"/>
      <c r="H78" s="2" t="s">
        <v>131</v>
      </c>
      <c r="I78" s="2" t="s">
        <v>352</v>
      </c>
      <c r="J78" s="2" t="s">
        <v>133</v>
      </c>
      <c r="K78" s="2"/>
      <c r="L78" s="2" t="s">
        <v>353</v>
      </c>
      <c r="M78" s="2" t="s">
        <v>181</v>
      </c>
      <c r="N78" s="2" t="s">
        <v>354</v>
      </c>
      <c r="O78" s="2" t="s">
        <v>133</v>
      </c>
      <c r="P78" s="2"/>
      <c r="Q78" s="2" t="s">
        <v>281</v>
      </c>
      <c r="R78" s="2" t="s">
        <v>142</v>
      </c>
      <c r="S78" s="2" t="s">
        <v>355</v>
      </c>
      <c r="T78" s="2" t="s">
        <v>188</v>
      </c>
      <c r="U78" s="2" t="s">
        <v>233</v>
      </c>
      <c r="V78" s="2" t="s">
        <v>137</v>
      </c>
      <c r="W78" s="2"/>
      <c r="X78" s="2"/>
      <c r="Y78" s="2" t="s">
        <v>122</v>
      </c>
      <c r="Z78" s="2"/>
      <c r="AA78" s="2"/>
      <c r="AB78" s="2" t="s">
        <v>171</v>
      </c>
      <c r="AC78" s="2" t="s">
        <v>123</v>
      </c>
      <c r="AD78" s="2" t="s">
        <v>106</v>
      </c>
      <c r="AE78" s="2"/>
      <c r="AF78" s="2" t="s">
        <v>150</v>
      </c>
      <c r="AG78" s="2"/>
      <c r="AH78" s="2"/>
      <c r="AI78" s="2"/>
      <c r="AJ78" s="2" t="s">
        <v>194</v>
      </c>
      <c r="AK78" s="2"/>
      <c r="AL78" s="2" t="s">
        <v>109</v>
      </c>
      <c r="AM78" s="2" t="s">
        <v>118</v>
      </c>
      <c r="AN78" s="2"/>
      <c r="AO78" s="2"/>
      <c r="AP78" s="2"/>
      <c r="AQ78" s="2"/>
      <c r="AR78" s="2"/>
      <c r="AS78" s="2"/>
      <c r="AT78" s="2" t="s">
        <v>109</v>
      </c>
      <c r="AU78" s="2" t="s">
        <v>281</v>
      </c>
      <c r="AV78" s="2" t="s">
        <v>130</v>
      </c>
      <c r="AW78" s="2" t="s">
        <v>106</v>
      </c>
      <c r="AX78" s="2" t="s">
        <v>111</v>
      </c>
      <c r="AY78" s="2" t="s">
        <v>356</v>
      </c>
      <c r="AZ78" s="2"/>
      <c r="BA78" s="2"/>
      <c r="BB78" s="2"/>
      <c r="BC78" s="2"/>
      <c r="BD78" s="2" t="s">
        <v>122</v>
      </c>
      <c r="BE78" s="2" t="s">
        <v>141</v>
      </c>
      <c r="BF78" s="2" t="s">
        <v>130</v>
      </c>
      <c r="BG78" s="2" t="s">
        <v>270</v>
      </c>
      <c r="BH78" s="2"/>
      <c r="BI78" s="2"/>
      <c r="BJ78" s="4">
        <f>1 + (1/2)</f>
        <v>1.5</v>
      </c>
      <c r="BK78" s="2" t="s">
        <v>106</v>
      </c>
      <c r="BL78" s="2"/>
      <c r="BM78" s="2"/>
      <c r="BN78" s="2"/>
      <c r="BO78" s="2"/>
      <c r="BP78" s="2" t="s">
        <v>138</v>
      </c>
      <c r="BQ78" s="2"/>
      <c r="BR78" s="2"/>
      <c r="BS78" s="2"/>
      <c r="BT78" s="2"/>
      <c r="BU78" s="2"/>
      <c r="BV78" s="2"/>
      <c r="BW78" s="2" t="s">
        <v>181</v>
      </c>
      <c r="BX78" s="2"/>
      <c r="BY78" s="2"/>
      <c r="BZ78" s="2"/>
      <c r="CA78" s="2"/>
      <c r="CB78" s="2"/>
      <c r="CC78" s="2">
        <f>1/2</f>
        <v>0.5</v>
      </c>
      <c r="CD78" s="2" t="s">
        <v>184</v>
      </c>
      <c r="CE78" s="2"/>
      <c r="CF78" s="2"/>
      <c r="CG78" s="2"/>
      <c r="CH78" s="2"/>
      <c r="CI78" s="2" t="s">
        <v>113</v>
      </c>
      <c r="CJ78" s="2" t="s">
        <v>131</v>
      </c>
      <c r="CK78" s="2" t="s">
        <v>120</v>
      </c>
      <c r="CL78" s="2"/>
      <c r="CM78" s="2"/>
      <c r="CN78" s="2"/>
      <c r="CO78" s="2" t="s">
        <v>106</v>
      </c>
      <c r="CP78" s="2"/>
      <c r="CQ78" s="2"/>
      <c r="CR78" s="2"/>
      <c r="CS78" s="2"/>
      <c r="CT78" s="2"/>
      <c r="CU78" s="2"/>
      <c r="CV78" s="2"/>
      <c r="CW78" s="2"/>
      <c r="CX78" s="2" t="s">
        <v>149</v>
      </c>
      <c r="CY78" s="2" t="s">
        <v>174</v>
      </c>
    </row>
    <row r="79" ht="15.75" customHeight="1">
      <c r="A79" s="2" t="s">
        <v>111</v>
      </c>
      <c r="B79" s="2" t="s">
        <v>111</v>
      </c>
      <c r="C79" s="3" t="s">
        <v>104</v>
      </c>
      <c r="D79" s="3"/>
      <c r="E79" s="2" t="s">
        <v>103</v>
      </c>
      <c r="F79" s="2"/>
      <c r="G79" s="2"/>
      <c r="H79" s="2" t="s">
        <v>106</v>
      </c>
      <c r="I79" s="2" t="s">
        <v>105</v>
      </c>
      <c r="J79" s="2" t="s">
        <v>111</v>
      </c>
      <c r="K79" s="2"/>
      <c r="L79" s="2" t="s">
        <v>257</v>
      </c>
      <c r="M79" s="2" t="s">
        <v>131</v>
      </c>
      <c r="N79" s="2" t="s">
        <v>127</v>
      </c>
      <c r="O79" s="2" t="s">
        <v>116</v>
      </c>
      <c r="P79" s="2"/>
      <c r="Q79" s="2" t="s">
        <v>165</v>
      </c>
      <c r="R79" s="2"/>
      <c r="S79" s="2" t="s">
        <v>181</v>
      </c>
      <c r="T79" s="2" t="s">
        <v>133</v>
      </c>
      <c r="U79" s="2" t="s">
        <v>106</v>
      </c>
      <c r="V79" s="2" t="s">
        <v>133</v>
      </c>
      <c r="W79" s="2"/>
      <c r="X79" s="2"/>
      <c r="Y79" s="2" t="s">
        <v>103</v>
      </c>
      <c r="Z79" s="2"/>
      <c r="AA79" s="2"/>
      <c r="AB79" s="2" t="s">
        <v>113</v>
      </c>
      <c r="AC79" s="2" t="s">
        <v>103</v>
      </c>
      <c r="AD79" s="2" t="s">
        <v>122</v>
      </c>
      <c r="AE79" s="2"/>
      <c r="AF79" s="2" t="s">
        <v>103</v>
      </c>
      <c r="AG79" s="2" t="s">
        <v>103</v>
      </c>
      <c r="AH79" s="2"/>
      <c r="AI79" s="2"/>
      <c r="AJ79" s="2" t="s">
        <v>293</v>
      </c>
      <c r="AK79" s="2" t="s">
        <v>357</v>
      </c>
      <c r="AL79" s="2" t="s">
        <v>358</v>
      </c>
      <c r="AM79" s="2" t="s">
        <v>149</v>
      </c>
      <c r="AN79" s="2"/>
      <c r="AO79" s="2" t="s">
        <v>143</v>
      </c>
      <c r="AP79" s="2"/>
      <c r="AQ79" s="2"/>
      <c r="AR79" s="2" t="s">
        <v>103</v>
      </c>
      <c r="AS79" s="2"/>
      <c r="AT79" s="2" t="s">
        <v>358</v>
      </c>
      <c r="AU79" s="2" t="s">
        <v>198</v>
      </c>
      <c r="AV79" s="2" t="s">
        <v>116</v>
      </c>
      <c r="AW79" s="2" t="s">
        <v>118</v>
      </c>
      <c r="AX79" s="2"/>
      <c r="AY79" s="2" t="s">
        <v>110</v>
      </c>
      <c r="AZ79" s="2"/>
      <c r="BA79" s="2"/>
      <c r="BB79" s="2"/>
      <c r="BC79" s="2"/>
      <c r="BD79" s="2" t="s">
        <v>103</v>
      </c>
      <c r="BE79" s="2" t="s">
        <v>131</v>
      </c>
      <c r="BF79" s="4">
        <f>1 + (1/2)</f>
        <v>1.5</v>
      </c>
      <c r="BG79" s="2" t="s">
        <v>137</v>
      </c>
      <c r="BH79" s="2"/>
      <c r="BI79" s="2"/>
      <c r="BJ79" s="2"/>
      <c r="BK79" s="2"/>
      <c r="BL79" s="2"/>
      <c r="BM79" s="2"/>
      <c r="BN79" s="2"/>
      <c r="BO79" s="2"/>
      <c r="BP79" s="2" t="s">
        <v>116</v>
      </c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>
        <f>1/3</f>
        <v>0.3333333333</v>
      </c>
      <c r="CD79" s="2" t="s">
        <v>359</v>
      </c>
      <c r="CE79" s="2"/>
      <c r="CF79" s="2"/>
      <c r="CG79" s="2"/>
      <c r="CH79" s="2"/>
      <c r="CI79" s="2" t="s">
        <v>103</v>
      </c>
      <c r="CJ79" s="2" t="s">
        <v>131</v>
      </c>
      <c r="CK79" s="2" t="s">
        <v>142</v>
      </c>
      <c r="CL79" s="2"/>
      <c r="CM79" s="2"/>
      <c r="CN79" s="2"/>
      <c r="CO79" s="2" t="s">
        <v>130</v>
      </c>
      <c r="CP79" s="2"/>
      <c r="CQ79" s="2"/>
      <c r="CR79" s="2"/>
      <c r="CS79" s="2"/>
      <c r="CT79" s="2"/>
      <c r="CU79" s="2"/>
      <c r="CV79" s="2"/>
      <c r="CW79" s="2"/>
      <c r="CX79" s="2" t="s">
        <v>118</v>
      </c>
      <c r="CY79" s="2" t="s">
        <v>151</v>
      </c>
    </row>
    <row r="80" ht="15.75" customHeight="1">
      <c r="A80" s="2" t="s">
        <v>150</v>
      </c>
      <c r="B80" s="2" t="s">
        <v>111</v>
      </c>
      <c r="C80" s="3" t="s">
        <v>104</v>
      </c>
      <c r="D80" s="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</row>
    <row r="81" ht="15.75" customHeight="1">
      <c r="A81" s="2" t="s">
        <v>138</v>
      </c>
      <c r="B81" s="2" t="s">
        <v>111</v>
      </c>
      <c r="C81" s="3" t="s">
        <v>104</v>
      </c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</row>
    <row r="82" ht="15.75" customHeight="1">
      <c r="A82" s="2" t="s">
        <v>103</v>
      </c>
      <c r="B82" s="2" t="s">
        <v>150</v>
      </c>
      <c r="C82" s="3" t="s">
        <v>104</v>
      </c>
      <c r="D82" s="3"/>
      <c r="E82" s="2" t="s">
        <v>103</v>
      </c>
      <c r="F82" s="2"/>
      <c r="G82" s="2"/>
      <c r="H82" s="2" t="s">
        <v>143</v>
      </c>
      <c r="I82" s="2" t="s">
        <v>358</v>
      </c>
      <c r="J82" s="2" t="s">
        <v>145</v>
      </c>
      <c r="K82" s="2"/>
      <c r="L82" s="2" t="s">
        <v>360</v>
      </c>
      <c r="M82" s="2" t="s">
        <v>233</v>
      </c>
      <c r="N82" s="2" t="s">
        <v>361</v>
      </c>
      <c r="O82" s="2" t="s">
        <v>130</v>
      </c>
      <c r="P82" s="2"/>
      <c r="Q82" s="2"/>
      <c r="R82" s="2"/>
      <c r="S82" s="2" t="s">
        <v>362</v>
      </c>
      <c r="T82" s="2" t="s">
        <v>237</v>
      </c>
      <c r="U82" s="2" t="s">
        <v>130</v>
      </c>
      <c r="V82" s="2" t="s">
        <v>131</v>
      </c>
      <c r="W82" s="2"/>
      <c r="X82" s="2"/>
      <c r="Y82" s="2" t="s">
        <v>116</v>
      </c>
      <c r="Z82" s="2"/>
      <c r="AA82" s="2"/>
      <c r="AB82" s="2" t="s">
        <v>116</v>
      </c>
      <c r="AC82" s="2" t="s">
        <v>129</v>
      </c>
      <c r="AD82" s="2" t="s">
        <v>116</v>
      </c>
      <c r="AE82" s="2"/>
      <c r="AF82" s="2" t="s">
        <v>121</v>
      </c>
      <c r="AG82" s="2"/>
      <c r="AH82" s="2"/>
      <c r="AI82" s="2"/>
      <c r="AJ82" s="2" t="s">
        <v>126</v>
      </c>
      <c r="AK82" s="2"/>
      <c r="AL82" s="2" t="s">
        <v>122</v>
      </c>
      <c r="AM82" s="2" t="s">
        <v>116</v>
      </c>
      <c r="AN82" s="2"/>
      <c r="AO82" s="2" t="s">
        <v>116</v>
      </c>
      <c r="AP82" s="2"/>
      <c r="AQ82" s="2"/>
      <c r="AR82" s="2"/>
      <c r="AS82" s="2"/>
      <c r="AT82" s="2" t="s">
        <v>122</v>
      </c>
      <c r="AU82" s="2" t="s">
        <v>109</v>
      </c>
      <c r="AV82" s="2" t="s">
        <v>103</v>
      </c>
      <c r="AW82" s="2" t="s">
        <v>250</v>
      </c>
      <c r="AX82" s="2" t="s">
        <v>113</v>
      </c>
      <c r="AY82" s="2" t="s">
        <v>363</v>
      </c>
      <c r="AZ82" s="2"/>
      <c r="BA82" s="2"/>
      <c r="BB82" s="2"/>
      <c r="BC82" s="2"/>
      <c r="BD82" s="2">
        <f>3/4</f>
        <v>0.75</v>
      </c>
      <c r="BE82" s="2" t="s">
        <v>106</v>
      </c>
      <c r="BF82" s="2" t="s">
        <v>113</v>
      </c>
      <c r="BG82" s="2" t="s">
        <v>141</v>
      </c>
      <c r="BH82" s="2"/>
      <c r="BI82" s="2"/>
      <c r="BJ82" s="2" t="s">
        <v>113</v>
      </c>
      <c r="BK82" s="2" t="s">
        <v>323</v>
      </c>
      <c r="BL82" s="2"/>
      <c r="BM82" s="2"/>
      <c r="BN82" s="2"/>
      <c r="BO82" s="2"/>
      <c r="BP82" s="2" t="s">
        <v>130</v>
      </c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 t="s">
        <v>106</v>
      </c>
      <c r="CE82" s="2"/>
      <c r="CF82" s="2"/>
      <c r="CG82" s="2"/>
      <c r="CH82" s="2"/>
      <c r="CI82" s="2" t="s">
        <v>103</v>
      </c>
      <c r="CJ82" s="2" t="s">
        <v>106</v>
      </c>
      <c r="CK82" s="2" t="s">
        <v>131</v>
      </c>
      <c r="CL82" s="2"/>
      <c r="CM82" s="2"/>
      <c r="CN82" s="2"/>
      <c r="CO82" s="2" t="s">
        <v>138</v>
      </c>
      <c r="CP82" s="2"/>
      <c r="CQ82" s="2"/>
      <c r="CR82" s="2"/>
      <c r="CS82" s="2"/>
      <c r="CT82" s="2"/>
      <c r="CU82" s="2"/>
      <c r="CV82" s="2"/>
      <c r="CW82" s="2"/>
      <c r="CX82" s="2" t="s">
        <v>138</v>
      </c>
      <c r="CY82" s="2" t="s">
        <v>106</v>
      </c>
    </row>
    <row r="83" ht="15.75" customHeight="1">
      <c r="A83" s="2" t="s">
        <v>116</v>
      </c>
      <c r="B83" s="2" t="s">
        <v>150</v>
      </c>
      <c r="C83" s="3" t="s">
        <v>104</v>
      </c>
      <c r="D83" s="3"/>
      <c r="E83" s="2" t="s">
        <v>103</v>
      </c>
      <c r="F83" s="2"/>
      <c r="G83" s="2"/>
      <c r="H83" s="2" t="s">
        <v>109</v>
      </c>
      <c r="I83" s="2" t="s">
        <v>364</v>
      </c>
      <c r="J83" s="2" t="s">
        <v>185</v>
      </c>
      <c r="K83" s="2"/>
      <c r="L83" s="2" t="s">
        <v>365</v>
      </c>
      <c r="M83" s="2" t="s">
        <v>126</v>
      </c>
      <c r="N83" s="2" t="s">
        <v>366</v>
      </c>
      <c r="O83" s="2" t="s">
        <v>106</v>
      </c>
      <c r="P83" s="2"/>
      <c r="Q83" s="2" t="s">
        <v>367</v>
      </c>
      <c r="R83" s="2" t="s">
        <v>190</v>
      </c>
      <c r="S83" s="2" t="s">
        <v>368</v>
      </c>
      <c r="T83" s="2" t="s">
        <v>369</v>
      </c>
      <c r="U83" s="2" t="s">
        <v>206</v>
      </c>
      <c r="V83" s="2" t="s">
        <v>120</v>
      </c>
      <c r="W83" s="2"/>
      <c r="X83" s="2"/>
      <c r="Y83" s="2" t="s">
        <v>122</v>
      </c>
      <c r="Z83" s="2"/>
      <c r="AA83" s="2"/>
      <c r="AB83" s="2" t="s">
        <v>106</v>
      </c>
      <c r="AC83" s="2" t="s">
        <v>227</v>
      </c>
      <c r="AD83" s="2" t="s">
        <v>106</v>
      </c>
      <c r="AE83" s="2" t="s">
        <v>103</v>
      </c>
      <c r="AF83" s="2" t="s">
        <v>133</v>
      </c>
      <c r="AG83" s="2" t="s">
        <v>103</v>
      </c>
      <c r="AH83" s="2"/>
      <c r="AI83" s="2"/>
      <c r="AJ83" s="2" t="s">
        <v>153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 t="s">
        <v>113</v>
      </c>
      <c r="AW83" s="2" t="s">
        <v>157</v>
      </c>
      <c r="AX83" s="2"/>
      <c r="AY83" s="2" t="s">
        <v>239</v>
      </c>
      <c r="AZ83" s="2"/>
      <c r="BA83" s="2"/>
      <c r="BB83" s="2"/>
      <c r="BC83" s="2"/>
      <c r="BD83" s="2" t="s">
        <v>113</v>
      </c>
      <c r="BE83" s="2" t="s">
        <v>135</v>
      </c>
      <c r="BF83" s="2" t="s">
        <v>116</v>
      </c>
      <c r="BG83" s="2" t="s">
        <v>142</v>
      </c>
      <c r="BH83" s="2" t="s">
        <v>116</v>
      </c>
      <c r="BI83" s="2" t="s">
        <v>105</v>
      </c>
      <c r="BJ83" s="2" t="s">
        <v>113</v>
      </c>
      <c r="BK83" s="2" t="s">
        <v>142</v>
      </c>
      <c r="BL83" s="2"/>
      <c r="BM83" s="2"/>
      <c r="BN83" s="2"/>
      <c r="BO83" s="2"/>
      <c r="BP83" s="2" t="s">
        <v>111</v>
      </c>
      <c r="BQ83" s="2"/>
      <c r="BR83" s="2"/>
      <c r="BS83" s="2"/>
      <c r="BT83" s="2"/>
      <c r="BU83" s="2"/>
      <c r="BV83" s="2"/>
      <c r="BW83" s="2" t="s">
        <v>350</v>
      </c>
      <c r="BX83" s="2"/>
      <c r="BY83" s="2"/>
      <c r="BZ83" s="2"/>
      <c r="CA83" s="2"/>
      <c r="CB83" s="2"/>
      <c r="CC83" s="2" t="s">
        <v>103</v>
      </c>
      <c r="CD83" s="2" t="s">
        <v>370</v>
      </c>
      <c r="CE83" s="2"/>
      <c r="CF83" s="2"/>
      <c r="CG83" s="2"/>
      <c r="CH83" s="2"/>
      <c r="CI83" s="2" t="s">
        <v>103</v>
      </c>
      <c r="CJ83" s="2" t="s">
        <v>109</v>
      </c>
      <c r="CK83" s="2" t="s">
        <v>120</v>
      </c>
      <c r="CL83" s="2"/>
      <c r="CM83" s="2"/>
      <c r="CN83" s="2"/>
      <c r="CO83" s="2" t="s">
        <v>109</v>
      </c>
      <c r="CP83" s="2"/>
      <c r="CQ83" s="2"/>
      <c r="CR83" s="2"/>
      <c r="CS83" s="2"/>
      <c r="CT83" s="2"/>
      <c r="CU83" s="2"/>
      <c r="CV83" s="2"/>
      <c r="CW83" s="2"/>
      <c r="CX83" s="2" t="s">
        <v>123</v>
      </c>
      <c r="CY83" s="2" t="s">
        <v>105</v>
      </c>
    </row>
    <row r="84" ht="15.75" customHeight="1">
      <c r="A84" s="2" t="s">
        <v>113</v>
      </c>
      <c r="B84" s="2" t="s">
        <v>150</v>
      </c>
      <c r="C84" s="3" t="s">
        <v>104</v>
      </c>
      <c r="D84" s="3"/>
      <c r="E84" s="2" t="s">
        <v>103</v>
      </c>
      <c r="F84" s="2"/>
      <c r="G84" s="2"/>
      <c r="H84" s="2" t="s">
        <v>144</v>
      </c>
      <c r="I84" s="2" t="s">
        <v>121</v>
      </c>
      <c r="J84" s="2"/>
      <c r="K84" s="2"/>
      <c r="L84" s="2" t="s">
        <v>108</v>
      </c>
      <c r="M84" s="2" t="s">
        <v>106</v>
      </c>
      <c r="N84" s="2" t="s">
        <v>371</v>
      </c>
      <c r="O84" s="2" t="s">
        <v>129</v>
      </c>
      <c r="P84" s="2"/>
      <c r="Q84" s="2"/>
      <c r="R84" s="2"/>
      <c r="S84" s="2" t="s">
        <v>372</v>
      </c>
      <c r="T84" s="2" t="s">
        <v>150</v>
      </c>
      <c r="U84" s="2" t="s">
        <v>122</v>
      </c>
      <c r="V84" s="2" t="s">
        <v>149</v>
      </c>
      <c r="W84" s="2"/>
      <c r="X84" s="2"/>
      <c r="Y84" s="2" t="s">
        <v>116</v>
      </c>
      <c r="Z84" s="2"/>
      <c r="AA84" s="2"/>
      <c r="AB84" s="2" t="s">
        <v>116</v>
      </c>
      <c r="AC84" s="2" t="s">
        <v>116</v>
      </c>
      <c r="AD84" s="2" t="s">
        <v>103</v>
      </c>
      <c r="AE84" s="2"/>
      <c r="AF84" s="2"/>
      <c r="AG84" s="2"/>
      <c r="AH84" s="2"/>
      <c r="AI84" s="2"/>
      <c r="AJ84" s="2" t="s">
        <v>364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 t="s">
        <v>103</v>
      </c>
      <c r="AW84" s="2" t="s">
        <v>144</v>
      </c>
      <c r="AX84" s="2" t="s">
        <v>121</v>
      </c>
      <c r="AY84" s="2" t="s">
        <v>373</v>
      </c>
      <c r="AZ84" s="2"/>
      <c r="BA84" s="2"/>
      <c r="BB84" s="2"/>
      <c r="BC84" s="2"/>
      <c r="BD84" s="2" t="s">
        <v>113</v>
      </c>
      <c r="BE84" s="2" t="s">
        <v>135</v>
      </c>
      <c r="BF84" s="2" t="s">
        <v>103</v>
      </c>
      <c r="BG84" s="2" t="s">
        <v>109</v>
      </c>
      <c r="BH84" s="2"/>
      <c r="BI84" s="2"/>
      <c r="BJ84" s="2"/>
      <c r="BK84" s="2"/>
      <c r="BL84" s="2"/>
      <c r="BM84" s="2"/>
      <c r="BN84" s="2"/>
      <c r="BO84" s="2"/>
      <c r="BP84" s="2" t="s">
        <v>103</v>
      </c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>
        <f>1/2</f>
        <v>0.5</v>
      </c>
      <c r="CD84" s="2" t="s">
        <v>131</v>
      </c>
      <c r="CE84" s="2"/>
      <c r="CF84" s="2"/>
      <c r="CG84" s="2"/>
      <c r="CH84" s="2"/>
      <c r="CI84" s="2" t="s">
        <v>103</v>
      </c>
      <c r="CJ84" s="2" t="s">
        <v>131</v>
      </c>
      <c r="CK84" s="2" t="s">
        <v>182</v>
      </c>
      <c r="CL84" s="2"/>
      <c r="CM84" s="2"/>
      <c r="CN84" s="2"/>
      <c r="CO84" s="2" t="s">
        <v>144</v>
      </c>
      <c r="CP84" s="2"/>
      <c r="CQ84" s="2"/>
      <c r="CR84" s="2"/>
      <c r="CS84" s="2"/>
      <c r="CT84" s="2"/>
      <c r="CU84" s="2"/>
      <c r="CV84" s="2"/>
      <c r="CW84" s="2"/>
      <c r="CX84" s="2"/>
      <c r="CY84" s="2"/>
    </row>
    <row r="85" ht="15.75" customHeight="1">
      <c r="A85" s="2" t="s">
        <v>122</v>
      </c>
      <c r="B85" s="2" t="s">
        <v>150</v>
      </c>
      <c r="C85" s="3" t="s">
        <v>104</v>
      </c>
      <c r="D85" s="3"/>
      <c r="E85" s="2" t="s">
        <v>103</v>
      </c>
      <c r="F85" s="2"/>
      <c r="G85" s="2"/>
      <c r="H85" s="2" t="s">
        <v>158</v>
      </c>
      <c r="I85" s="2" t="s">
        <v>374</v>
      </c>
      <c r="J85" s="2" t="s">
        <v>130</v>
      </c>
      <c r="K85" s="2"/>
      <c r="L85" s="2" t="s">
        <v>375</v>
      </c>
      <c r="M85" s="2" t="s">
        <v>136</v>
      </c>
      <c r="N85" s="5" t="s">
        <v>376</v>
      </c>
      <c r="O85" s="2" t="s">
        <v>129</v>
      </c>
      <c r="P85" s="2"/>
      <c r="Q85" s="2" t="s">
        <v>111</v>
      </c>
      <c r="R85" s="2" t="s">
        <v>103</v>
      </c>
      <c r="S85" s="2" t="s">
        <v>377</v>
      </c>
      <c r="T85" s="2" t="s">
        <v>166</v>
      </c>
      <c r="U85" s="2" t="s">
        <v>374</v>
      </c>
      <c r="V85" s="2" t="s">
        <v>131</v>
      </c>
      <c r="W85" s="2"/>
      <c r="X85" s="2"/>
      <c r="Y85" s="2" t="s">
        <v>129</v>
      </c>
      <c r="Z85" s="2"/>
      <c r="AA85" s="2"/>
      <c r="AB85" s="5" t="s">
        <v>103</v>
      </c>
      <c r="AC85" s="2" t="s">
        <v>111</v>
      </c>
      <c r="AD85" s="2" t="s">
        <v>138</v>
      </c>
      <c r="AE85" s="2"/>
      <c r="AF85" s="2" t="s">
        <v>116</v>
      </c>
      <c r="AG85" s="2"/>
      <c r="AH85" s="2"/>
      <c r="AI85" s="2"/>
      <c r="AJ85" s="2" t="s">
        <v>378</v>
      </c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 t="s">
        <v>130</v>
      </c>
      <c r="AW85" s="2" t="s">
        <v>105</v>
      </c>
      <c r="AX85" s="2" t="s">
        <v>122</v>
      </c>
      <c r="AY85" s="2" t="s">
        <v>226</v>
      </c>
      <c r="AZ85" s="2"/>
      <c r="BA85" s="2"/>
      <c r="BB85" s="2"/>
      <c r="BC85" s="2"/>
      <c r="BD85" s="2" t="s">
        <v>113</v>
      </c>
      <c r="BE85" s="2" t="s">
        <v>241</v>
      </c>
      <c r="BF85" s="2" t="s">
        <v>122</v>
      </c>
      <c r="BG85" s="2" t="s">
        <v>141</v>
      </c>
      <c r="BH85" s="2"/>
      <c r="BI85" s="2"/>
      <c r="BJ85" s="2"/>
      <c r="BK85" s="2"/>
      <c r="BL85" s="2"/>
      <c r="BM85" s="2"/>
      <c r="BN85" s="2"/>
      <c r="BO85" s="2"/>
      <c r="BP85" s="2" t="s">
        <v>129</v>
      </c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 t="s">
        <v>113</v>
      </c>
      <c r="CD85" s="2" t="s">
        <v>352</v>
      </c>
      <c r="CE85" s="2"/>
      <c r="CF85" s="2"/>
      <c r="CG85" s="2"/>
      <c r="CH85" s="2"/>
      <c r="CI85" s="5" t="s">
        <v>116</v>
      </c>
      <c r="CJ85" s="2" t="s">
        <v>105</v>
      </c>
      <c r="CK85" s="2" t="s">
        <v>105</v>
      </c>
      <c r="CL85" s="2"/>
      <c r="CM85" s="2"/>
      <c r="CN85" s="2"/>
      <c r="CO85" s="2" t="s">
        <v>130</v>
      </c>
      <c r="CP85" s="2"/>
      <c r="CQ85" s="2"/>
      <c r="CR85" s="2"/>
      <c r="CS85" s="2"/>
      <c r="CT85" s="2"/>
      <c r="CU85" s="2"/>
      <c r="CV85" s="2"/>
      <c r="CW85" s="2"/>
      <c r="CX85" s="2" t="s">
        <v>122</v>
      </c>
      <c r="CY85" s="2" t="s">
        <v>111</v>
      </c>
    </row>
    <row r="86" ht="15.75" customHeight="1">
      <c r="A86" s="2" t="s">
        <v>129</v>
      </c>
      <c r="B86" s="2" t="s">
        <v>150</v>
      </c>
      <c r="C86" s="3" t="s">
        <v>104</v>
      </c>
      <c r="D86" s="3"/>
      <c r="E86" s="2" t="s">
        <v>103</v>
      </c>
      <c r="F86" s="2"/>
      <c r="G86" s="2"/>
      <c r="H86" s="2" t="s">
        <v>106</v>
      </c>
      <c r="I86" s="2" t="s">
        <v>379</v>
      </c>
      <c r="J86" s="2" t="s">
        <v>358</v>
      </c>
      <c r="K86" s="2"/>
      <c r="L86" s="2" t="s">
        <v>272</v>
      </c>
      <c r="M86" s="2" t="s">
        <v>322</v>
      </c>
      <c r="N86" s="2" t="s">
        <v>380</v>
      </c>
      <c r="O86" s="2" t="s">
        <v>113</v>
      </c>
      <c r="P86" s="2"/>
      <c r="Q86" s="2" t="s">
        <v>193</v>
      </c>
      <c r="R86" s="2" t="s">
        <v>227</v>
      </c>
      <c r="S86" s="2" t="s">
        <v>381</v>
      </c>
      <c r="T86" s="2" t="s">
        <v>128</v>
      </c>
      <c r="U86" s="2" t="s">
        <v>213</v>
      </c>
      <c r="V86" s="2" t="s">
        <v>120</v>
      </c>
      <c r="W86" s="2"/>
      <c r="X86" s="2"/>
      <c r="Y86" s="2" t="s">
        <v>103</v>
      </c>
      <c r="Z86" s="2"/>
      <c r="AA86" s="2" t="s">
        <v>116</v>
      </c>
      <c r="AB86" s="2" t="s">
        <v>103</v>
      </c>
      <c r="AC86" s="2"/>
      <c r="AD86" s="2" t="s">
        <v>103</v>
      </c>
      <c r="AE86" s="2"/>
      <c r="AF86" s="2"/>
      <c r="AG86" s="2"/>
      <c r="AH86" s="2"/>
      <c r="AI86" s="2"/>
      <c r="AJ86" s="2" t="s">
        <v>187</v>
      </c>
      <c r="AK86" s="2"/>
      <c r="AL86" s="2" t="s">
        <v>382</v>
      </c>
      <c r="AM86" s="2" t="s">
        <v>155</v>
      </c>
      <c r="AN86" s="2"/>
      <c r="AO86" s="2" t="s">
        <v>123</v>
      </c>
      <c r="AP86" s="2" t="s">
        <v>122</v>
      </c>
      <c r="AQ86" s="2"/>
      <c r="AR86" s="2" t="s">
        <v>121</v>
      </c>
      <c r="AS86" s="2" t="s">
        <v>105</v>
      </c>
      <c r="AT86" s="2" t="s">
        <v>382</v>
      </c>
      <c r="AU86" s="2" t="s">
        <v>383</v>
      </c>
      <c r="AV86" s="2"/>
      <c r="AW86" s="2" t="s">
        <v>129</v>
      </c>
      <c r="AX86" s="2"/>
      <c r="AY86" s="2" t="s">
        <v>182</v>
      </c>
      <c r="AZ86" s="2"/>
      <c r="BA86" s="2"/>
      <c r="BB86" s="2"/>
      <c r="BC86" s="2"/>
      <c r="BD86" s="2" t="s">
        <v>103</v>
      </c>
      <c r="BE86" s="2" t="s">
        <v>106</v>
      </c>
      <c r="BF86" s="2" t="s">
        <v>122</v>
      </c>
      <c r="BG86" s="2" t="s">
        <v>384</v>
      </c>
      <c r="BH86" s="2"/>
      <c r="BI86" s="2"/>
      <c r="BJ86" s="2"/>
      <c r="BK86" s="2"/>
      <c r="BL86" s="2"/>
      <c r="BM86" s="2"/>
      <c r="BN86" s="2"/>
      <c r="BO86" s="2"/>
      <c r="BP86" s="2" t="s">
        <v>129</v>
      </c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 t="s">
        <v>105</v>
      </c>
      <c r="CE86" s="2"/>
      <c r="CF86" s="2"/>
      <c r="CG86" s="2"/>
      <c r="CH86" s="2"/>
      <c r="CI86" s="5" t="s">
        <v>116</v>
      </c>
      <c r="CJ86" s="2" t="s">
        <v>131</v>
      </c>
      <c r="CK86" s="2" t="s">
        <v>288</v>
      </c>
      <c r="CL86" s="2"/>
      <c r="CM86" s="2"/>
      <c r="CN86" s="2"/>
      <c r="CO86" s="2" t="s">
        <v>123</v>
      </c>
      <c r="CP86" s="2"/>
      <c r="CQ86" s="2"/>
      <c r="CR86" s="2"/>
      <c r="CS86" s="2"/>
      <c r="CT86" s="2"/>
      <c r="CU86" s="2"/>
      <c r="CV86" s="2"/>
      <c r="CW86" s="2"/>
      <c r="CX86" s="2" t="s">
        <v>138</v>
      </c>
      <c r="CY86" s="2" t="s">
        <v>106</v>
      </c>
    </row>
    <row r="87" ht="15.75" customHeight="1">
      <c r="A87" s="2" t="s">
        <v>130</v>
      </c>
      <c r="B87" s="2" t="s">
        <v>150</v>
      </c>
      <c r="C87" s="3" t="s">
        <v>104</v>
      </c>
      <c r="D87" s="3"/>
      <c r="E87" s="2" t="s">
        <v>103</v>
      </c>
      <c r="F87" s="2"/>
      <c r="G87" s="2"/>
      <c r="H87" s="2" t="s">
        <v>109</v>
      </c>
      <c r="I87" s="2" t="s">
        <v>195</v>
      </c>
      <c r="J87" s="2" t="s">
        <v>131</v>
      </c>
      <c r="K87" s="2"/>
      <c r="L87" s="2" t="s">
        <v>267</v>
      </c>
      <c r="M87" s="2" t="s">
        <v>120</v>
      </c>
      <c r="N87" s="2" t="s">
        <v>108</v>
      </c>
      <c r="O87" s="2" t="s">
        <v>133</v>
      </c>
      <c r="P87" s="2"/>
      <c r="Q87" s="2" t="s">
        <v>385</v>
      </c>
      <c r="R87" s="2" t="s">
        <v>203</v>
      </c>
      <c r="S87" s="2" t="s">
        <v>386</v>
      </c>
      <c r="T87" s="2" t="s">
        <v>358</v>
      </c>
      <c r="U87" s="2" t="s">
        <v>195</v>
      </c>
      <c r="V87" s="2" t="s">
        <v>109</v>
      </c>
      <c r="W87" s="2"/>
      <c r="X87" s="2"/>
      <c r="Y87" s="2" t="s">
        <v>113</v>
      </c>
      <c r="Z87" s="2"/>
      <c r="AA87" s="2" t="s">
        <v>116</v>
      </c>
      <c r="AB87" s="2" t="s">
        <v>150</v>
      </c>
      <c r="AC87" s="2" t="s">
        <v>232</v>
      </c>
      <c r="AD87" s="2" t="s">
        <v>150</v>
      </c>
      <c r="AE87" s="2" t="s">
        <v>123</v>
      </c>
      <c r="AF87" s="2" t="s">
        <v>111</v>
      </c>
      <c r="AG87" s="2"/>
      <c r="AH87" s="2" t="s">
        <v>113</v>
      </c>
      <c r="AI87" s="2"/>
      <c r="AJ87" s="2" t="s">
        <v>387</v>
      </c>
      <c r="AK87" s="2"/>
      <c r="AL87" s="2" t="s">
        <v>138</v>
      </c>
      <c r="AM87" s="2"/>
      <c r="AN87" s="2" t="s">
        <v>138</v>
      </c>
      <c r="AO87" s="2"/>
      <c r="AP87" s="2"/>
      <c r="AQ87" s="2"/>
      <c r="AR87" s="2"/>
      <c r="AS87" s="2"/>
      <c r="AT87" s="2" t="s">
        <v>138</v>
      </c>
      <c r="AU87" s="2" t="s">
        <v>345</v>
      </c>
      <c r="AV87" s="2" t="s">
        <v>113</v>
      </c>
      <c r="AW87" s="2" t="s">
        <v>144</v>
      </c>
      <c r="AX87" s="2" t="s">
        <v>122</v>
      </c>
      <c r="AY87" s="2" t="s">
        <v>206</v>
      </c>
      <c r="AZ87" s="2"/>
      <c r="BA87" s="2"/>
      <c r="BB87" s="2"/>
      <c r="BC87" s="2"/>
      <c r="BD87" s="2" t="s">
        <v>116</v>
      </c>
      <c r="BE87" s="2" t="s">
        <v>137</v>
      </c>
      <c r="BF87" s="2" t="s">
        <v>113</v>
      </c>
      <c r="BG87" s="2" t="s">
        <v>135</v>
      </c>
      <c r="BH87" s="2"/>
      <c r="BI87" s="2"/>
      <c r="BJ87" s="2" t="s">
        <v>113</v>
      </c>
      <c r="BK87" s="2" t="s">
        <v>144</v>
      </c>
      <c r="BL87" s="2"/>
      <c r="BM87" s="2"/>
      <c r="BN87" s="2"/>
      <c r="BO87" s="2"/>
      <c r="BP87" s="2" t="s">
        <v>113</v>
      </c>
      <c r="BQ87" s="2"/>
      <c r="BR87" s="2"/>
      <c r="BS87" s="2"/>
      <c r="BT87" s="2"/>
      <c r="BU87" s="2"/>
      <c r="BV87" s="2"/>
      <c r="BW87" s="2" t="s">
        <v>135</v>
      </c>
      <c r="BX87" s="2" t="s">
        <v>195</v>
      </c>
      <c r="BY87" s="2"/>
      <c r="BZ87" s="2"/>
      <c r="CA87" s="2"/>
      <c r="CB87" s="2"/>
      <c r="CC87" s="2">
        <f t="shared" ref="CC87:CC88" si="5">3/4</f>
        <v>0.75</v>
      </c>
      <c r="CD87" s="2" t="s">
        <v>184</v>
      </c>
      <c r="CE87" s="2"/>
      <c r="CF87" s="2"/>
      <c r="CG87" s="2"/>
      <c r="CH87" s="2"/>
      <c r="CI87" s="2" t="s">
        <v>113</v>
      </c>
      <c r="CJ87" s="2" t="s">
        <v>135</v>
      </c>
      <c r="CK87" s="2" t="s">
        <v>114</v>
      </c>
      <c r="CL87" s="2"/>
      <c r="CM87" s="2"/>
      <c r="CN87" s="2"/>
      <c r="CO87" s="2" t="s">
        <v>359</v>
      </c>
      <c r="CP87" s="2"/>
      <c r="CQ87" s="2"/>
      <c r="CR87" s="2"/>
      <c r="CS87" s="2"/>
      <c r="CT87" s="2"/>
      <c r="CU87" s="2"/>
      <c r="CV87" s="2"/>
      <c r="CW87" s="2"/>
      <c r="CX87" s="2" t="s">
        <v>106</v>
      </c>
      <c r="CY87" s="2" t="s">
        <v>109</v>
      </c>
    </row>
    <row r="88" ht="15.75" customHeight="1">
      <c r="A88" s="2" t="s">
        <v>121</v>
      </c>
      <c r="B88" s="2" t="s">
        <v>150</v>
      </c>
      <c r="C88" s="3" t="s">
        <v>104</v>
      </c>
      <c r="D88" s="3"/>
      <c r="E88" s="2" t="s">
        <v>103</v>
      </c>
      <c r="F88" s="2"/>
      <c r="G88" s="2"/>
      <c r="H88" s="2" t="s">
        <v>109</v>
      </c>
      <c r="I88" s="2" t="s">
        <v>110</v>
      </c>
      <c r="J88" s="2" t="s">
        <v>123</v>
      </c>
      <c r="K88" s="2"/>
      <c r="L88" s="2" t="s">
        <v>214</v>
      </c>
      <c r="M88" s="2" t="s">
        <v>135</v>
      </c>
      <c r="N88" s="2" t="s">
        <v>388</v>
      </c>
      <c r="O88" s="2" t="s">
        <v>138</v>
      </c>
      <c r="P88" s="2"/>
      <c r="Q88" s="2"/>
      <c r="R88" s="2"/>
      <c r="S88" s="2" t="s">
        <v>389</v>
      </c>
      <c r="T88" s="2" t="s">
        <v>105</v>
      </c>
      <c r="U88" s="2" t="s">
        <v>109</v>
      </c>
      <c r="V88" s="2"/>
      <c r="W88" s="2"/>
      <c r="X88" s="2"/>
      <c r="Y88" s="2" t="s">
        <v>113</v>
      </c>
      <c r="Z88" s="2"/>
      <c r="AA88" s="2" t="s">
        <v>116</v>
      </c>
      <c r="AB88" s="2" t="s">
        <v>121</v>
      </c>
      <c r="AC88" s="5" t="s">
        <v>113</v>
      </c>
      <c r="AD88" s="2" t="s">
        <v>121</v>
      </c>
      <c r="AE88" s="2"/>
      <c r="AF88" s="2" t="s">
        <v>116</v>
      </c>
      <c r="AG88" s="2"/>
      <c r="AH88" s="2"/>
      <c r="AI88" s="2"/>
      <c r="AJ88" s="2" t="s">
        <v>146</v>
      </c>
      <c r="AK88" s="2"/>
      <c r="AL88" s="2" t="s">
        <v>155</v>
      </c>
      <c r="AM88" s="2" t="s">
        <v>133</v>
      </c>
      <c r="AN88" s="2" t="s">
        <v>171</v>
      </c>
      <c r="AO88" s="2" t="s">
        <v>118</v>
      </c>
      <c r="AP88" s="2" t="s">
        <v>103</v>
      </c>
      <c r="AQ88" s="2"/>
      <c r="AR88" s="2"/>
      <c r="AS88" s="2" t="s">
        <v>116</v>
      </c>
      <c r="AT88" s="2" t="s">
        <v>155</v>
      </c>
      <c r="AU88" s="2" t="s">
        <v>390</v>
      </c>
      <c r="AV88" s="2" t="s">
        <v>116</v>
      </c>
      <c r="AW88" s="2" t="s">
        <v>118</v>
      </c>
      <c r="AX88" s="2" t="s">
        <v>122</v>
      </c>
      <c r="AY88" s="2" t="s">
        <v>309</v>
      </c>
      <c r="AZ88" s="2"/>
      <c r="BA88" s="2"/>
      <c r="BB88" s="2"/>
      <c r="BC88" s="2"/>
      <c r="BD88" s="2" t="s">
        <v>116</v>
      </c>
      <c r="BE88" s="2" t="s">
        <v>131</v>
      </c>
      <c r="BF88" s="2" t="s">
        <v>113</v>
      </c>
      <c r="BG88" s="2" t="s">
        <v>135</v>
      </c>
      <c r="BH88" s="2"/>
      <c r="BI88" s="2"/>
      <c r="BJ88" s="4">
        <f>1 + (1/2)</f>
        <v>1.5</v>
      </c>
      <c r="BK88" s="2" t="s">
        <v>149</v>
      </c>
      <c r="BL88" s="2"/>
      <c r="BM88" s="2"/>
      <c r="BN88" s="2"/>
      <c r="BO88" s="2"/>
      <c r="BP88" s="2" t="s">
        <v>113</v>
      </c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>
        <f t="shared" si="5"/>
        <v>0.75</v>
      </c>
      <c r="CD88" s="2" t="s">
        <v>109</v>
      </c>
      <c r="CE88" s="2"/>
      <c r="CF88" s="2"/>
      <c r="CG88" s="2"/>
      <c r="CH88" s="2"/>
      <c r="CI88" s="2"/>
      <c r="CJ88" s="2" t="s">
        <v>131</v>
      </c>
      <c r="CK88" s="2" t="s">
        <v>137</v>
      </c>
      <c r="CL88" s="2"/>
      <c r="CM88" s="2"/>
      <c r="CN88" s="2"/>
      <c r="CO88" s="2" t="s">
        <v>111</v>
      </c>
      <c r="CP88" s="2"/>
      <c r="CQ88" s="2"/>
      <c r="CR88" s="2"/>
      <c r="CS88" s="2"/>
      <c r="CT88" s="2"/>
      <c r="CU88" s="2"/>
      <c r="CV88" s="2" t="s">
        <v>109</v>
      </c>
      <c r="CW88" s="2"/>
      <c r="CX88" s="2" t="s">
        <v>123</v>
      </c>
      <c r="CY88" s="2" t="s">
        <v>105</v>
      </c>
    </row>
    <row r="89" ht="15.75" customHeight="1">
      <c r="A89" s="2" t="s">
        <v>111</v>
      </c>
      <c r="B89" s="2" t="s">
        <v>150</v>
      </c>
      <c r="C89" s="3" t="s">
        <v>104</v>
      </c>
      <c r="D89" s="3"/>
      <c r="E89" s="2" t="s">
        <v>103</v>
      </c>
      <c r="F89" s="2"/>
      <c r="G89" s="2"/>
      <c r="H89" s="2" t="s">
        <v>105</v>
      </c>
      <c r="I89" s="2" t="s">
        <v>109</v>
      </c>
      <c r="J89" s="2" t="s">
        <v>133</v>
      </c>
      <c r="K89" s="2"/>
      <c r="L89" s="2" t="s">
        <v>264</v>
      </c>
      <c r="M89" s="2"/>
      <c r="N89" s="2" t="s">
        <v>136</v>
      </c>
      <c r="O89" s="2" t="s">
        <v>113</v>
      </c>
      <c r="P89" s="2"/>
      <c r="Q89" s="2" t="s">
        <v>105</v>
      </c>
      <c r="R89" s="2"/>
      <c r="S89" s="2" t="s">
        <v>391</v>
      </c>
      <c r="T89" s="2" t="s">
        <v>232</v>
      </c>
      <c r="U89" s="2" t="s">
        <v>109</v>
      </c>
      <c r="V89" s="2" t="s">
        <v>105</v>
      </c>
      <c r="W89" s="2"/>
      <c r="X89" s="2"/>
      <c r="Y89" s="2" t="s">
        <v>113</v>
      </c>
      <c r="Z89" s="2"/>
      <c r="AA89" s="2"/>
      <c r="AB89" s="2"/>
      <c r="AC89" s="2"/>
      <c r="AD89" s="2" t="s">
        <v>116</v>
      </c>
      <c r="AE89" s="2"/>
      <c r="AF89" s="2" t="s">
        <v>103</v>
      </c>
      <c r="AG89" s="2"/>
      <c r="AH89" s="2"/>
      <c r="AI89" s="2"/>
      <c r="AJ89" s="2" t="s">
        <v>137</v>
      </c>
      <c r="AK89" s="2"/>
      <c r="AL89" s="2"/>
      <c r="AM89" s="2" t="s">
        <v>138</v>
      </c>
      <c r="AN89" s="2"/>
      <c r="AO89" s="2"/>
      <c r="AP89" s="2"/>
      <c r="AQ89" s="2"/>
      <c r="AR89" s="2" t="s">
        <v>113</v>
      </c>
      <c r="AS89" s="2"/>
      <c r="AT89" s="2"/>
      <c r="AU89" s="2"/>
      <c r="AV89" s="2"/>
      <c r="AW89" s="2" t="s">
        <v>142</v>
      </c>
      <c r="AX89" s="2"/>
      <c r="AY89" s="2" t="s">
        <v>392</v>
      </c>
      <c r="AZ89" s="2"/>
      <c r="BA89" s="2"/>
      <c r="BB89" s="2"/>
      <c r="BC89" s="2"/>
      <c r="BD89" s="2" t="s">
        <v>113</v>
      </c>
      <c r="BE89" s="2" t="s">
        <v>393</v>
      </c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 t="s">
        <v>103</v>
      </c>
      <c r="CD89" s="2" t="s">
        <v>142</v>
      </c>
      <c r="CE89" s="2"/>
      <c r="CF89" s="2"/>
      <c r="CG89" s="2"/>
      <c r="CH89" s="2"/>
      <c r="CI89" s="2" t="s">
        <v>113</v>
      </c>
      <c r="CJ89" s="2" t="s">
        <v>110</v>
      </c>
      <c r="CK89" s="2" t="s">
        <v>394</v>
      </c>
      <c r="CL89" s="2"/>
      <c r="CM89" s="2"/>
      <c r="CN89" s="2"/>
      <c r="CO89" s="2" t="s">
        <v>123</v>
      </c>
      <c r="CP89" s="2"/>
      <c r="CQ89" s="2"/>
      <c r="CR89" s="2"/>
      <c r="CS89" s="2"/>
      <c r="CT89" s="2"/>
      <c r="CU89" s="2"/>
      <c r="CV89" s="2"/>
      <c r="CW89" s="2"/>
      <c r="CX89" s="2"/>
      <c r="CY89" s="2"/>
    </row>
    <row r="90" ht="15.75" customHeight="1">
      <c r="A90" s="2" t="s">
        <v>150</v>
      </c>
      <c r="B90" s="2" t="s">
        <v>150</v>
      </c>
      <c r="C90" s="3" t="s">
        <v>104</v>
      </c>
      <c r="D90" s="3"/>
      <c r="E90" s="2" t="s">
        <v>103</v>
      </c>
      <c r="F90" s="2"/>
      <c r="G90" s="2"/>
      <c r="H90" s="2" t="s">
        <v>111</v>
      </c>
      <c r="I90" s="2" t="s">
        <v>244</v>
      </c>
      <c r="J90" s="2" t="s">
        <v>103</v>
      </c>
      <c r="K90" s="2" t="s">
        <v>138</v>
      </c>
      <c r="L90" s="2" t="s">
        <v>218</v>
      </c>
      <c r="M90" s="2"/>
      <c r="N90" s="2" t="s">
        <v>395</v>
      </c>
      <c r="O90" s="2" t="s">
        <v>121</v>
      </c>
      <c r="P90" s="2"/>
      <c r="Q90" s="2" t="s">
        <v>236</v>
      </c>
      <c r="R90" s="2" t="s">
        <v>144</v>
      </c>
      <c r="S90" s="2" t="s">
        <v>396</v>
      </c>
      <c r="T90" s="2" t="s">
        <v>123</v>
      </c>
      <c r="U90" s="2" t="s">
        <v>115</v>
      </c>
      <c r="V90" s="2" t="s">
        <v>115</v>
      </c>
      <c r="W90" s="2"/>
      <c r="X90" s="2"/>
      <c r="Y90" s="2"/>
      <c r="Z90" s="2"/>
      <c r="AA90" s="2"/>
      <c r="AB90" s="2" t="s">
        <v>122</v>
      </c>
      <c r="AC90" s="2" t="s">
        <v>103</v>
      </c>
      <c r="AD90" s="2" t="s">
        <v>122</v>
      </c>
      <c r="AE90" s="2"/>
      <c r="AF90" s="2" t="s">
        <v>116</v>
      </c>
      <c r="AG90" s="2"/>
      <c r="AH90" s="2"/>
      <c r="AI90" s="2"/>
      <c r="AJ90" s="2" t="s">
        <v>164</v>
      </c>
      <c r="AK90" s="2"/>
      <c r="AL90" s="2" t="s">
        <v>130</v>
      </c>
      <c r="AM90" s="2" t="s">
        <v>130</v>
      </c>
      <c r="AN90" s="2"/>
      <c r="AO90" s="2" t="s">
        <v>130</v>
      </c>
      <c r="AP90" s="2"/>
      <c r="AQ90" s="2"/>
      <c r="AR90" s="2"/>
      <c r="AS90" s="2"/>
      <c r="AT90" s="2" t="s">
        <v>130</v>
      </c>
      <c r="AU90" s="2" t="s">
        <v>188</v>
      </c>
      <c r="AV90" s="2" t="s">
        <v>103</v>
      </c>
      <c r="AW90" s="2" t="s">
        <v>149</v>
      </c>
      <c r="AX90" s="2"/>
      <c r="AY90" s="2" t="s">
        <v>281</v>
      </c>
      <c r="AZ90" s="2"/>
      <c r="BA90" s="2"/>
      <c r="BB90" s="2"/>
      <c r="BC90" s="2"/>
      <c r="BD90" s="2" t="s">
        <v>116</v>
      </c>
      <c r="BE90" s="2" t="s">
        <v>142</v>
      </c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 t="s">
        <v>135</v>
      </c>
      <c r="BX90" s="2"/>
      <c r="BY90" s="2"/>
      <c r="BZ90" s="2"/>
      <c r="CA90" s="2"/>
      <c r="CB90" s="2"/>
      <c r="CC90" s="2"/>
      <c r="CD90" s="2" t="s">
        <v>106</v>
      </c>
      <c r="CE90" s="2"/>
      <c r="CF90" s="2"/>
      <c r="CG90" s="2"/>
      <c r="CH90" s="2"/>
      <c r="CI90" s="2"/>
      <c r="CJ90" s="2" t="s">
        <v>112</v>
      </c>
      <c r="CK90" s="2" t="s">
        <v>131</v>
      </c>
      <c r="CL90" s="2"/>
      <c r="CM90" s="2"/>
      <c r="CN90" s="2"/>
      <c r="CO90" s="2" t="s">
        <v>118</v>
      </c>
      <c r="CP90" s="2"/>
      <c r="CQ90" s="2"/>
      <c r="CR90" s="2"/>
      <c r="CS90" s="2"/>
      <c r="CT90" s="2"/>
      <c r="CU90" s="2"/>
      <c r="CV90" s="2"/>
      <c r="CW90" s="2"/>
      <c r="CX90" s="2" t="s">
        <v>118</v>
      </c>
      <c r="CY90" s="2" t="s">
        <v>151</v>
      </c>
    </row>
    <row r="91" ht="15.75" customHeight="1">
      <c r="A91" s="2" t="s">
        <v>138</v>
      </c>
      <c r="B91" s="2" t="s">
        <v>150</v>
      </c>
      <c r="C91" s="3" t="s">
        <v>104</v>
      </c>
      <c r="D91" s="3"/>
      <c r="E91" s="2" t="s">
        <v>103</v>
      </c>
      <c r="F91" s="2"/>
      <c r="G91" s="2"/>
      <c r="H91" s="2" t="s">
        <v>112</v>
      </c>
      <c r="I91" s="2" t="s">
        <v>107</v>
      </c>
      <c r="J91" s="2" t="s">
        <v>105</v>
      </c>
      <c r="K91" s="2"/>
      <c r="L91" s="2" t="s">
        <v>397</v>
      </c>
      <c r="M91" s="2"/>
      <c r="N91" s="2" t="s">
        <v>350</v>
      </c>
      <c r="O91" s="2"/>
      <c r="P91" s="2"/>
      <c r="Q91" s="2" t="s">
        <v>398</v>
      </c>
      <c r="R91" s="2" t="s">
        <v>111</v>
      </c>
      <c r="S91" s="2" t="s">
        <v>260</v>
      </c>
      <c r="T91" s="2" t="s">
        <v>227</v>
      </c>
      <c r="U91" s="2" t="s">
        <v>174</v>
      </c>
      <c r="V91" s="2" t="s">
        <v>227</v>
      </c>
      <c r="W91" s="2"/>
      <c r="X91" s="2"/>
      <c r="Y91" s="2"/>
      <c r="Z91" s="2"/>
      <c r="AA91" s="2"/>
      <c r="AB91" s="2" t="s">
        <v>122</v>
      </c>
      <c r="AC91" s="2" t="s">
        <v>103</v>
      </c>
      <c r="AD91" s="2" t="s">
        <v>113</v>
      </c>
      <c r="AE91" s="2"/>
      <c r="AF91" s="2" t="s">
        <v>103</v>
      </c>
      <c r="AG91" s="2"/>
      <c r="AH91" s="2"/>
      <c r="AI91" s="2"/>
      <c r="AJ91" s="2" t="s">
        <v>367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 t="s">
        <v>103</v>
      </c>
      <c r="AW91" s="2" t="s">
        <v>148</v>
      </c>
      <c r="AX91" s="2" t="s">
        <v>116</v>
      </c>
      <c r="AY91" s="2" t="s">
        <v>276</v>
      </c>
      <c r="AZ91" s="2"/>
      <c r="BA91" s="2"/>
      <c r="BB91" s="2"/>
      <c r="BC91" s="2"/>
      <c r="BD91" s="4">
        <f>1 + (1/4)</f>
        <v>1.25</v>
      </c>
      <c r="BE91" s="2" t="s">
        <v>109</v>
      </c>
      <c r="BF91" s="2" t="s">
        <v>103</v>
      </c>
      <c r="BG91" s="2" t="s">
        <v>115</v>
      </c>
      <c r="BH91" s="2"/>
      <c r="BI91" s="2"/>
      <c r="BJ91" s="2"/>
      <c r="BK91" s="2"/>
      <c r="BL91" s="2" t="s">
        <v>138</v>
      </c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 t="s">
        <v>181</v>
      </c>
      <c r="BX91" s="2"/>
      <c r="BY91" s="2"/>
      <c r="BZ91" s="2"/>
      <c r="CA91" s="2"/>
      <c r="CB91" s="2"/>
      <c r="CC91" s="2">
        <f>1/2</f>
        <v>0.5</v>
      </c>
      <c r="CD91" s="2" t="s">
        <v>131</v>
      </c>
      <c r="CE91" s="2"/>
      <c r="CF91" s="2"/>
      <c r="CG91" s="2"/>
      <c r="CH91" s="2"/>
      <c r="CI91" s="2"/>
      <c r="CJ91" s="2" t="s">
        <v>109</v>
      </c>
      <c r="CK91" s="2" t="s">
        <v>176</v>
      </c>
      <c r="CL91" s="2"/>
      <c r="CM91" s="2"/>
      <c r="CN91" s="2"/>
      <c r="CO91" s="2" t="s">
        <v>106</v>
      </c>
      <c r="CP91" s="2"/>
      <c r="CQ91" s="2"/>
      <c r="CR91" s="2"/>
      <c r="CS91" s="2"/>
      <c r="CT91" s="2"/>
      <c r="CU91" s="2"/>
      <c r="CV91" s="2"/>
      <c r="CW91" s="2"/>
      <c r="CX91" s="2" t="s">
        <v>138</v>
      </c>
      <c r="CY91" s="5" t="s">
        <v>106</v>
      </c>
    </row>
    <row r="92" ht="15.75" customHeight="1">
      <c r="A92" s="2" t="s">
        <v>103</v>
      </c>
      <c r="B92" s="2" t="s">
        <v>138</v>
      </c>
      <c r="C92" s="3" t="s">
        <v>104</v>
      </c>
      <c r="D92" s="3"/>
      <c r="E92" s="2" t="s">
        <v>103</v>
      </c>
      <c r="F92" s="2"/>
      <c r="G92" s="2"/>
      <c r="H92" s="2" t="s">
        <v>113</v>
      </c>
      <c r="I92" s="2"/>
      <c r="J92" s="2"/>
      <c r="K92" s="2"/>
      <c r="L92" s="2" t="s">
        <v>126</v>
      </c>
      <c r="M92" s="2"/>
      <c r="N92" s="2" t="s">
        <v>161</v>
      </c>
      <c r="O92" s="2"/>
      <c r="P92" s="2"/>
      <c r="Q92" s="2"/>
      <c r="R92" s="2"/>
      <c r="S92" s="2" t="s">
        <v>398</v>
      </c>
      <c r="T92" s="2"/>
      <c r="U92" s="2"/>
      <c r="V92" s="2"/>
      <c r="W92" s="2"/>
      <c r="X92" s="2"/>
      <c r="Y92" s="2" t="s">
        <v>103</v>
      </c>
      <c r="Z92" s="2"/>
      <c r="AA92" s="2"/>
      <c r="AB92" s="2" t="s">
        <v>103</v>
      </c>
      <c r="AC92" s="2" t="s">
        <v>103</v>
      </c>
      <c r="AD92" s="2" t="s">
        <v>103</v>
      </c>
      <c r="AE92" s="2"/>
      <c r="AF92" s="2"/>
      <c r="AG92" s="2"/>
      <c r="AH92" s="2"/>
      <c r="AI92" s="2"/>
      <c r="AJ92" s="2" t="s">
        <v>136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 t="s">
        <v>103</v>
      </c>
      <c r="AW92" s="2"/>
      <c r="AX92" s="2"/>
      <c r="AY92" s="2"/>
      <c r="AZ92" s="2"/>
      <c r="BA92" s="2"/>
      <c r="BB92" s="2"/>
      <c r="BC92" s="2"/>
      <c r="BD92" s="2"/>
      <c r="BE92" s="2"/>
      <c r="BF92" s="2" t="s">
        <v>116</v>
      </c>
      <c r="BG92" s="2" t="s">
        <v>133</v>
      </c>
      <c r="BH92" s="2"/>
      <c r="BI92" s="2"/>
      <c r="BJ92" s="2"/>
      <c r="BK92" s="2"/>
      <c r="BL92" s="2"/>
      <c r="BM92" s="2"/>
      <c r="BN92" s="2"/>
      <c r="BO92" s="2"/>
      <c r="BP92" s="2" t="s">
        <v>103</v>
      </c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 t="s">
        <v>103</v>
      </c>
      <c r="CJ92" s="2" t="s">
        <v>105</v>
      </c>
      <c r="CK92" s="2" t="s">
        <v>135</v>
      </c>
      <c r="CL92" s="2"/>
      <c r="CM92" s="2"/>
      <c r="CN92" s="2"/>
      <c r="CO92" s="2" t="s">
        <v>133</v>
      </c>
      <c r="CP92" s="2"/>
      <c r="CQ92" s="2"/>
      <c r="CR92" s="2"/>
      <c r="CS92" s="2"/>
      <c r="CT92" s="2"/>
      <c r="CU92" s="2"/>
      <c r="CV92" s="2"/>
      <c r="CW92" s="2"/>
      <c r="CX92" s="2"/>
      <c r="CY92" s="2"/>
    </row>
    <row r="93" ht="15.75" customHeight="1">
      <c r="A93" s="2" t="s">
        <v>116</v>
      </c>
      <c r="B93" s="2" t="s">
        <v>138</v>
      </c>
      <c r="C93" s="3" t="s">
        <v>104</v>
      </c>
      <c r="D93" s="3"/>
      <c r="E93" s="2" t="s">
        <v>103</v>
      </c>
      <c r="F93" s="2"/>
      <c r="G93" s="2"/>
      <c r="H93" s="2" t="s">
        <v>138</v>
      </c>
      <c r="I93" s="2" t="s">
        <v>151</v>
      </c>
      <c r="J93" s="2" t="s">
        <v>130</v>
      </c>
      <c r="K93" s="2"/>
      <c r="L93" s="2" t="s">
        <v>177</v>
      </c>
      <c r="M93" s="2" t="s">
        <v>109</v>
      </c>
      <c r="N93" s="2" t="s">
        <v>399</v>
      </c>
      <c r="O93" s="2" t="s">
        <v>122</v>
      </c>
      <c r="P93" s="2"/>
      <c r="Q93" s="2" t="s">
        <v>105</v>
      </c>
      <c r="R93" s="2"/>
      <c r="S93" s="2" t="s">
        <v>400</v>
      </c>
      <c r="T93" s="2" t="s">
        <v>133</v>
      </c>
      <c r="U93" s="2" t="s">
        <v>130</v>
      </c>
      <c r="V93" s="2" t="s">
        <v>166</v>
      </c>
      <c r="W93" s="2"/>
      <c r="X93" s="2"/>
      <c r="Y93" s="2" t="s">
        <v>116</v>
      </c>
      <c r="Z93" s="2"/>
      <c r="AA93" s="2"/>
      <c r="AB93" s="2" t="s">
        <v>113</v>
      </c>
      <c r="AC93" s="2" t="s">
        <v>103</v>
      </c>
      <c r="AD93" s="2" t="s">
        <v>113</v>
      </c>
      <c r="AE93" s="2"/>
      <c r="AF93" s="2" t="s">
        <v>116</v>
      </c>
      <c r="AG93" s="2"/>
      <c r="AH93" s="2"/>
      <c r="AI93" s="2"/>
      <c r="AJ93" s="2" t="s">
        <v>179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 t="s">
        <v>103</v>
      </c>
      <c r="AW93" s="2" t="s">
        <v>106</v>
      </c>
      <c r="AX93" s="2"/>
      <c r="AY93" s="2" t="s">
        <v>401</v>
      </c>
      <c r="AZ93" s="2"/>
      <c r="BA93" s="2"/>
      <c r="BB93" s="2"/>
      <c r="BC93" s="2"/>
      <c r="BD93" s="2" t="s">
        <v>116</v>
      </c>
      <c r="BE93" s="2" t="s">
        <v>118</v>
      </c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 t="s">
        <v>103</v>
      </c>
      <c r="CD93" s="2" t="s">
        <v>109</v>
      </c>
      <c r="CE93" s="2"/>
      <c r="CF93" s="2"/>
      <c r="CG93" s="2"/>
      <c r="CH93" s="2"/>
      <c r="CI93" s="2" t="s">
        <v>103</v>
      </c>
      <c r="CJ93" s="2" t="s">
        <v>155</v>
      </c>
      <c r="CK93" s="2" t="s">
        <v>136</v>
      </c>
      <c r="CL93" s="2"/>
      <c r="CM93" s="2"/>
      <c r="CN93" s="2"/>
      <c r="CO93" s="2" t="s">
        <v>123</v>
      </c>
      <c r="CP93" s="2"/>
      <c r="CQ93" s="2"/>
      <c r="CR93" s="2"/>
      <c r="CS93" s="2"/>
      <c r="CT93" s="2"/>
      <c r="CU93" s="2"/>
      <c r="CV93" s="2"/>
      <c r="CW93" s="2"/>
      <c r="CX93" s="2"/>
      <c r="CY93" s="2"/>
    </row>
    <row r="94" ht="15.75" customHeight="1">
      <c r="A94" s="2" t="s">
        <v>113</v>
      </c>
      <c r="B94" s="2" t="s">
        <v>138</v>
      </c>
      <c r="C94" s="3" t="s">
        <v>104</v>
      </c>
      <c r="D94" s="3"/>
      <c r="E94" s="2" t="s">
        <v>103</v>
      </c>
      <c r="F94" s="2"/>
      <c r="G94" s="2"/>
      <c r="H94" s="2" t="s">
        <v>402</v>
      </c>
      <c r="I94" s="2" t="s">
        <v>143</v>
      </c>
      <c r="J94" s="2" t="s">
        <v>129</v>
      </c>
      <c r="K94" s="2" t="s">
        <v>105</v>
      </c>
      <c r="L94" s="2" t="s">
        <v>167</v>
      </c>
      <c r="M94" s="2" t="s">
        <v>321</v>
      </c>
      <c r="N94" s="2" t="s">
        <v>403</v>
      </c>
      <c r="O94" s="2" t="s">
        <v>129</v>
      </c>
      <c r="P94" s="2"/>
      <c r="Q94" s="2" t="s">
        <v>290</v>
      </c>
      <c r="R94" s="2" t="s">
        <v>118</v>
      </c>
      <c r="S94" s="2" t="s">
        <v>404</v>
      </c>
      <c r="T94" s="2" t="s">
        <v>185</v>
      </c>
      <c r="U94" s="2" t="s">
        <v>130</v>
      </c>
      <c r="V94" s="2" t="s">
        <v>185</v>
      </c>
      <c r="W94" s="2"/>
      <c r="X94" s="2"/>
      <c r="Y94" s="2" t="s">
        <v>103</v>
      </c>
      <c r="Z94" s="2"/>
      <c r="AA94" s="2"/>
      <c r="AB94" s="2" t="s">
        <v>122</v>
      </c>
      <c r="AC94" s="2"/>
      <c r="AD94" s="2" t="s">
        <v>113</v>
      </c>
      <c r="AE94" s="2"/>
      <c r="AF94" s="2" t="s">
        <v>116</v>
      </c>
      <c r="AG94" s="2" t="s">
        <v>103</v>
      </c>
      <c r="AH94" s="2"/>
      <c r="AI94" s="2"/>
      <c r="AJ94" s="2" t="s">
        <v>274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 t="s">
        <v>103</v>
      </c>
      <c r="AW94" s="2" t="s">
        <v>143</v>
      </c>
      <c r="AX94" s="2"/>
      <c r="AY94" s="2" t="s">
        <v>120</v>
      </c>
      <c r="AZ94" s="2"/>
      <c r="BA94" s="2"/>
      <c r="BB94" s="2"/>
      <c r="BC94" s="2"/>
      <c r="BD94" s="2" t="s">
        <v>103</v>
      </c>
      <c r="BE94" s="2" t="s">
        <v>109</v>
      </c>
      <c r="BF94" s="4">
        <f>1 + (1/2)</f>
        <v>1.5</v>
      </c>
      <c r="BG94" s="2" t="s">
        <v>131</v>
      </c>
      <c r="BH94" s="2"/>
      <c r="BI94" s="2"/>
      <c r="BJ94" s="2"/>
      <c r="BK94" s="2"/>
      <c r="BL94" s="2"/>
      <c r="BM94" s="2"/>
      <c r="BN94" s="2"/>
      <c r="BO94" s="2"/>
      <c r="BP94" s="2" t="s">
        <v>103</v>
      </c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>
        <f>1/2</f>
        <v>0.5</v>
      </c>
      <c r="CD94" s="2" t="s">
        <v>131</v>
      </c>
      <c r="CE94" s="2"/>
      <c r="CF94" s="2"/>
      <c r="CG94" s="2"/>
      <c r="CH94" s="2"/>
      <c r="CI94" s="2" t="s">
        <v>103</v>
      </c>
      <c r="CJ94" s="2" t="s">
        <v>109</v>
      </c>
      <c r="CK94" s="2" t="s">
        <v>136</v>
      </c>
      <c r="CL94" s="2"/>
      <c r="CM94" s="2"/>
      <c r="CN94" s="2"/>
      <c r="CO94" s="2" t="s">
        <v>123</v>
      </c>
      <c r="CP94" s="2"/>
      <c r="CQ94" s="2"/>
      <c r="CR94" s="2"/>
      <c r="CS94" s="2"/>
      <c r="CT94" s="2"/>
      <c r="CU94" s="2"/>
      <c r="CV94" s="2"/>
      <c r="CW94" s="2"/>
      <c r="CX94" s="2" t="s">
        <v>105</v>
      </c>
      <c r="CY94" s="2" t="s">
        <v>142</v>
      </c>
    </row>
    <row r="95" ht="15.75" customHeight="1">
      <c r="A95" s="2" t="s">
        <v>122</v>
      </c>
      <c r="B95" s="2" t="s">
        <v>138</v>
      </c>
      <c r="C95" s="3" t="s">
        <v>104</v>
      </c>
      <c r="D95" s="3"/>
      <c r="E95" s="2" t="s">
        <v>103</v>
      </c>
      <c r="F95" s="2"/>
      <c r="G95" s="2"/>
      <c r="H95" s="2" t="s">
        <v>113</v>
      </c>
      <c r="I95" s="2" t="s">
        <v>144</v>
      </c>
      <c r="J95" s="2"/>
      <c r="K95" s="2"/>
      <c r="L95" s="2" t="s">
        <v>160</v>
      </c>
      <c r="M95" s="2" t="s">
        <v>137</v>
      </c>
      <c r="N95" s="2" t="s">
        <v>253</v>
      </c>
      <c r="O95" s="2"/>
      <c r="P95" s="2"/>
      <c r="Q95" s="2"/>
      <c r="R95" s="2"/>
      <c r="S95" s="2" t="s">
        <v>187</v>
      </c>
      <c r="T95" s="2" t="s">
        <v>144</v>
      </c>
      <c r="U95" s="2" t="s">
        <v>103</v>
      </c>
      <c r="V95" s="2" t="s">
        <v>123</v>
      </c>
      <c r="W95" s="2"/>
      <c r="X95" s="2"/>
      <c r="Y95" s="2" t="s">
        <v>103</v>
      </c>
      <c r="Z95" s="2"/>
      <c r="AA95" s="2"/>
      <c r="AB95" s="2" t="s">
        <v>103</v>
      </c>
      <c r="AC95" s="2"/>
      <c r="AD95" s="2" t="s">
        <v>103</v>
      </c>
      <c r="AE95" s="2"/>
      <c r="AF95" s="2" t="s">
        <v>103</v>
      </c>
      <c r="AG95" s="2"/>
      <c r="AH95" s="2"/>
      <c r="AI95" s="2"/>
      <c r="AJ95" s="2" t="s">
        <v>405</v>
      </c>
      <c r="AK95" s="2"/>
      <c r="AL95" s="2" t="s">
        <v>103</v>
      </c>
      <c r="AM95" s="2"/>
      <c r="AN95" s="2"/>
      <c r="AO95" s="2"/>
      <c r="AP95" s="2"/>
      <c r="AQ95" s="2"/>
      <c r="AR95" s="2"/>
      <c r="AS95" s="2"/>
      <c r="AT95" s="2" t="s">
        <v>103</v>
      </c>
      <c r="AU95" s="2" t="s">
        <v>113</v>
      </c>
      <c r="AV95" s="2" t="s">
        <v>116</v>
      </c>
      <c r="AW95" s="2" t="s">
        <v>121</v>
      </c>
      <c r="AX95" s="2"/>
      <c r="AY95" s="2" t="s">
        <v>206</v>
      </c>
      <c r="AZ95" s="2"/>
      <c r="BA95" s="2"/>
      <c r="BB95" s="2"/>
      <c r="BC95" s="2"/>
      <c r="BD95" s="2" t="s">
        <v>103</v>
      </c>
      <c r="BE95" s="2" t="s">
        <v>109</v>
      </c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>
        <f>1/3</f>
        <v>0.3333333333</v>
      </c>
      <c r="CD95" s="2" t="s">
        <v>109</v>
      </c>
      <c r="CE95" s="2"/>
      <c r="CF95" s="2"/>
      <c r="CG95" s="2"/>
      <c r="CH95" s="2"/>
      <c r="CI95" s="2" t="s">
        <v>103</v>
      </c>
      <c r="CJ95" s="2" t="s">
        <v>105</v>
      </c>
      <c r="CK95" s="2" t="s">
        <v>137</v>
      </c>
      <c r="CL95" s="2"/>
      <c r="CM95" s="2"/>
      <c r="CN95" s="2"/>
      <c r="CO95" s="2" t="s">
        <v>123</v>
      </c>
      <c r="CP95" s="2"/>
      <c r="CQ95" s="2"/>
      <c r="CR95" s="2"/>
      <c r="CS95" s="2"/>
      <c r="CT95" s="2"/>
      <c r="CU95" s="2"/>
      <c r="CV95" s="2"/>
      <c r="CW95" s="2"/>
      <c r="CX95" s="2"/>
      <c r="CY95" s="2"/>
    </row>
    <row r="96" ht="15.75" customHeight="1">
      <c r="A96" s="2" t="s">
        <v>129</v>
      </c>
      <c r="B96" s="2" t="s">
        <v>138</v>
      </c>
      <c r="C96" s="3" t="s">
        <v>104</v>
      </c>
      <c r="D96" s="3"/>
      <c r="E96" s="2" t="s">
        <v>103</v>
      </c>
      <c r="F96" s="2"/>
      <c r="G96" s="2"/>
      <c r="H96" s="2" t="s">
        <v>157</v>
      </c>
      <c r="I96" s="2" t="s">
        <v>143</v>
      </c>
      <c r="J96" s="2" t="s">
        <v>122</v>
      </c>
      <c r="K96" s="2"/>
      <c r="L96" s="2" t="s">
        <v>360</v>
      </c>
      <c r="M96" s="2" t="s">
        <v>187</v>
      </c>
      <c r="N96" s="2" t="s">
        <v>406</v>
      </c>
      <c r="O96" s="2" t="s">
        <v>116</v>
      </c>
      <c r="P96" s="2"/>
      <c r="Q96" s="2"/>
      <c r="R96" s="2"/>
      <c r="S96" s="2" t="s">
        <v>407</v>
      </c>
      <c r="T96" s="2" t="s">
        <v>149</v>
      </c>
      <c r="U96" s="2" t="s">
        <v>143</v>
      </c>
      <c r="V96" s="2" t="s">
        <v>106</v>
      </c>
      <c r="W96" s="2"/>
      <c r="X96" s="2"/>
      <c r="Y96" s="2" t="s">
        <v>116</v>
      </c>
      <c r="Z96" s="2"/>
      <c r="AA96" s="2"/>
      <c r="AB96" s="2" t="s">
        <v>150</v>
      </c>
      <c r="AC96" s="2" t="s">
        <v>122</v>
      </c>
      <c r="AD96" s="2" t="s">
        <v>121</v>
      </c>
      <c r="AE96" s="2" t="s">
        <v>116</v>
      </c>
      <c r="AF96" s="2" t="s">
        <v>122</v>
      </c>
      <c r="AG96" s="2" t="s">
        <v>103</v>
      </c>
      <c r="AH96" s="2"/>
      <c r="AI96" s="2"/>
      <c r="AJ96" s="2" t="s">
        <v>408</v>
      </c>
      <c r="AK96" s="2"/>
      <c r="AL96" s="2" t="s">
        <v>144</v>
      </c>
      <c r="AM96" s="2" t="s">
        <v>129</v>
      </c>
      <c r="AN96" s="2" t="s">
        <v>103</v>
      </c>
      <c r="AO96" s="2"/>
      <c r="AP96" s="2"/>
      <c r="AQ96" s="2"/>
      <c r="AR96" s="2"/>
      <c r="AS96" s="2"/>
      <c r="AT96" s="2" t="s">
        <v>144</v>
      </c>
      <c r="AU96" s="2" t="s">
        <v>169</v>
      </c>
      <c r="AV96" s="2" t="s">
        <v>116</v>
      </c>
      <c r="AW96" s="2" t="s">
        <v>148</v>
      </c>
      <c r="AX96" s="2"/>
      <c r="AY96" s="2" t="s">
        <v>185</v>
      </c>
      <c r="AZ96" s="2"/>
      <c r="BA96" s="2"/>
      <c r="BB96" s="2"/>
      <c r="BC96" s="2"/>
      <c r="BD96" s="4">
        <f>1 + (1/2)</f>
        <v>1.5</v>
      </c>
      <c r="BE96" s="2" t="s">
        <v>137</v>
      </c>
      <c r="BF96" s="2">
        <f>2/3</f>
        <v>0.6666666667</v>
      </c>
      <c r="BG96" s="2" t="s">
        <v>213</v>
      </c>
      <c r="BH96" s="2"/>
      <c r="BI96" s="2"/>
      <c r="BJ96" s="2" t="s">
        <v>103</v>
      </c>
      <c r="BK96" s="2" t="s">
        <v>171</v>
      </c>
      <c r="BL96" s="2"/>
      <c r="BM96" s="2"/>
      <c r="BN96" s="2"/>
      <c r="BO96" s="2"/>
      <c r="BP96" s="2" t="s">
        <v>116</v>
      </c>
      <c r="BQ96" s="2"/>
      <c r="BR96" s="2"/>
      <c r="BS96" s="2"/>
      <c r="BT96" s="2"/>
      <c r="BU96" s="2"/>
      <c r="BV96" s="2"/>
      <c r="BW96" s="2" t="s">
        <v>180</v>
      </c>
      <c r="BX96" s="2" t="s">
        <v>111</v>
      </c>
      <c r="BY96" s="2"/>
      <c r="BZ96" s="2"/>
      <c r="CA96" s="2"/>
      <c r="CB96" s="2"/>
      <c r="CC96" s="2" t="s">
        <v>103</v>
      </c>
      <c r="CD96" s="2" t="s">
        <v>120</v>
      </c>
      <c r="CE96" s="2"/>
      <c r="CF96" s="2"/>
      <c r="CG96" s="2"/>
      <c r="CH96" s="2"/>
      <c r="CI96" s="2" t="s">
        <v>122</v>
      </c>
      <c r="CJ96" s="2" t="s">
        <v>137</v>
      </c>
      <c r="CK96" s="2" t="s">
        <v>183</v>
      </c>
      <c r="CL96" s="2"/>
      <c r="CM96" s="2"/>
      <c r="CN96" s="2"/>
      <c r="CO96" s="2" t="s">
        <v>187</v>
      </c>
      <c r="CP96" s="2"/>
      <c r="CQ96" s="2"/>
      <c r="CR96" s="2"/>
      <c r="CS96" s="2"/>
      <c r="CT96" s="2"/>
      <c r="CU96" s="2"/>
      <c r="CV96" s="2"/>
      <c r="CW96" s="2"/>
      <c r="CX96" s="2" t="s">
        <v>113</v>
      </c>
      <c r="CY96" s="2" t="s">
        <v>130</v>
      </c>
    </row>
    <row r="97" ht="15.75" customHeight="1">
      <c r="A97" s="2" t="s">
        <v>130</v>
      </c>
      <c r="B97" s="2" t="s">
        <v>138</v>
      </c>
      <c r="C97" s="3" t="s">
        <v>104</v>
      </c>
      <c r="D97" s="3"/>
      <c r="E97" s="2" t="s">
        <v>103</v>
      </c>
      <c r="F97" s="2"/>
      <c r="G97" s="2"/>
      <c r="H97" s="2" t="s">
        <v>138</v>
      </c>
      <c r="I97" s="2" t="s">
        <v>138</v>
      </c>
      <c r="J97" s="2" t="s">
        <v>138</v>
      </c>
      <c r="K97" s="2"/>
      <c r="L97" s="2" t="s">
        <v>153</v>
      </c>
      <c r="M97" s="2" t="s">
        <v>123</v>
      </c>
      <c r="N97" s="2" t="s">
        <v>119</v>
      </c>
      <c r="O97" s="2"/>
      <c r="P97" s="2"/>
      <c r="Q97" s="2" t="s">
        <v>123</v>
      </c>
      <c r="R97" s="2"/>
      <c r="S97" s="2" t="s">
        <v>409</v>
      </c>
      <c r="T97" s="2" t="s">
        <v>111</v>
      </c>
      <c r="U97" s="2" t="s">
        <v>138</v>
      </c>
      <c r="V97" s="2" t="s">
        <v>121</v>
      </c>
      <c r="W97" s="2"/>
      <c r="X97" s="2"/>
      <c r="Y97" s="2" t="s">
        <v>103</v>
      </c>
      <c r="Z97" s="2"/>
      <c r="AA97" s="2"/>
      <c r="AB97" s="2" t="s">
        <v>116</v>
      </c>
      <c r="AC97" s="2" t="s">
        <v>103</v>
      </c>
      <c r="AD97" s="2" t="s">
        <v>116</v>
      </c>
      <c r="AE97" s="2"/>
      <c r="AF97" s="2" t="s">
        <v>103</v>
      </c>
      <c r="AG97" s="2"/>
      <c r="AH97" s="2"/>
      <c r="AI97" s="2"/>
      <c r="AJ97" s="2" t="s">
        <v>114</v>
      </c>
      <c r="AK97" s="2"/>
      <c r="AL97" s="2" t="s">
        <v>113</v>
      </c>
      <c r="AM97" s="2" t="s">
        <v>116</v>
      </c>
      <c r="AN97" s="2"/>
      <c r="AO97" s="2"/>
      <c r="AP97" s="2"/>
      <c r="AQ97" s="2"/>
      <c r="AR97" s="2"/>
      <c r="AS97" s="2"/>
      <c r="AT97" s="2" t="s">
        <v>113</v>
      </c>
      <c r="AU97" s="2" t="s">
        <v>151</v>
      </c>
      <c r="AV97" s="2" t="s">
        <v>103</v>
      </c>
      <c r="AW97" s="2" t="s">
        <v>143</v>
      </c>
      <c r="AX97" s="2"/>
      <c r="AY97" s="2" t="s">
        <v>327</v>
      </c>
      <c r="AZ97" s="2"/>
      <c r="BA97" s="2"/>
      <c r="BB97" s="2"/>
      <c r="BC97" s="2"/>
      <c r="BD97" s="2">
        <f>1/3</f>
        <v>0.3333333333</v>
      </c>
      <c r="BE97" s="2" t="s">
        <v>118</v>
      </c>
      <c r="BF97" s="2">
        <f>1/3</f>
        <v>0.3333333333</v>
      </c>
      <c r="BG97" s="2" t="s">
        <v>118</v>
      </c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 t="s">
        <v>135</v>
      </c>
      <c r="BX97" s="2" t="s">
        <v>116</v>
      </c>
      <c r="BY97" s="2"/>
      <c r="BZ97" s="2"/>
      <c r="CA97" s="2"/>
      <c r="CB97" s="2"/>
      <c r="CC97" s="2">
        <f>1/2</f>
        <v>0.5</v>
      </c>
      <c r="CD97" s="2" t="s">
        <v>131</v>
      </c>
      <c r="CE97" s="2"/>
      <c r="CF97" s="2"/>
      <c r="CG97" s="2"/>
      <c r="CH97" s="2"/>
      <c r="CI97" s="2">
        <f>1/2</f>
        <v>0.5</v>
      </c>
      <c r="CJ97" s="2" t="s">
        <v>106</v>
      </c>
      <c r="CK97" s="2" t="s">
        <v>131</v>
      </c>
      <c r="CL97" s="2"/>
      <c r="CM97" s="2"/>
      <c r="CN97" s="2"/>
      <c r="CO97" s="2" t="s">
        <v>138</v>
      </c>
      <c r="CP97" s="2"/>
      <c r="CQ97" s="2"/>
      <c r="CR97" s="2"/>
      <c r="CS97" s="2"/>
      <c r="CT97" s="2"/>
      <c r="CU97" s="2"/>
      <c r="CV97" s="2"/>
      <c r="CW97" s="2"/>
      <c r="CX97" s="2" t="s">
        <v>111</v>
      </c>
      <c r="CY97" s="2" t="s">
        <v>143</v>
      </c>
    </row>
    <row r="98" ht="15.75" customHeight="1">
      <c r="A98" s="2" t="s">
        <v>121</v>
      </c>
      <c r="B98" s="2" t="s">
        <v>138</v>
      </c>
      <c r="C98" s="3" t="s">
        <v>104</v>
      </c>
      <c r="D98" s="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</row>
    <row r="99" ht="15.75" customHeight="1">
      <c r="A99" s="2" t="s">
        <v>111</v>
      </c>
      <c r="B99" s="2" t="s">
        <v>138</v>
      </c>
      <c r="C99" s="3" t="s">
        <v>104</v>
      </c>
      <c r="D99" s="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</row>
    <row r="100" ht="15.75" customHeight="1">
      <c r="A100" s="2" t="s">
        <v>150</v>
      </c>
      <c r="B100" s="2" t="s">
        <v>138</v>
      </c>
      <c r="C100" s="3" t="s">
        <v>104</v>
      </c>
      <c r="D100" s="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</row>
    <row r="101" ht="15.75" customHeight="1">
      <c r="A101" s="2" t="s">
        <v>138</v>
      </c>
      <c r="B101" s="2" t="s">
        <v>138</v>
      </c>
      <c r="C101" s="3" t="s">
        <v>104</v>
      </c>
      <c r="D101" s="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</row>
    <row r="102" ht="15.75" customHeight="1">
      <c r="A102" s="2" t="s">
        <v>103</v>
      </c>
      <c r="B102" s="2" t="s">
        <v>144</v>
      </c>
      <c r="C102" s="3" t="s">
        <v>104</v>
      </c>
      <c r="D102" s="3"/>
      <c r="E102" s="2" t="s">
        <v>103</v>
      </c>
      <c r="F102" s="2"/>
      <c r="G102" s="2"/>
      <c r="H102" s="2" t="s">
        <v>106</v>
      </c>
      <c r="I102" s="2" t="s">
        <v>109</v>
      </c>
      <c r="J102" s="2" t="s">
        <v>138</v>
      </c>
      <c r="K102" s="2"/>
      <c r="L102" s="2" t="s">
        <v>194</v>
      </c>
      <c r="M102" s="2" t="s">
        <v>135</v>
      </c>
      <c r="N102" s="2" t="s">
        <v>410</v>
      </c>
      <c r="O102" s="2"/>
      <c r="P102" s="2"/>
      <c r="Q102" s="2" t="s">
        <v>105</v>
      </c>
      <c r="R102" s="2"/>
      <c r="S102" s="2" t="s">
        <v>211</v>
      </c>
      <c r="T102" s="2" t="s">
        <v>151</v>
      </c>
      <c r="U102" s="2" t="s">
        <v>244</v>
      </c>
      <c r="V102" s="2" t="s">
        <v>151</v>
      </c>
      <c r="W102" s="2"/>
      <c r="X102" s="2"/>
      <c r="Y102" s="2" t="s">
        <v>103</v>
      </c>
      <c r="Z102" s="2"/>
      <c r="AA102" s="2"/>
      <c r="AB102" s="2" t="s">
        <v>113</v>
      </c>
      <c r="AC102" s="2"/>
      <c r="AD102" s="2" t="s">
        <v>130</v>
      </c>
      <c r="AE102" s="2"/>
      <c r="AF102" s="2" t="s">
        <v>150</v>
      </c>
      <c r="AG102" s="2"/>
      <c r="AH102" s="2"/>
      <c r="AI102" s="2"/>
      <c r="AJ102" s="2" t="s">
        <v>411</v>
      </c>
      <c r="AK102" s="2"/>
      <c r="AL102" s="2" t="s">
        <v>105</v>
      </c>
      <c r="AM102" s="2"/>
      <c r="AN102" s="2" t="s">
        <v>105</v>
      </c>
      <c r="AO102" s="2"/>
      <c r="AP102" s="2"/>
      <c r="AQ102" s="2"/>
      <c r="AR102" s="2"/>
      <c r="AS102" s="2"/>
      <c r="AT102" s="2" t="s">
        <v>105</v>
      </c>
      <c r="AU102" s="2" t="s">
        <v>266</v>
      </c>
      <c r="AV102" s="2" t="s">
        <v>116</v>
      </c>
      <c r="AW102" s="2" t="s">
        <v>171</v>
      </c>
      <c r="AX102" s="2"/>
      <c r="AY102" s="2" t="s">
        <v>369</v>
      </c>
      <c r="AZ102" s="2"/>
      <c r="BA102" s="2"/>
      <c r="BB102" s="2"/>
      <c r="BC102" s="2"/>
      <c r="BD102" s="2" t="s">
        <v>113</v>
      </c>
      <c r="BE102" s="2" t="s">
        <v>137</v>
      </c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 t="s">
        <v>103</v>
      </c>
      <c r="CD102" s="2" t="s">
        <v>197</v>
      </c>
      <c r="CE102" s="2"/>
      <c r="CF102" s="2"/>
      <c r="CG102" s="2"/>
      <c r="CH102" s="2"/>
      <c r="CI102" s="2" t="s">
        <v>103</v>
      </c>
      <c r="CJ102" s="2" t="s">
        <v>131</v>
      </c>
      <c r="CK102" s="2" t="s">
        <v>135</v>
      </c>
      <c r="CL102" s="2"/>
      <c r="CM102" s="2"/>
      <c r="CN102" s="2"/>
      <c r="CO102" s="2" t="s">
        <v>106</v>
      </c>
      <c r="CP102" s="2"/>
      <c r="CQ102" s="2"/>
      <c r="CR102" s="2"/>
      <c r="CS102" s="2"/>
      <c r="CT102" s="2"/>
      <c r="CU102" s="2"/>
      <c r="CV102" s="2"/>
      <c r="CW102" s="2"/>
      <c r="CX102" s="2"/>
      <c r="CY102" s="2"/>
    </row>
    <row r="103" ht="15.75" customHeight="1">
      <c r="A103" s="2" t="s">
        <v>116</v>
      </c>
      <c r="B103" s="2" t="s">
        <v>144</v>
      </c>
      <c r="C103" s="3" t="s">
        <v>104</v>
      </c>
      <c r="D103" s="3"/>
      <c r="E103" s="2" t="s">
        <v>103</v>
      </c>
      <c r="F103" s="2"/>
      <c r="G103" s="2"/>
      <c r="H103" s="2" t="s">
        <v>109</v>
      </c>
      <c r="I103" s="2" t="s">
        <v>350</v>
      </c>
      <c r="J103" s="2"/>
      <c r="K103" s="2"/>
      <c r="L103" s="2" t="s">
        <v>412</v>
      </c>
      <c r="M103" s="2"/>
      <c r="N103" s="2"/>
      <c r="O103" s="2"/>
      <c r="P103" s="2"/>
      <c r="Q103" s="2"/>
      <c r="R103" s="2"/>
      <c r="S103" s="2" t="s">
        <v>413</v>
      </c>
      <c r="T103" s="2" t="s">
        <v>373</v>
      </c>
      <c r="U103" s="2"/>
      <c r="V103" s="2" t="s">
        <v>373</v>
      </c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 t="s">
        <v>103</v>
      </c>
      <c r="BE103" s="2" t="s">
        <v>133</v>
      </c>
      <c r="BF103" s="2" t="s">
        <v>116</v>
      </c>
      <c r="BG103" s="2" t="s">
        <v>206</v>
      </c>
      <c r="BH103" s="2"/>
      <c r="BI103" s="2"/>
      <c r="BJ103" s="2"/>
      <c r="BK103" s="2"/>
      <c r="BL103" s="2"/>
      <c r="BM103" s="2"/>
      <c r="BN103" s="2"/>
      <c r="BO103" s="2"/>
      <c r="BP103" s="2" t="s">
        <v>116</v>
      </c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 t="s">
        <v>103</v>
      </c>
      <c r="CD103" s="2" t="s">
        <v>187</v>
      </c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</row>
    <row r="104" ht="15.75" customHeight="1">
      <c r="A104" s="2" t="s">
        <v>113</v>
      </c>
      <c r="B104" s="2" t="s">
        <v>144</v>
      </c>
      <c r="C104" s="3" t="s">
        <v>104</v>
      </c>
      <c r="D104" s="3"/>
      <c r="E104" s="2"/>
      <c r="F104" s="2" t="s">
        <v>103</v>
      </c>
      <c r="G104" s="2"/>
      <c r="H104" s="2" t="s">
        <v>203</v>
      </c>
      <c r="I104" s="2" t="s">
        <v>118</v>
      </c>
      <c r="J104" s="2" t="s">
        <v>145</v>
      </c>
      <c r="K104" s="2"/>
      <c r="L104" s="2" t="s">
        <v>167</v>
      </c>
      <c r="M104" s="2" t="s">
        <v>136</v>
      </c>
      <c r="N104" s="2" t="s">
        <v>164</v>
      </c>
      <c r="O104" s="2" t="s">
        <v>118</v>
      </c>
      <c r="P104" s="2"/>
      <c r="Q104" s="2" t="s">
        <v>414</v>
      </c>
      <c r="R104" s="2" t="s">
        <v>165</v>
      </c>
      <c r="S104" s="2" t="s">
        <v>415</v>
      </c>
      <c r="T104" s="2" t="s">
        <v>185</v>
      </c>
      <c r="U104" s="2" t="s">
        <v>118</v>
      </c>
      <c r="V104" s="2" t="s">
        <v>131</v>
      </c>
      <c r="W104" s="2"/>
      <c r="X104" s="2"/>
      <c r="Y104" s="2" t="s">
        <v>130</v>
      </c>
      <c r="Z104" s="2"/>
      <c r="AA104" s="2"/>
      <c r="AB104" s="2" t="s">
        <v>138</v>
      </c>
      <c r="AC104" s="2" t="s">
        <v>129</v>
      </c>
      <c r="AD104" s="2" t="s">
        <v>121</v>
      </c>
      <c r="AE104" s="2" t="s">
        <v>116</v>
      </c>
      <c r="AF104" s="2" t="s">
        <v>122</v>
      </c>
      <c r="AG104" s="2" t="s">
        <v>103</v>
      </c>
      <c r="AH104" s="2"/>
      <c r="AI104" s="2"/>
      <c r="AJ104" s="2" t="s">
        <v>189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 t="s">
        <v>151</v>
      </c>
      <c r="AX104" s="2"/>
      <c r="AY104" s="2" t="s">
        <v>276</v>
      </c>
      <c r="AZ104" s="2">
        <f>3/4</f>
        <v>0.75</v>
      </c>
      <c r="BA104" s="2" t="s">
        <v>106</v>
      </c>
      <c r="BB104" s="2"/>
      <c r="BC104" s="2"/>
      <c r="BD104" s="2" t="s">
        <v>129</v>
      </c>
      <c r="BE104" s="2" t="s">
        <v>136</v>
      </c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 t="s">
        <v>103</v>
      </c>
      <c r="CD104" s="2" t="s">
        <v>193</v>
      </c>
      <c r="CE104" s="2"/>
      <c r="CF104" s="2"/>
      <c r="CG104" s="2"/>
      <c r="CH104" s="2"/>
      <c r="CI104" s="2" t="s">
        <v>103</v>
      </c>
      <c r="CJ104" s="2" t="s">
        <v>142</v>
      </c>
      <c r="CK104" s="2" t="s">
        <v>137</v>
      </c>
      <c r="CL104" s="2"/>
      <c r="CM104" s="2"/>
      <c r="CN104" s="2"/>
      <c r="CO104" s="2" t="s">
        <v>209</v>
      </c>
      <c r="CP104" s="2"/>
      <c r="CQ104" s="2"/>
      <c r="CR104" s="2"/>
      <c r="CS104" s="2"/>
      <c r="CT104" s="2"/>
      <c r="CU104" s="2"/>
      <c r="CV104" s="2"/>
      <c r="CW104" s="2"/>
      <c r="CX104" s="2"/>
      <c r="CY104" s="2"/>
    </row>
    <row r="105" ht="15.75" customHeight="1">
      <c r="A105" s="2" t="s">
        <v>122</v>
      </c>
      <c r="B105" s="2" t="s">
        <v>144</v>
      </c>
      <c r="C105" s="3" t="s">
        <v>104</v>
      </c>
      <c r="D105" s="3"/>
      <c r="E105" s="2"/>
      <c r="F105" s="2" t="s">
        <v>103</v>
      </c>
      <c r="G105" s="2"/>
      <c r="H105" s="2" t="s">
        <v>106</v>
      </c>
      <c r="I105" s="2" t="s">
        <v>182</v>
      </c>
      <c r="J105" s="2" t="s">
        <v>129</v>
      </c>
      <c r="K105" s="2" t="s">
        <v>171</v>
      </c>
      <c r="L105" s="2" t="s">
        <v>194</v>
      </c>
      <c r="M105" s="2" t="s">
        <v>154</v>
      </c>
      <c r="N105" s="2" t="s">
        <v>416</v>
      </c>
      <c r="O105" s="2" t="s">
        <v>138</v>
      </c>
      <c r="P105" s="2"/>
      <c r="Q105" s="2" t="s">
        <v>417</v>
      </c>
      <c r="R105" s="2" t="s">
        <v>131</v>
      </c>
      <c r="S105" s="2" t="s">
        <v>418</v>
      </c>
      <c r="T105" s="2" t="s">
        <v>109</v>
      </c>
      <c r="U105" s="2" t="s">
        <v>106</v>
      </c>
      <c r="V105" s="2" t="s">
        <v>195</v>
      </c>
      <c r="W105" s="2"/>
      <c r="X105" s="2"/>
      <c r="Y105" s="2" t="s">
        <v>116</v>
      </c>
      <c r="Z105" s="2"/>
      <c r="AA105" s="2" t="s">
        <v>116</v>
      </c>
      <c r="AB105" s="2" t="s">
        <v>148</v>
      </c>
      <c r="AC105" s="2" t="s">
        <v>123</v>
      </c>
      <c r="AD105" s="2" t="s">
        <v>145</v>
      </c>
      <c r="AE105" s="2" t="s">
        <v>113</v>
      </c>
      <c r="AF105" s="2" t="s">
        <v>185</v>
      </c>
      <c r="AG105" s="2"/>
      <c r="AH105" s="2" t="s">
        <v>113</v>
      </c>
      <c r="AI105" s="2"/>
      <c r="AJ105" s="2" t="s">
        <v>419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 t="s">
        <v>129</v>
      </c>
      <c r="AW105" s="2" t="s">
        <v>106</v>
      </c>
      <c r="AX105" s="2" t="s">
        <v>129</v>
      </c>
      <c r="AY105" s="2" t="s">
        <v>348</v>
      </c>
      <c r="AZ105" s="2"/>
      <c r="BA105" s="2"/>
      <c r="BB105" s="2"/>
      <c r="BC105" s="2"/>
      <c r="BD105" s="4">
        <f>2 + (1/2)</f>
        <v>2.5</v>
      </c>
      <c r="BE105" s="2" t="s">
        <v>184</v>
      </c>
      <c r="BF105" s="2" t="s">
        <v>111</v>
      </c>
      <c r="BG105" s="2" t="s">
        <v>192</v>
      </c>
      <c r="BH105" s="2" t="s">
        <v>113</v>
      </c>
      <c r="BI105" s="2" t="s">
        <v>151</v>
      </c>
      <c r="BJ105" s="6">
        <f>1 + (1/4)</f>
        <v>1.25</v>
      </c>
      <c r="BK105" s="2" t="s">
        <v>250</v>
      </c>
      <c r="BL105" s="2"/>
      <c r="BM105" s="2"/>
      <c r="BN105" s="2"/>
      <c r="BO105" s="2"/>
      <c r="BP105" s="2" t="s">
        <v>123</v>
      </c>
      <c r="BQ105" s="2"/>
      <c r="BR105" s="2"/>
      <c r="BS105" s="2"/>
      <c r="BT105" s="2"/>
      <c r="BU105" s="2"/>
      <c r="BV105" s="2"/>
      <c r="BW105" s="2" t="s">
        <v>135</v>
      </c>
      <c r="BX105" s="2" t="s">
        <v>138</v>
      </c>
      <c r="BY105" s="2"/>
      <c r="BZ105" s="2"/>
      <c r="CA105" s="2"/>
      <c r="CB105" s="2"/>
      <c r="CC105" s="2">
        <f t="shared" ref="CC105:CC106" si="6">3/4</f>
        <v>0.75</v>
      </c>
      <c r="CD105" s="2" t="s">
        <v>105</v>
      </c>
      <c r="CE105" s="2"/>
      <c r="CF105" s="2"/>
      <c r="CG105" s="2"/>
      <c r="CH105" s="2"/>
      <c r="CI105" s="2">
        <f>1/2</f>
        <v>0.5</v>
      </c>
      <c r="CJ105" s="2" t="s">
        <v>106</v>
      </c>
      <c r="CK105" s="2" t="s">
        <v>131</v>
      </c>
      <c r="CL105" s="2"/>
      <c r="CM105" s="2"/>
      <c r="CN105" s="2"/>
      <c r="CO105" s="2" t="s">
        <v>138</v>
      </c>
      <c r="CP105" s="2"/>
      <c r="CQ105" s="2"/>
      <c r="CR105" s="2"/>
      <c r="CS105" s="2"/>
      <c r="CT105" s="2"/>
      <c r="CU105" s="2"/>
      <c r="CV105" s="2"/>
      <c r="CW105" s="2"/>
      <c r="CX105" s="2" t="s">
        <v>111</v>
      </c>
      <c r="CY105" s="2" t="s">
        <v>118</v>
      </c>
    </row>
    <row r="106" ht="15.75" customHeight="1">
      <c r="A106" s="2" t="s">
        <v>129</v>
      </c>
      <c r="B106" s="2" t="s">
        <v>144</v>
      </c>
      <c r="C106" s="3" t="s">
        <v>104</v>
      </c>
      <c r="D106" s="3"/>
      <c r="E106" s="2" t="s">
        <v>103</v>
      </c>
      <c r="F106" s="2"/>
      <c r="G106" s="2"/>
      <c r="H106" s="2" t="s">
        <v>149</v>
      </c>
      <c r="I106" s="2" t="s">
        <v>209</v>
      </c>
      <c r="J106" s="2"/>
      <c r="K106" s="2" t="s">
        <v>105</v>
      </c>
      <c r="L106" s="2" t="s">
        <v>420</v>
      </c>
      <c r="M106" s="2" t="s">
        <v>137</v>
      </c>
      <c r="N106" s="2" t="s">
        <v>421</v>
      </c>
      <c r="O106" s="2" t="s">
        <v>138</v>
      </c>
      <c r="P106" s="2"/>
      <c r="Q106" s="2" t="s">
        <v>232</v>
      </c>
      <c r="R106" s="2" t="s">
        <v>113</v>
      </c>
      <c r="S106" s="2" t="s">
        <v>422</v>
      </c>
      <c r="T106" s="2" t="s">
        <v>158</v>
      </c>
      <c r="U106" s="2" t="s">
        <v>118</v>
      </c>
      <c r="V106" s="2" t="s">
        <v>131</v>
      </c>
      <c r="W106" s="2"/>
      <c r="X106" s="2"/>
      <c r="Y106" s="2" t="s">
        <v>129</v>
      </c>
      <c r="Z106" s="2"/>
      <c r="AA106" s="2"/>
      <c r="AB106" s="2" t="s">
        <v>122</v>
      </c>
      <c r="AC106" s="2" t="s">
        <v>122</v>
      </c>
      <c r="AD106" s="2" t="s">
        <v>116</v>
      </c>
      <c r="AE106" s="2"/>
      <c r="AF106" s="2" t="s">
        <v>129</v>
      </c>
      <c r="AG106" s="2"/>
      <c r="AH106" s="2"/>
      <c r="AI106" s="2"/>
      <c r="AJ106" s="2" t="s">
        <v>423</v>
      </c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 t="s">
        <v>116</v>
      </c>
      <c r="AW106" s="2"/>
      <c r="AX106" s="2"/>
      <c r="AY106" s="2" t="s">
        <v>106</v>
      </c>
      <c r="AZ106" s="2"/>
      <c r="BA106" s="2"/>
      <c r="BB106" s="2"/>
      <c r="BC106" s="2"/>
      <c r="BD106" s="2" t="s">
        <v>103</v>
      </c>
      <c r="BE106" s="2" t="s">
        <v>131</v>
      </c>
      <c r="BF106" s="4">
        <f>2 + (1/2)</f>
        <v>2.5</v>
      </c>
      <c r="BG106" s="2" t="s">
        <v>393</v>
      </c>
      <c r="BH106" s="2"/>
      <c r="BI106" s="2"/>
      <c r="BJ106" s="2"/>
      <c r="BK106" s="2"/>
      <c r="BL106" s="2"/>
      <c r="BM106" s="2"/>
      <c r="BN106" s="2"/>
      <c r="BO106" s="2"/>
      <c r="BP106" s="2" t="s">
        <v>116</v>
      </c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>
        <f t="shared" si="6"/>
        <v>0.75</v>
      </c>
      <c r="CD106" s="2" t="s">
        <v>195</v>
      </c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</row>
    <row r="107" ht="15.75" customHeight="1">
      <c r="A107" s="2" t="s">
        <v>130</v>
      </c>
      <c r="B107" s="2" t="s">
        <v>144</v>
      </c>
      <c r="C107" s="3" t="s">
        <v>104</v>
      </c>
      <c r="D107" s="3"/>
      <c r="E107" s="2" t="s">
        <v>103</v>
      </c>
      <c r="F107" s="2"/>
      <c r="G107" s="2"/>
      <c r="H107" s="2" t="s">
        <v>157</v>
      </c>
      <c r="I107" s="2" t="s">
        <v>149</v>
      </c>
      <c r="J107" s="2"/>
      <c r="K107" s="2"/>
      <c r="L107" s="2" t="s">
        <v>191</v>
      </c>
      <c r="M107" s="2" t="s">
        <v>135</v>
      </c>
      <c r="N107" s="2" t="s">
        <v>424</v>
      </c>
      <c r="O107" s="2" t="s">
        <v>130</v>
      </c>
      <c r="P107" s="2"/>
      <c r="Q107" s="2" t="s">
        <v>241</v>
      </c>
      <c r="R107" s="2" t="s">
        <v>121</v>
      </c>
      <c r="S107" s="2" t="s">
        <v>425</v>
      </c>
      <c r="T107" s="2" t="s">
        <v>250</v>
      </c>
      <c r="U107" s="2" t="s">
        <v>122</v>
      </c>
      <c r="V107" s="2" t="s">
        <v>105</v>
      </c>
      <c r="W107" s="2"/>
      <c r="X107" s="2"/>
      <c r="Y107" s="2" t="s">
        <v>116</v>
      </c>
      <c r="Z107" s="2"/>
      <c r="AA107" s="2"/>
      <c r="AB107" s="2" t="s">
        <v>116</v>
      </c>
      <c r="AC107" s="2" t="s">
        <v>116</v>
      </c>
      <c r="AD107" s="2"/>
      <c r="AE107" s="2" t="s">
        <v>129</v>
      </c>
      <c r="AF107" s="2"/>
      <c r="AG107" s="2"/>
      <c r="AH107" s="2"/>
      <c r="AI107" s="2"/>
      <c r="AJ107" s="2" t="s">
        <v>183</v>
      </c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 t="s">
        <v>116</v>
      </c>
      <c r="AW107" s="2" t="s">
        <v>116</v>
      </c>
      <c r="AX107" s="2"/>
      <c r="AY107" s="2" t="s">
        <v>293</v>
      </c>
      <c r="AZ107" s="2"/>
      <c r="BA107" s="2"/>
      <c r="BB107" s="2"/>
      <c r="BC107" s="2"/>
      <c r="BD107" s="2" t="s">
        <v>113</v>
      </c>
      <c r="BE107" s="2" t="s">
        <v>135</v>
      </c>
      <c r="BF107" s="2" t="s">
        <v>113</v>
      </c>
      <c r="BG107" s="2" t="s">
        <v>198</v>
      </c>
      <c r="BH107" s="2"/>
      <c r="BI107" s="2"/>
      <c r="BJ107" s="2"/>
      <c r="BK107" s="2"/>
      <c r="BL107" s="2"/>
      <c r="BM107" s="2"/>
      <c r="BN107" s="2"/>
      <c r="BO107" s="2"/>
      <c r="BP107" s="2" t="s">
        <v>122</v>
      </c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4">
        <f>1 + (1/2)</f>
        <v>1.5</v>
      </c>
      <c r="CD107" s="2" t="s">
        <v>186</v>
      </c>
      <c r="CE107" s="2"/>
      <c r="CF107" s="2"/>
      <c r="CG107" s="2"/>
      <c r="CH107" s="2"/>
      <c r="CI107" s="2"/>
      <c r="CJ107" s="2" t="s">
        <v>130</v>
      </c>
      <c r="CK107" s="2" t="s">
        <v>106</v>
      </c>
      <c r="CL107" s="2"/>
      <c r="CM107" s="2"/>
      <c r="CN107" s="2"/>
      <c r="CO107" s="2" t="s">
        <v>122</v>
      </c>
      <c r="CP107" s="2"/>
      <c r="CQ107" s="2"/>
      <c r="CR107" s="2"/>
      <c r="CS107" s="2"/>
      <c r="CT107" s="2"/>
      <c r="CU107" s="2"/>
      <c r="CV107" s="2"/>
      <c r="CW107" s="2"/>
      <c r="CX107" s="2"/>
      <c r="CY107" s="2"/>
    </row>
    <row r="108" ht="15.75" customHeight="1">
      <c r="A108" s="2" t="s">
        <v>121</v>
      </c>
      <c r="B108" s="2" t="s">
        <v>144</v>
      </c>
      <c r="C108" s="3" t="s">
        <v>104</v>
      </c>
      <c r="D108" s="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</row>
    <row r="109" ht="15.75" customHeight="1">
      <c r="A109" s="2" t="s">
        <v>111</v>
      </c>
      <c r="B109" s="2" t="s">
        <v>144</v>
      </c>
      <c r="C109" s="3" t="s">
        <v>104</v>
      </c>
      <c r="D109" s="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</row>
    <row r="110" ht="15.75" customHeight="1">
      <c r="A110" s="2" t="s">
        <v>150</v>
      </c>
      <c r="B110" s="2" t="s">
        <v>144</v>
      </c>
      <c r="C110" s="3" t="s">
        <v>104</v>
      </c>
      <c r="D110" s="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</row>
    <row r="111" ht="15.75" customHeight="1">
      <c r="A111" s="2" t="s">
        <v>138</v>
      </c>
      <c r="B111" s="2" t="s">
        <v>144</v>
      </c>
      <c r="C111" s="3" t="s">
        <v>104</v>
      </c>
      <c r="D111" s="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</row>
    <row r="112" ht="15.75" customHeight="1">
      <c r="A112" s="2" t="s">
        <v>103</v>
      </c>
      <c r="B112" s="2" t="s">
        <v>118</v>
      </c>
      <c r="C112" s="3" t="s">
        <v>104</v>
      </c>
      <c r="D112" s="3"/>
      <c r="E112" s="2" t="s">
        <v>103</v>
      </c>
      <c r="F112" s="2"/>
      <c r="G112" s="2"/>
      <c r="H112" s="2" t="s">
        <v>122</v>
      </c>
      <c r="I112" s="2" t="s">
        <v>133</v>
      </c>
      <c r="J112" s="2"/>
      <c r="K112" s="2"/>
      <c r="L112" s="2" t="s">
        <v>177</v>
      </c>
      <c r="M112" s="2" t="s">
        <v>109</v>
      </c>
      <c r="N112" s="2" t="s">
        <v>270</v>
      </c>
      <c r="O112" s="2" t="s">
        <v>113</v>
      </c>
      <c r="P112" s="2"/>
      <c r="Q112" s="2"/>
      <c r="R112" s="2"/>
      <c r="S112" s="2" t="s">
        <v>426</v>
      </c>
      <c r="T112" s="2" t="s">
        <v>150</v>
      </c>
      <c r="U112" s="2" t="s">
        <v>143</v>
      </c>
      <c r="V112" s="2" t="s">
        <v>112</v>
      </c>
      <c r="W112" s="2"/>
      <c r="X112" s="2"/>
      <c r="Y112" s="2" t="s">
        <v>113</v>
      </c>
      <c r="Z112" s="2"/>
      <c r="AA112" s="2"/>
      <c r="AB112" s="2" t="s">
        <v>116</v>
      </c>
      <c r="AC112" s="2" t="s">
        <v>113</v>
      </c>
      <c r="AD112" s="2" t="s">
        <v>116</v>
      </c>
      <c r="AE112" s="2"/>
      <c r="AF112" s="2" t="s">
        <v>116</v>
      </c>
      <c r="AG112" s="2"/>
      <c r="AH112" s="2" t="s">
        <v>103</v>
      </c>
      <c r="AI112" s="2"/>
      <c r="AJ112" s="2" t="s">
        <v>427</v>
      </c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 t="s">
        <v>116</v>
      </c>
      <c r="AW112" s="2" t="s">
        <v>111</v>
      </c>
      <c r="AX112" s="2"/>
      <c r="AY112" s="2" t="s">
        <v>174</v>
      </c>
      <c r="AZ112" s="2"/>
      <c r="BA112" s="2"/>
      <c r="BB112" s="2"/>
      <c r="BC112" s="2"/>
      <c r="BD112" s="2"/>
      <c r="BE112" s="2"/>
      <c r="BF112" s="2" t="s">
        <v>103</v>
      </c>
      <c r="BG112" s="2" t="s">
        <v>109</v>
      </c>
      <c r="BH112" s="2"/>
      <c r="BI112" s="2"/>
      <c r="BJ112" s="2"/>
      <c r="BK112" s="2"/>
      <c r="BL112" s="2"/>
      <c r="BM112" s="2"/>
      <c r="BN112" s="2"/>
      <c r="BO112" s="2"/>
      <c r="BP112" s="2" t="s">
        <v>103</v>
      </c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 t="s">
        <v>113</v>
      </c>
      <c r="CD112" s="2" t="s">
        <v>181</v>
      </c>
      <c r="CE112" s="2"/>
      <c r="CF112" s="2"/>
      <c r="CG112" s="2"/>
      <c r="CH112" s="2"/>
      <c r="CI112" s="2"/>
      <c r="CJ112" s="2" t="s">
        <v>130</v>
      </c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 t="s">
        <v>138</v>
      </c>
      <c r="CY112" s="2" t="s">
        <v>106</v>
      </c>
    </row>
    <row r="113" ht="15.75" customHeight="1">
      <c r="A113" s="2" t="s">
        <v>116</v>
      </c>
      <c r="B113" s="2" t="s">
        <v>118</v>
      </c>
      <c r="C113" s="3" t="s">
        <v>104</v>
      </c>
      <c r="D113" s="3"/>
      <c r="E113" s="2" t="s">
        <v>103</v>
      </c>
      <c r="F113" s="2"/>
      <c r="G113" s="2"/>
      <c r="H113" s="2" t="s">
        <v>145</v>
      </c>
      <c r="I113" s="2"/>
      <c r="J113" s="2" t="s">
        <v>130</v>
      </c>
      <c r="K113" s="2"/>
      <c r="L113" s="2" t="s">
        <v>428</v>
      </c>
      <c r="M113" s="2"/>
      <c r="N113" s="2" t="s">
        <v>310</v>
      </c>
      <c r="O113" s="2" t="s">
        <v>144</v>
      </c>
      <c r="P113" s="2"/>
      <c r="Q113" s="2" t="s">
        <v>131</v>
      </c>
      <c r="R113" s="2" t="s">
        <v>130</v>
      </c>
      <c r="S113" s="2" t="s">
        <v>263</v>
      </c>
      <c r="T113" s="2" t="s">
        <v>138</v>
      </c>
      <c r="U113" s="2"/>
      <c r="V113" s="2" t="s">
        <v>112</v>
      </c>
      <c r="W113" s="2"/>
      <c r="X113" s="2"/>
      <c r="Y113" s="2" t="s">
        <v>103</v>
      </c>
      <c r="Z113" s="2"/>
      <c r="AA113" s="2"/>
      <c r="AB113" s="2" t="s">
        <v>103</v>
      </c>
      <c r="AC113" s="2" t="s">
        <v>116</v>
      </c>
      <c r="AD113" s="2" t="s">
        <v>116</v>
      </c>
      <c r="AE113" s="2"/>
      <c r="AF113" s="2"/>
      <c r="AG113" s="2" t="s">
        <v>103</v>
      </c>
      <c r="AH113" s="2"/>
      <c r="AI113" s="2"/>
      <c r="AJ113" s="2" t="s">
        <v>291</v>
      </c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 t="s">
        <v>116</v>
      </c>
      <c r="AW113" s="2" t="s">
        <v>118</v>
      </c>
      <c r="AX113" s="2"/>
      <c r="AY113" s="2" t="s">
        <v>135</v>
      </c>
      <c r="AZ113" s="2"/>
      <c r="BA113" s="2"/>
      <c r="BB113" s="2"/>
      <c r="BC113" s="2"/>
      <c r="BD113" s="2" t="s">
        <v>103</v>
      </c>
      <c r="BE113" s="2" t="s">
        <v>106</v>
      </c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 t="s">
        <v>103</v>
      </c>
      <c r="CD113" s="2" t="s">
        <v>136</v>
      </c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</row>
    <row r="114" ht="15.75" customHeight="1">
      <c r="A114" s="2" t="s">
        <v>113</v>
      </c>
      <c r="B114" s="2" t="s">
        <v>118</v>
      </c>
      <c r="C114" s="3" t="s">
        <v>104</v>
      </c>
      <c r="D114" s="3"/>
      <c r="E114" s="2"/>
      <c r="F114" s="2" t="s">
        <v>103</v>
      </c>
      <c r="G114" s="2"/>
      <c r="H114" s="2" t="s">
        <v>122</v>
      </c>
      <c r="I114" s="2" t="s">
        <v>140</v>
      </c>
      <c r="J114" s="2" t="s">
        <v>358</v>
      </c>
      <c r="K114" s="2"/>
      <c r="L114" s="2" t="s">
        <v>167</v>
      </c>
      <c r="M114" s="2"/>
      <c r="N114" s="2"/>
      <c r="O114" s="2" t="s">
        <v>123</v>
      </c>
      <c r="P114" s="2"/>
      <c r="Q114" s="2" t="s">
        <v>105</v>
      </c>
      <c r="R114" s="2"/>
      <c r="S114" s="2" t="s">
        <v>125</v>
      </c>
      <c r="T114" s="2" t="s">
        <v>129</v>
      </c>
      <c r="U114" s="2" t="s">
        <v>184</v>
      </c>
      <c r="V114" s="2" t="s">
        <v>150</v>
      </c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>
        <f t="shared" ref="CC114:CC115" si="7">1/2</f>
        <v>0.5</v>
      </c>
      <c r="CD114" s="2" t="s">
        <v>105</v>
      </c>
      <c r="CE114" s="2"/>
      <c r="CF114" s="2"/>
      <c r="CG114" s="2"/>
      <c r="CH114" s="2"/>
      <c r="CI114" s="2"/>
      <c r="CJ114" s="2" t="s">
        <v>109</v>
      </c>
      <c r="CK114" s="2" t="s">
        <v>141</v>
      </c>
      <c r="CL114" s="2"/>
      <c r="CM114" s="2"/>
      <c r="CN114" s="2"/>
      <c r="CO114" s="2" t="s">
        <v>106</v>
      </c>
      <c r="CP114" s="2"/>
      <c r="CQ114" s="2"/>
      <c r="CR114" s="2"/>
      <c r="CS114" s="2"/>
      <c r="CT114" s="2"/>
      <c r="CU114" s="2"/>
      <c r="CV114" s="2"/>
      <c r="CW114" s="2"/>
      <c r="CX114" s="2"/>
      <c r="CY114" s="2"/>
    </row>
    <row r="115" ht="15.75" customHeight="1">
      <c r="A115" s="2" t="s">
        <v>122</v>
      </c>
      <c r="B115" s="2" t="s">
        <v>118</v>
      </c>
      <c r="C115" s="3" t="s">
        <v>104</v>
      </c>
      <c r="D115" s="3"/>
      <c r="E115" s="2" t="s">
        <v>103</v>
      </c>
      <c r="F115" s="2"/>
      <c r="G115" s="2"/>
      <c r="H115" s="2" t="s">
        <v>122</v>
      </c>
      <c r="I115" s="2" t="s">
        <v>115</v>
      </c>
      <c r="J115" s="2" t="s">
        <v>113</v>
      </c>
      <c r="K115" s="2"/>
      <c r="L115" s="2" t="s">
        <v>177</v>
      </c>
      <c r="M115" s="2" t="s">
        <v>138</v>
      </c>
      <c r="N115" s="2" t="s">
        <v>137</v>
      </c>
      <c r="O115" s="2" t="s">
        <v>116</v>
      </c>
      <c r="P115" s="2"/>
      <c r="Q115" s="2"/>
      <c r="R115" s="2"/>
      <c r="S115" s="2" t="s">
        <v>429</v>
      </c>
      <c r="T115" s="2" t="s">
        <v>130</v>
      </c>
      <c r="U115" s="2" t="s">
        <v>148</v>
      </c>
      <c r="V115" s="2" t="s">
        <v>130</v>
      </c>
      <c r="W115" s="2"/>
      <c r="X115" s="2"/>
      <c r="Y115" s="2"/>
      <c r="Z115" s="2"/>
      <c r="AA115" s="2"/>
      <c r="AB115" s="2" t="s">
        <v>113</v>
      </c>
      <c r="AC115" s="2"/>
      <c r="AD115" s="2" t="s">
        <v>113</v>
      </c>
      <c r="AE115" s="2"/>
      <c r="AF115" s="2" t="s">
        <v>113</v>
      </c>
      <c r="AG115" s="2"/>
      <c r="AH115" s="2"/>
      <c r="AI115" s="2"/>
      <c r="AJ115" s="2" t="s">
        <v>430</v>
      </c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 t="s">
        <v>121</v>
      </c>
      <c r="AX115" s="2"/>
      <c r="AY115" s="2" t="s">
        <v>142</v>
      </c>
      <c r="AZ115" s="2"/>
      <c r="BA115" s="2"/>
      <c r="BB115" s="2"/>
      <c r="BC115" s="2"/>
      <c r="BD115" s="2">
        <f>1/2</f>
        <v>0.5</v>
      </c>
      <c r="BE115" s="2" t="s">
        <v>149</v>
      </c>
      <c r="BF115" s="2">
        <f>1/2</f>
        <v>0.5</v>
      </c>
      <c r="BG115" s="2" t="s">
        <v>138</v>
      </c>
      <c r="BH115" s="2"/>
      <c r="BI115" s="2"/>
      <c r="BJ115" s="2">
        <f>1/2</f>
        <v>0.5</v>
      </c>
      <c r="BK115" s="2" t="s">
        <v>144</v>
      </c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 t="s">
        <v>125</v>
      </c>
      <c r="BX115" s="2"/>
      <c r="BY115" s="2"/>
      <c r="BZ115" s="2"/>
      <c r="CA115" s="2"/>
      <c r="CB115" s="2"/>
      <c r="CC115" s="2">
        <f t="shared" si="7"/>
        <v>0.5</v>
      </c>
      <c r="CD115" s="2" t="s">
        <v>190</v>
      </c>
      <c r="CE115" s="2"/>
      <c r="CF115" s="2"/>
      <c r="CG115" s="2"/>
      <c r="CH115" s="2"/>
      <c r="CI115" s="2" t="s">
        <v>113</v>
      </c>
      <c r="CJ115" s="2" t="s">
        <v>151</v>
      </c>
      <c r="CK115" s="2" t="s">
        <v>195</v>
      </c>
      <c r="CL115" s="2"/>
      <c r="CM115" s="2"/>
      <c r="CN115" s="2"/>
      <c r="CO115" s="2" t="s">
        <v>118</v>
      </c>
      <c r="CP115" s="2"/>
      <c r="CQ115" s="2"/>
      <c r="CR115" s="2"/>
      <c r="CS115" s="2"/>
      <c r="CT115" s="2"/>
      <c r="CU115" s="2"/>
      <c r="CV115" s="2"/>
      <c r="CW115" s="2"/>
      <c r="CX115" s="2"/>
      <c r="CY115" s="2"/>
    </row>
    <row r="116" ht="15.75" customHeight="1">
      <c r="A116" s="2" t="s">
        <v>129</v>
      </c>
      <c r="B116" s="2" t="s">
        <v>118</v>
      </c>
      <c r="C116" s="3" t="s">
        <v>104</v>
      </c>
      <c r="D116" s="3"/>
      <c r="E116" s="2" t="s">
        <v>103</v>
      </c>
      <c r="F116" s="2"/>
      <c r="G116" s="2"/>
      <c r="H116" s="2" t="s">
        <v>130</v>
      </c>
      <c r="I116" s="2" t="s">
        <v>144</v>
      </c>
      <c r="J116" s="2" t="s">
        <v>182</v>
      </c>
      <c r="K116" s="2"/>
      <c r="L116" s="2" t="s">
        <v>360</v>
      </c>
      <c r="M116" s="2" t="s">
        <v>137</v>
      </c>
      <c r="N116" s="2" t="s">
        <v>431</v>
      </c>
      <c r="O116" s="2" t="s">
        <v>116</v>
      </c>
      <c r="P116" s="2"/>
      <c r="Q116" s="2"/>
      <c r="R116" s="2"/>
      <c r="S116" s="2" t="s">
        <v>373</v>
      </c>
      <c r="T116" s="2" t="s">
        <v>113</v>
      </c>
      <c r="U116" s="2" t="s">
        <v>144</v>
      </c>
      <c r="V116" s="2" t="s">
        <v>122</v>
      </c>
      <c r="W116" s="2"/>
      <c r="X116" s="2"/>
      <c r="Y116" s="2" t="s">
        <v>103</v>
      </c>
      <c r="Z116" s="2"/>
      <c r="AA116" s="2"/>
      <c r="AB116" s="2" t="s">
        <v>122</v>
      </c>
      <c r="AC116" s="2"/>
      <c r="AD116" s="2" t="s">
        <v>122</v>
      </c>
      <c r="AE116" s="2"/>
      <c r="AF116" s="2" t="s">
        <v>130</v>
      </c>
      <c r="AG116" s="2"/>
      <c r="AH116" s="2"/>
      <c r="AI116" s="2"/>
      <c r="AJ116" s="2" t="s">
        <v>181</v>
      </c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 t="s">
        <v>111</v>
      </c>
      <c r="AX116" s="2"/>
      <c r="AY116" s="2" t="s">
        <v>193</v>
      </c>
      <c r="AZ116" s="2"/>
      <c r="BA116" s="2"/>
      <c r="BB116" s="2"/>
      <c r="BC116" s="2"/>
      <c r="BD116" s="2" t="s">
        <v>116</v>
      </c>
      <c r="BE116" s="2" t="s">
        <v>142</v>
      </c>
      <c r="BF116" s="2"/>
      <c r="BG116" s="2" t="s">
        <v>112</v>
      </c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>
        <f>1/3</f>
        <v>0.3333333333</v>
      </c>
      <c r="CD116" s="2" t="s">
        <v>133</v>
      </c>
      <c r="CE116" s="2"/>
      <c r="CF116" s="2"/>
      <c r="CG116" s="2"/>
      <c r="CH116" s="2"/>
      <c r="CI116" s="2"/>
      <c r="CJ116" s="2" t="s">
        <v>106</v>
      </c>
      <c r="CK116" s="2" t="s">
        <v>142</v>
      </c>
      <c r="CL116" s="2"/>
      <c r="CM116" s="2"/>
      <c r="CN116" s="2"/>
      <c r="CO116" s="2" t="s">
        <v>118</v>
      </c>
      <c r="CP116" s="2"/>
      <c r="CQ116" s="2"/>
      <c r="CR116" s="2"/>
      <c r="CS116" s="2"/>
      <c r="CT116" s="2"/>
      <c r="CU116" s="2"/>
      <c r="CV116" s="2"/>
      <c r="CW116" s="2"/>
      <c r="CX116" s="2" t="s">
        <v>123</v>
      </c>
      <c r="CY116" s="2" t="s">
        <v>105</v>
      </c>
    </row>
    <row r="117" ht="15.75" customHeight="1">
      <c r="A117" s="2" t="s">
        <v>130</v>
      </c>
      <c r="B117" s="2" t="s">
        <v>118</v>
      </c>
      <c r="C117" s="3" t="s">
        <v>104</v>
      </c>
      <c r="D117" s="3"/>
      <c r="E117" s="2"/>
      <c r="F117" s="2" t="s">
        <v>103</v>
      </c>
      <c r="G117" s="2"/>
      <c r="H117" s="2" t="s">
        <v>112</v>
      </c>
      <c r="I117" s="2" t="s">
        <v>121</v>
      </c>
      <c r="J117" s="2" t="s">
        <v>144</v>
      </c>
      <c r="K117" s="2"/>
      <c r="L117" s="2" t="s">
        <v>177</v>
      </c>
      <c r="M117" s="2"/>
      <c r="N117" s="2" t="s">
        <v>136</v>
      </c>
      <c r="O117" s="2" t="s">
        <v>129</v>
      </c>
      <c r="P117" s="2"/>
      <c r="Q117" s="2"/>
      <c r="R117" s="2"/>
      <c r="S117" s="2" t="s">
        <v>432</v>
      </c>
      <c r="T117" s="2" t="s">
        <v>111</v>
      </c>
      <c r="U117" s="2" t="s">
        <v>121</v>
      </c>
      <c r="V117" s="2" t="s">
        <v>118</v>
      </c>
      <c r="W117" s="2"/>
      <c r="X117" s="2"/>
      <c r="Y117" s="2" t="s">
        <v>116</v>
      </c>
      <c r="Z117" s="2"/>
      <c r="AA117" s="2"/>
      <c r="AB117" s="2" t="s">
        <v>103</v>
      </c>
      <c r="AC117" s="2"/>
      <c r="AD117" s="2" t="s">
        <v>116</v>
      </c>
      <c r="AE117" s="2"/>
      <c r="AF117" s="2" t="s">
        <v>103</v>
      </c>
      <c r="AG117" s="2"/>
      <c r="AH117" s="2" t="s">
        <v>103</v>
      </c>
      <c r="AI117" s="2"/>
      <c r="AJ117" s="2" t="s">
        <v>433</v>
      </c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 t="s">
        <v>281</v>
      </c>
      <c r="AZ117" s="2"/>
      <c r="BA117" s="2"/>
      <c r="BB117" s="2"/>
      <c r="BC117" s="2"/>
      <c r="BD117" s="2" t="s">
        <v>103</v>
      </c>
      <c r="BE117" s="2" t="s">
        <v>185</v>
      </c>
      <c r="BF117" s="2" t="s">
        <v>122</v>
      </c>
      <c r="BG117" s="2" t="s">
        <v>434</v>
      </c>
      <c r="BH117" s="2"/>
      <c r="BI117" s="2"/>
      <c r="BJ117" s="2"/>
      <c r="BK117" s="2"/>
      <c r="BL117" s="2"/>
      <c r="BM117" s="2"/>
      <c r="BN117" s="2"/>
      <c r="BO117" s="2"/>
      <c r="BP117" s="2" t="s">
        <v>122</v>
      </c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>
        <f>1/2</f>
        <v>0.5</v>
      </c>
      <c r="CD117" s="2" t="s">
        <v>109</v>
      </c>
      <c r="CE117" s="2"/>
      <c r="CF117" s="2"/>
      <c r="CG117" s="2"/>
      <c r="CH117" s="2"/>
      <c r="CI117" s="2"/>
      <c r="CJ117" s="2" t="s">
        <v>109</v>
      </c>
      <c r="CK117" s="2" t="s">
        <v>288</v>
      </c>
      <c r="CL117" s="2"/>
      <c r="CM117" s="2"/>
      <c r="CN117" s="2"/>
      <c r="CO117" s="2" t="s">
        <v>109</v>
      </c>
      <c r="CP117" s="2"/>
      <c r="CQ117" s="2"/>
      <c r="CR117" s="2"/>
      <c r="CS117" s="2"/>
      <c r="CT117" s="2"/>
      <c r="CU117" s="2"/>
      <c r="CV117" s="2"/>
      <c r="CW117" s="2"/>
      <c r="CX117" s="2"/>
      <c r="CY117" s="2"/>
    </row>
    <row r="118" ht="15.75" customHeight="1">
      <c r="A118" s="2" t="s">
        <v>121</v>
      </c>
      <c r="B118" s="2" t="s">
        <v>118</v>
      </c>
      <c r="C118" s="3" t="s">
        <v>104</v>
      </c>
      <c r="D118" s="3"/>
      <c r="E118" s="2" t="s">
        <v>103</v>
      </c>
      <c r="F118" s="2"/>
      <c r="G118" s="2"/>
      <c r="H118" s="2" t="s">
        <v>105</v>
      </c>
      <c r="I118" s="2" t="s">
        <v>184</v>
      </c>
      <c r="J118" s="2" t="s">
        <v>131</v>
      </c>
      <c r="K118" s="2"/>
      <c r="L118" s="2" t="s">
        <v>160</v>
      </c>
      <c r="M118" s="2"/>
      <c r="N118" s="2"/>
      <c r="O118" s="2" t="s">
        <v>138</v>
      </c>
      <c r="P118" s="2"/>
      <c r="Q118" s="2"/>
      <c r="R118" s="2"/>
      <c r="S118" s="2" t="s">
        <v>120</v>
      </c>
      <c r="T118" s="2" t="s">
        <v>106</v>
      </c>
      <c r="U118" s="2" t="s">
        <v>131</v>
      </c>
      <c r="V118" s="2" t="s">
        <v>106</v>
      </c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 t="s">
        <v>136</v>
      </c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 t="s">
        <v>103</v>
      </c>
      <c r="BG118" s="2" t="s">
        <v>105</v>
      </c>
      <c r="BH118" s="2"/>
      <c r="BI118" s="2"/>
      <c r="BJ118" s="2"/>
      <c r="BK118" s="2"/>
      <c r="BL118" s="2"/>
      <c r="BM118" s="2"/>
      <c r="BN118" s="2"/>
      <c r="BO118" s="2"/>
      <c r="BP118" s="2" t="s">
        <v>103</v>
      </c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 t="s">
        <v>103</v>
      </c>
      <c r="CD118" s="2" t="s">
        <v>135</v>
      </c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</row>
    <row r="119" ht="15.75" customHeight="1">
      <c r="A119" s="2" t="s">
        <v>111</v>
      </c>
      <c r="B119" s="2" t="s">
        <v>118</v>
      </c>
      <c r="C119" s="3" t="s">
        <v>104</v>
      </c>
      <c r="D119" s="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</row>
    <row r="120" ht="15.75" customHeight="1">
      <c r="A120" s="2" t="s">
        <v>150</v>
      </c>
      <c r="B120" s="2" t="s">
        <v>118</v>
      </c>
      <c r="C120" s="3" t="s">
        <v>104</v>
      </c>
      <c r="D120" s="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</row>
    <row r="121" ht="15.75" customHeight="1">
      <c r="A121" s="2" t="s">
        <v>138</v>
      </c>
      <c r="B121" s="2" t="s">
        <v>118</v>
      </c>
      <c r="C121" s="3" t="s">
        <v>104</v>
      </c>
      <c r="D121" s="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</row>
    <row r="122" ht="15.75" customHeight="1">
      <c r="A122" s="7"/>
      <c r="B122" s="7"/>
      <c r="C122" s="8"/>
      <c r="D122" s="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</row>
    <row r="123" ht="15.75" customHeight="1">
      <c r="A123" s="7"/>
      <c r="B123" s="7"/>
      <c r="C123" s="8"/>
      <c r="D123" s="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</row>
    <row r="124" ht="15.75" customHeight="1">
      <c r="A124" s="7"/>
      <c r="B124" s="7"/>
      <c r="C124" s="8"/>
      <c r="D124" s="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</row>
    <row r="125" ht="15.75" customHeight="1">
      <c r="A125" s="7"/>
      <c r="B125" s="7"/>
      <c r="C125" s="8"/>
      <c r="D125" s="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</row>
    <row r="126" ht="15.75" customHeight="1">
      <c r="A126" s="7"/>
      <c r="B126" s="7"/>
      <c r="C126" s="8"/>
      <c r="D126" s="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</row>
    <row r="127" ht="15.75" customHeight="1">
      <c r="A127" s="7"/>
      <c r="B127" s="7"/>
      <c r="C127" s="8"/>
      <c r="D127" s="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</row>
    <row r="128" ht="15.75" customHeight="1">
      <c r="A128" s="7"/>
      <c r="B128" s="7"/>
      <c r="C128" s="8"/>
      <c r="D128" s="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</row>
    <row r="129" ht="15.75" customHeight="1">
      <c r="A129" s="7"/>
      <c r="B129" s="7"/>
      <c r="C129" s="8"/>
      <c r="D129" s="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</row>
    <row r="130" ht="15.75" customHeight="1">
      <c r="A130" s="7"/>
      <c r="B130" s="7"/>
      <c r="C130" s="8"/>
      <c r="D130" s="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</row>
    <row r="131" ht="15.75" customHeight="1">
      <c r="A131" s="7"/>
      <c r="B131" s="7"/>
      <c r="C131" s="8"/>
      <c r="D131" s="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</row>
    <row r="132" ht="15.75" customHeight="1">
      <c r="A132" s="7"/>
      <c r="B132" s="7"/>
      <c r="C132" s="8"/>
      <c r="D132" s="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</row>
    <row r="133" ht="15.75" customHeight="1">
      <c r="A133" s="7"/>
      <c r="B133" s="7"/>
      <c r="C133" s="8"/>
      <c r="D133" s="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</row>
    <row r="134" ht="15.75" customHeight="1">
      <c r="A134" s="7"/>
      <c r="B134" s="7"/>
      <c r="C134" s="8"/>
      <c r="D134" s="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</row>
    <row r="135" ht="15.75" customHeight="1">
      <c r="A135" s="7"/>
      <c r="B135" s="7"/>
      <c r="C135" s="8"/>
      <c r="D135" s="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</row>
    <row r="136" ht="15.75" customHeight="1">
      <c r="A136" s="7"/>
      <c r="B136" s="7"/>
      <c r="C136" s="8"/>
      <c r="D136" s="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</row>
    <row r="137" ht="15.75" customHeight="1">
      <c r="A137" s="7"/>
      <c r="B137" s="7"/>
      <c r="C137" s="8"/>
      <c r="D137" s="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</row>
    <row r="138" ht="15.75" customHeight="1">
      <c r="A138" s="7"/>
      <c r="B138" s="7"/>
      <c r="C138" s="8"/>
      <c r="D138" s="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</row>
    <row r="139" ht="15.75" customHeight="1">
      <c r="A139" s="7"/>
      <c r="B139" s="7"/>
      <c r="C139" s="8"/>
      <c r="D139" s="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</row>
    <row r="140" ht="15.75" customHeight="1">
      <c r="A140" s="7"/>
      <c r="B140" s="7"/>
      <c r="C140" s="8"/>
      <c r="D140" s="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</row>
    <row r="141" ht="15.75" customHeight="1">
      <c r="A141" s="7"/>
      <c r="B141" s="7"/>
      <c r="C141" s="8"/>
      <c r="D141" s="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</row>
    <row r="142" ht="15.75" customHeight="1">
      <c r="A142" s="7"/>
      <c r="B142" s="7"/>
      <c r="C142" s="8"/>
      <c r="D142" s="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</row>
    <row r="143" ht="15.75" customHeight="1">
      <c r="A143" s="7"/>
      <c r="B143" s="7"/>
      <c r="C143" s="8"/>
      <c r="D143" s="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</row>
    <row r="144" ht="15.75" customHeight="1">
      <c r="A144" s="7"/>
      <c r="B144" s="7"/>
      <c r="C144" s="8"/>
      <c r="D144" s="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</row>
    <row r="145" ht="15.75" customHeight="1">
      <c r="A145" s="7"/>
      <c r="B145" s="7"/>
      <c r="C145" s="8"/>
      <c r="D145" s="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</row>
    <row r="146" ht="15.75" customHeight="1">
      <c r="A146" s="7"/>
      <c r="B146" s="7"/>
      <c r="C146" s="8"/>
      <c r="D146" s="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</row>
    <row r="147" ht="15.75" customHeight="1">
      <c r="A147" s="7"/>
      <c r="B147" s="7"/>
      <c r="C147" s="8"/>
      <c r="D147" s="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</row>
    <row r="148" ht="15.75" customHeight="1">
      <c r="A148" s="7"/>
      <c r="B148" s="7"/>
      <c r="C148" s="8"/>
      <c r="D148" s="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</row>
    <row r="149" ht="15.75" customHeight="1">
      <c r="A149" s="7"/>
      <c r="B149" s="7"/>
      <c r="C149" s="8"/>
      <c r="D149" s="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</row>
    <row r="150" ht="15.75" customHeight="1">
      <c r="A150" s="7"/>
      <c r="B150" s="7"/>
      <c r="C150" s="8"/>
      <c r="D150" s="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</row>
    <row r="151" ht="15.75" customHeight="1">
      <c r="A151" s="7"/>
      <c r="B151" s="7"/>
      <c r="C151" s="8"/>
      <c r="D151" s="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</row>
    <row r="152" ht="15.75" customHeight="1">
      <c r="A152" s="7"/>
      <c r="B152" s="7"/>
      <c r="C152" s="8"/>
      <c r="D152" s="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</row>
    <row r="153" ht="15.75" customHeight="1">
      <c r="A153" s="7"/>
      <c r="B153" s="7"/>
      <c r="C153" s="8"/>
      <c r="D153" s="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</row>
    <row r="154" ht="15.75" customHeight="1">
      <c r="A154" s="7"/>
      <c r="B154" s="7"/>
      <c r="C154" s="8"/>
      <c r="D154" s="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</row>
    <row r="155" ht="15.75" customHeight="1">
      <c r="A155" s="7"/>
      <c r="B155" s="7"/>
      <c r="C155" s="8"/>
      <c r="D155" s="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</row>
    <row r="156" ht="15.75" customHeight="1">
      <c r="A156" s="7"/>
      <c r="B156" s="7"/>
      <c r="C156" s="8"/>
      <c r="D156" s="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</row>
    <row r="157" ht="15.75" customHeight="1">
      <c r="A157" s="7"/>
      <c r="B157" s="7"/>
      <c r="C157" s="8"/>
      <c r="D157" s="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</row>
    <row r="158" ht="15.75" customHeight="1">
      <c r="A158" s="7"/>
      <c r="B158" s="7"/>
      <c r="C158" s="8"/>
      <c r="D158" s="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</row>
    <row r="159" ht="15.75" customHeight="1">
      <c r="A159" s="7"/>
      <c r="B159" s="7"/>
      <c r="C159" s="8"/>
      <c r="D159" s="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</row>
    <row r="160" ht="15.75" customHeight="1">
      <c r="A160" s="7"/>
      <c r="B160" s="7"/>
      <c r="C160" s="8"/>
      <c r="D160" s="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</row>
    <row r="161" ht="15.75" customHeight="1">
      <c r="A161" s="7"/>
      <c r="B161" s="7"/>
      <c r="C161" s="8"/>
      <c r="D161" s="8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</row>
    <row r="162" ht="15.75" customHeight="1">
      <c r="A162" s="7"/>
      <c r="B162" s="7"/>
      <c r="C162" s="8"/>
      <c r="D162" s="8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</row>
    <row r="163" ht="15.75" customHeight="1">
      <c r="A163" s="7"/>
      <c r="B163" s="7"/>
      <c r="C163" s="8"/>
      <c r="D163" s="8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</row>
    <row r="164" ht="15.75" customHeight="1">
      <c r="A164" s="7"/>
      <c r="B164" s="7"/>
      <c r="C164" s="8"/>
      <c r="D164" s="8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</row>
    <row r="165" ht="15.75" customHeight="1">
      <c r="A165" s="7"/>
      <c r="B165" s="7"/>
      <c r="C165" s="8"/>
      <c r="D165" s="8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</row>
    <row r="166" ht="15.75" customHeight="1">
      <c r="A166" s="7"/>
      <c r="B166" s="7"/>
      <c r="C166" s="8"/>
      <c r="D166" s="8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</row>
    <row r="167" ht="15.75" customHeight="1">
      <c r="A167" s="7"/>
      <c r="B167" s="7"/>
      <c r="C167" s="8"/>
      <c r="D167" s="8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</row>
    <row r="168" ht="15.75" customHeight="1">
      <c r="A168" s="7"/>
      <c r="B168" s="7"/>
      <c r="C168" s="8"/>
      <c r="D168" s="8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</row>
    <row r="169" ht="15.75" customHeight="1">
      <c r="A169" s="7"/>
      <c r="B169" s="7"/>
      <c r="C169" s="8"/>
      <c r="D169" s="8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</row>
    <row r="170" ht="15.75" customHeight="1">
      <c r="A170" s="7"/>
      <c r="B170" s="7"/>
      <c r="C170" s="8"/>
      <c r="D170" s="8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</row>
    <row r="171" ht="15.75" customHeight="1">
      <c r="A171" s="7"/>
      <c r="B171" s="7"/>
      <c r="C171" s="8"/>
      <c r="D171" s="8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</row>
    <row r="172" ht="15.75" customHeight="1">
      <c r="A172" s="7"/>
      <c r="B172" s="7"/>
      <c r="C172" s="8"/>
      <c r="D172" s="8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</row>
    <row r="173" ht="15.75" customHeight="1">
      <c r="A173" s="7"/>
      <c r="B173" s="7"/>
      <c r="C173" s="8"/>
      <c r="D173" s="8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</row>
    <row r="174" ht="15.75" customHeight="1">
      <c r="A174" s="7"/>
      <c r="B174" s="7"/>
      <c r="C174" s="8"/>
      <c r="D174" s="8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</row>
    <row r="175" ht="15.75" customHeight="1">
      <c r="A175" s="7"/>
      <c r="B175" s="7"/>
      <c r="C175" s="8"/>
      <c r="D175" s="8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</row>
    <row r="176" ht="15.75" customHeight="1">
      <c r="A176" s="7"/>
      <c r="B176" s="7"/>
      <c r="C176" s="8"/>
      <c r="D176" s="8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</row>
    <row r="177" ht="15.75" customHeight="1">
      <c r="A177" s="7"/>
      <c r="B177" s="7"/>
      <c r="C177" s="8"/>
      <c r="D177" s="8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</row>
    <row r="178" ht="15.75" customHeight="1">
      <c r="A178" s="7"/>
      <c r="B178" s="7"/>
      <c r="C178" s="8"/>
      <c r="D178" s="8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</row>
    <row r="179" ht="15.75" customHeight="1">
      <c r="A179" s="7"/>
      <c r="B179" s="7"/>
      <c r="C179" s="8"/>
      <c r="D179" s="8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</row>
    <row r="180" ht="15.75" customHeight="1">
      <c r="A180" s="7"/>
      <c r="B180" s="7"/>
      <c r="C180" s="8"/>
      <c r="D180" s="8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</row>
    <row r="181" ht="15.75" customHeight="1">
      <c r="A181" s="7"/>
      <c r="B181" s="7"/>
      <c r="C181" s="8"/>
      <c r="D181" s="8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</row>
    <row r="182" ht="15.75" customHeight="1">
      <c r="A182" s="7"/>
      <c r="B182" s="7"/>
      <c r="C182" s="8"/>
      <c r="D182" s="8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</row>
    <row r="183" ht="15.75" customHeight="1">
      <c r="A183" s="7"/>
      <c r="B183" s="7"/>
      <c r="C183" s="8"/>
      <c r="D183" s="8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</row>
    <row r="184" ht="15.75" customHeight="1">
      <c r="A184" s="7"/>
      <c r="B184" s="7"/>
      <c r="C184" s="8"/>
      <c r="D184" s="8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</row>
    <row r="185" ht="15.75" customHeight="1">
      <c r="A185" s="7"/>
      <c r="B185" s="7"/>
      <c r="C185" s="8"/>
      <c r="D185" s="8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</row>
    <row r="186" ht="15.75" customHeight="1">
      <c r="A186" s="7"/>
      <c r="B186" s="7"/>
      <c r="C186" s="8"/>
      <c r="D186" s="8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</row>
    <row r="187" ht="15.75" customHeight="1">
      <c r="A187" s="7"/>
      <c r="B187" s="7"/>
      <c r="C187" s="8"/>
      <c r="D187" s="8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</row>
    <row r="188" ht="15.75" customHeight="1">
      <c r="A188" s="7"/>
      <c r="B188" s="7"/>
      <c r="C188" s="8"/>
      <c r="D188" s="8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</row>
    <row r="189" ht="15.75" customHeight="1">
      <c r="A189" s="7"/>
      <c r="B189" s="7"/>
      <c r="C189" s="8"/>
      <c r="D189" s="8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</row>
    <row r="190" ht="15.75" customHeight="1">
      <c r="A190" s="7"/>
      <c r="B190" s="7"/>
      <c r="C190" s="8"/>
      <c r="D190" s="8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</row>
    <row r="191" ht="15.75" customHeight="1">
      <c r="A191" s="7"/>
      <c r="B191" s="7"/>
      <c r="C191" s="8"/>
      <c r="D191" s="8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</row>
    <row r="192" ht="15.75" customHeight="1">
      <c r="A192" s="7"/>
      <c r="B192" s="7"/>
      <c r="C192" s="8"/>
      <c r="D192" s="8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</row>
    <row r="193" ht="15.75" customHeight="1">
      <c r="A193" s="7"/>
      <c r="B193" s="7"/>
      <c r="C193" s="8"/>
      <c r="D193" s="8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</row>
    <row r="194" ht="15.75" customHeight="1">
      <c r="A194" s="7"/>
      <c r="B194" s="7"/>
      <c r="C194" s="8"/>
      <c r="D194" s="8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</row>
    <row r="195" ht="15.75" customHeight="1">
      <c r="A195" s="7"/>
      <c r="B195" s="7"/>
      <c r="C195" s="8"/>
      <c r="D195" s="8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</row>
    <row r="196" ht="15.75" customHeight="1">
      <c r="A196" s="7"/>
      <c r="B196" s="7"/>
      <c r="C196" s="8"/>
      <c r="D196" s="8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</row>
    <row r="197" ht="15.75" customHeight="1">
      <c r="A197" s="7"/>
      <c r="B197" s="7"/>
      <c r="C197" s="8"/>
      <c r="D197" s="8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</row>
    <row r="198" ht="15.75" customHeight="1">
      <c r="A198" s="7"/>
      <c r="B198" s="7"/>
      <c r="C198" s="8"/>
      <c r="D198" s="8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</row>
    <row r="199" ht="15.75" customHeight="1">
      <c r="A199" s="7"/>
      <c r="B199" s="7"/>
      <c r="C199" s="8"/>
      <c r="D199" s="8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</row>
    <row r="200" ht="15.75" customHeight="1">
      <c r="A200" s="7"/>
      <c r="B200" s="7"/>
      <c r="C200" s="8"/>
      <c r="D200" s="8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</row>
    <row r="201" ht="15.75" customHeight="1">
      <c r="A201" s="7"/>
      <c r="B201" s="7"/>
      <c r="C201" s="8"/>
      <c r="D201" s="8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</row>
    <row r="202" ht="15.75" customHeight="1">
      <c r="A202" s="7"/>
      <c r="B202" s="7"/>
      <c r="C202" s="8"/>
      <c r="D202" s="8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</row>
    <row r="203" ht="15.75" customHeight="1">
      <c r="A203" s="7"/>
      <c r="B203" s="7"/>
      <c r="C203" s="8"/>
      <c r="D203" s="8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</row>
    <row r="204" ht="15.75" customHeight="1">
      <c r="A204" s="7"/>
      <c r="B204" s="7"/>
      <c r="C204" s="8"/>
      <c r="D204" s="8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</row>
    <row r="205" ht="15.75" customHeight="1">
      <c r="A205" s="7"/>
      <c r="B205" s="7"/>
      <c r="C205" s="8"/>
      <c r="D205" s="8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</row>
    <row r="206" ht="15.75" customHeight="1">
      <c r="A206" s="7"/>
      <c r="B206" s="7"/>
      <c r="C206" s="8"/>
      <c r="D206" s="8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</row>
    <row r="207" ht="15.75" customHeight="1">
      <c r="A207" s="7"/>
      <c r="B207" s="7"/>
      <c r="C207" s="8"/>
      <c r="D207" s="8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</row>
    <row r="208" ht="15.75" customHeight="1">
      <c r="A208" s="7"/>
      <c r="B208" s="7"/>
      <c r="C208" s="8"/>
      <c r="D208" s="8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</row>
    <row r="209" ht="15.75" customHeight="1">
      <c r="A209" s="7"/>
      <c r="B209" s="7"/>
      <c r="C209" s="8"/>
      <c r="D209" s="8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</row>
    <row r="210" ht="15.75" customHeight="1">
      <c r="A210" s="7"/>
      <c r="B210" s="7"/>
      <c r="C210" s="8"/>
      <c r="D210" s="8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</row>
    <row r="211" ht="15.75" customHeight="1">
      <c r="A211" s="7"/>
      <c r="B211" s="7"/>
      <c r="C211" s="8"/>
      <c r="D211" s="8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</row>
    <row r="212" ht="15.75" customHeight="1">
      <c r="A212" s="7"/>
      <c r="B212" s="7"/>
      <c r="C212" s="8"/>
      <c r="D212" s="8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</row>
    <row r="213" ht="15.75" customHeight="1">
      <c r="A213" s="7"/>
      <c r="B213" s="7"/>
      <c r="C213" s="8"/>
      <c r="D213" s="8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</row>
    <row r="214" ht="15.75" customHeight="1">
      <c r="A214" s="7"/>
      <c r="B214" s="7"/>
      <c r="C214" s="8"/>
      <c r="D214" s="8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</row>
    <row r="215" ht="15.75" customHeight="1">
      <c r="A215" s="7"/>
      <c r="B215" s="7"/>
      <c r="C215" s="8"/>
      <c r="D215" s="8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</row>
    <row r="216" ht="15.75" customHeight="1">
      <c r="A216" s="7"/>
      <c r="B216" s="7"/>
      <c r="C216" s="8"/>
      <c r="D216" s="8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</row>
    <row r="217" ht="15.75" customHeight="1">
      <c r="A217" s="7"/>
      <c r="B217" s="7"/>
      <c r="C217" s="8"/>
      <c r="D217" s="8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</row>
    <row r="218" ht="15.75" customHeight="1">
      <c r="A218" s="7"/>
      <c r="B218" s="7"/>
      <c r="C218" s="8"/>
      <c r="D218" s="8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</row>
    <row r="219" ht="15.75" customHeight="1">
      <c r="A219" s="7"/>
      <c r="B219" s="7"/>
      <c r="C219" s="8"/>
      <c r="D219" s="8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</row>
    <row r="220" ht="15.75" customHeight="1">
      <c r="A220" s="7"/>
      <c r="B220" s="7"/>
      <c r="C220" s="8"/>
      <c r="D220" s="8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</row>
    <row r="221" ht="15.75" customHeight="1">
      <c r="A221" s="7"/>
      <c r="B221" s="7"/>
      <c r="C221" s="8"/>
      <c r="D221" s="8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</row>
    <row r="222" ht="15.75" customHeight="1">
      <c r="A222" s="7"/>
      <c r="B222" s="7"/>
      <c r="C222" s="8"/>
      <c r="D222" s="8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</row>
    <row r="223" ht="15.75" customHeight="1">
      <c r="A223" s="7"/>
      <c r="B223" s="7"/>
      <c r="C223" s="8"/>
      <c r="D223" s="8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</row>
    <row r="224" ht="15.75" customHeight="1">
      <c r="A224" s="7"/>
      <c r="B224" s="7"/>
      <c r="C224" s="8"/>
      <c r="D224" s="8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</row>
    <row r="225" ht="15.75" customHeight="1">
      <c r="A225" s="7"/>
      <c r="B225" s="7"/>
      <c r="C225" s="8"/>
      <c r="D225" s="8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</row>
    <row r="226" ht="15.75" customHeight="1">
      <c r="A226" s="7"/>
      <c r="B226" s="7"/>
      <c r="C226" s="8"/>
      <c r="D226" s="8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</row>
    <row r="227" ht="15.75" customHeight="1">
      <c r="A227" s="7"/>
      <c r="B227" s="7"/>
      <c r="C227" s="8"/>
      <c r="D227" s="8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</row>
    <row r="228" ht="15.75" customHeight="1">
      <c r="A228" s="7"/>
      <c r="B228" s="7"/>
      <c r="C228" s="8"/>
      <c r="D228" s="8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</row>
    <row r="229" ht="15.75" customHeight="1">
      <c r="A229" s="7"/>
      <c r="B229" s="7"/>
      <c r="C229" s="8"/>
      <c r="D229" s="8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</row>
    <row r="230" ht="15.75" customHeight="1">
      <c r="A230" s="7"/>
      <c r="B230" s="7"/>
      <c r="C230" s="8"/>
      <c r="D230" s="8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</row>
    <row r="231" ht="15.75" customHeight="1">
      <c r="A231" s="7"/>
      <c r="B231" s="7"/>
      <c r="C231" s="8"/>
      <c r="D231" s="8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</row>
    <row r="232" ht="15.75" customHeight="1">
      <c r="A232" s="7"/>
      <c r="B232" s="7"/>
      <c r="C232" s="8"/>
      <c r="D232" s="8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</row>
    <row r="233" ht="15.75" customHeight="1">
      <c r="A233" s="7"/>
      <c r="B233" s="7"/>
      <c r="C233" s="8"/>
      <c r="D233" s="8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</row>
    <row r="234" ht="15.75" customHeight="1">
      <c r="A234" s="7"/>
      <c r="B234" s="7"/>
      <c r="C234" s="8"/>
      <c r="D234" s="8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</row>
    <row r="235" ht="15.75" customHeight="1">
      <c r="A235" s="7"/>
      <c r="B235" s="7"/>
      <c r="C235" s="8"/>
      <c r="D235" s="8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</row>
    <row r="236" ht="15.75" customHeight="1">
      <c r="A236" s="7"/>
      <c r="B236" s="7"/>
      <c r="C236" s="8"/>
      <c r="D236" s="8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</row>
    <row r="237" ht="15.75" customHeight="1">
      <c r="A237" s="7"/>
      <c r="B237" s="7"/>
      <c r="C237" s="8"/>
      <c r="D237" s="8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</row>
    <row r="238" ht="15.75" customHeight="1">
      <c r="A238" s="7"/>
      <c r="B238" s="7"/>
      <c r="C238" s="8"/>
      <c r="D238" s="8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</row>
    <row r="239" ht="15.75" customHeight="1">
      <c r="A239" s="7"/>
      <c r="B239" s="7"/>
      <c r="C239" s="8"/>
      <c r="D239" s="8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</row>
    <row r="240" ht="15.75" customHeight="1">
      <c r="A240" s="7"/>
      <c r="B240" s="7"/>
      <c r="C240" s="8"/>
      <c r="D240" s="8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</row>
    <row r="241" ht="15.75" customHeight="1">
      <c r="A241" s="7"/>
      <c r="B241" s="7"/>
      <c r="C241" s="8"/>
      <c r="D241" s="8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</row>
    <row r="242" ht="15.75" customHeight="1">
      <c r="A242" s="7"/>
      <c r="B242" s="7"/>
      <c r="C242" s="8"/>
      <c r="D242" s="8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</row>
    <row r="243" ht="15.75" customHeight="1">
      <c r="A243" s="7"/>
      <c r="B243" s="7"/>
      <c r="C243" s="8"/>
      <c r="D243" s="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</row>
    <row r="244" ht="15.75" customHeight="1">
      <c r="A244" s="7"/>
      <c r="B244" s="7"/>
      <c r="C244" s="8"/>
      <c r="D244" s="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</row>
    <row r="245" ht="15.75" customHeight="1">
      <c r="A245" s="7"/>
      <c r="B245" s="7"/>
      <c r="C245" s="8"/>
      <c r="D245" s="8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</row>
    <row r="246" ht="15.75" customHeight="1">
      <c r="A246" s="7"/>
      <c r="B246" s="7"/>
      <c r="C246" s="8"/>
      <c r="D246" s="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</row>
    <row r="247" ht="15.75" customHeight="1">
      <c r="A247" s="7"/>
      <c r="B247" s="7"/>
      <c r="C247" s="8"/>
      <c r="D247" s="8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</row>
    <row r="248" ht="15.75" customHeight="1">
      <c r="A248" s="7"/>
      <c r="B248" s="7"/>
      <c r="C248" s="8"/>
      <c r="D248" s="8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</row>
    <row r="249" ht="15.75" customHeight="1">
      <c r="A249" s="7"/>
      <c r="B249" s="7"/>
      <c r="C249" s="8"/>
      <c r="D249" s="8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</row>
    <row r="250" ht="15.75" customHeight="1">
      <c r="A250" s="7"/>
      <c r="B250" s="7"/>
      <c r="C250" s="8"/>
      <c r="D250" s="8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</row>
    <row r="251" ht="15.75" customHeight="1">
      <c r="A251" s="7"/>
      <c r="B251" s="7"/>
      <c r="C251" s="8"/>
      <c r="D251" s="8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</row>
    <row r="252" ht="15.75" customHeight="1">
      <c r="A252" s="7"/>
      <c r="B252" s="7"/>
      <c r="C252" s="8"/>
      <c r="D252" s="8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</row>
    <row r="253" ht="15.75" customHeight="1">
      <c r="A253" s="7"/>
      <c r="B253" s="7"/>
      <c r="C253" s="8"/>
      <c r="D253" s="8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</row>
    <row r="254" ht="15.75" customHeight="1">
      <c r="A254" s="7"/>
      <c r="B254" s="7"/>
      <c r="C254" s="8"/>
      <c r="D254" s="8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</row>
    <row r="255" ht="15.75" customHeight="1">
      <c r="A255" s="7"/>
      <c r="B255" s="7"/>
      <c r="C255" s="8"/>
      <c r="D255" s="8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</row>
    <row r="256" ht="15.75" customHeight="1">
      <c r="A256" s="7"/>
      <c r="B256" s="7"/>
      <c r="C256" s="8"/>
      <c r="D256" s="8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</row>
    <row r="257" ht="15.75" customHeight="1">
      <c r="A257" s="7"/>
      <c r="B257" s="7"/>
      <c r="C257" s="8"/>
      <c r="D257" s="8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</row>
    <row r="258" ht="15.75" customHeight="1">
      <c r="A258" s="7"/>
      <c r="B258" s="7"/>
      <c r="C258" s="8"/>
      <c r="D258" s="8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</row>
    <row r="259" ht="15.75" customHeight="1">
      <c r="A259" s="7"/>
      <c r="B259" s="7"/>
      <c r="C259" s="8"/>
      <c r="D259" s="8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</row>
    <row r="260" ht="15.75" customHeight="1">
      <c r="A260" s="7"/>
      <c r="B260" s="7"/>
      <c r="C260" s="8"/>
      <c r="D260" s="8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</row>
    <row r="261" ht="15.75" customHeight="1">
      <c r="A261" s="7"/>
      <c r="B261" s="7"/>
      <c r="C261" s="8"/>
      <c r="D261" s="8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</row>
    <row r="262" ht="15.75" customHeight="1">
      <c r="A262" s="7"/>
      <c r="B262" s="7"/>
      <c r="C262" s="8"/>
      <c r="D262" s="8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</row>
    <row r="263" ht="15.75" customHeight="1">
      <c r="A263" s="7"/>
      <c r="B263" s="7"/>
      <c r="C263" s="8"/>
      <c r="D263" s="8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</row>
    <row r="264" ht="15.75" customHeight="1">
      <c r="A264" s="7"/>
      <c r="B264" s="7"/>
      <c r="C264" s="8"/>
      <c r="D264" s="8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</row>
    <row r="265" ht="15.75" customHeight="1">
      <c r="A265" s="7"/>
      <c r="B265" s="7"/>
      <c r="C265" s="8"/>
      <c r="D265" s="8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</row>
    <row r="266" ht="15.75" customHeight="1">
      <c r="A266" s="7"/>
      <c r="B266" s="7"/>
      <c r="C266" s="8"/>
      <c r="D266" s="8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</row>
    <row r="267" ht="15.75" customHeight="1">
      <c r="A267" s="7"/>
      <c r="B267" s="7"/>
      <c r="C267" s="8"/>
      <c r="D267" s="8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</row>
    <row r="268" ht="15.75" customHeight="1">
      <c r="A268" s="7"/>
      <c r="B268" s="7"/>
      <c r="C268" s="8"/>
      <c r="D268" s="8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</row>
    <row r="269" ht="15.75" customHeight="1">
      <c r="A269" s="7"/>
      <c r="B269" s="7"/>
      <c r="C269" s="8"/>
      <c r="D269" s="8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</row>
    <row r="270" ht="15.75" customHeight="1">
      <c r="A270" s="7"/>
      <c r="B270" s="7"/>
      <c r="C270" s="8"/>
      <c r="D270" s="8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</row>
    <row r="271" ht="15.75" customHeight="1">
      <c r="A271" s="7"/>
      <c r="B271" s="7"/>
      <c r="C271" s="8"/>
      <c r="D271" s="8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</row>
    <row r="272" ht="15.75" customHeight="1">
      <c r="A272" s="7"/>
      <c r="B272" s="7"/>
      <c r="C272" s="8"/>
      <c r="D272" s="8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</row>
    <row r="273" ht="15.75" customHeight="1">
      <c r="A273" s="7"/>
      <c r="B273" s="7"/>
      <c r="C273" s="8"/>
      <c r="D273" s="8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</row>
    <row r="274" ht="15.75" customHeight="1">
      <c r="A274" s="7"/>
      <c r="B274" s="7"/>
      <c r="C274" s="8"/>
      <c r="D274" s="8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</row>
    <row r="275" ht="15.75" customHeight="1">
      <c r="A275" s="7"/>
      <c r="B275" s="7"/>
      <c r="C275" s="8"/>
      <c r="D275" s="8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</row>
    <row r="276" ht="15.75" customHeight="1">
      <c r="A276" s="7"/>
      <c r="B276" s="7"/>
      <c r="C276" s="8"/>
      <c r="D276" s="8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</row>
    <row r="277" ht="15.75" customHeight="1">
      <c r="A277" s="7"/>
      <c r="B277" s="7"/>
      <c r="C277" s="8"/>
      <c r="D277" s="8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</row>
    <row r="278" ht="15.75" customHeight="1">
      <c r="A278" s="7"/>
      <c r="B278" s="7"/>
      <c r="C278" s="8"/>
      <c r="D278" s="8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</row>
    <row r="279" ht="15.75" customHeight="1">
      <c r="A279" s="7"/>
      <c r="B279" s="7"/>
      <c r="C279" s="8"/>
      <c r="D279" s="8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</row>
    <row r="280" ht="15.75" customHeight="1">
      <c r="A280" s="7"/>
      <c r="B280" s="7"/>
      <c r="C280" s="8"/>
      <c r="D280" s="8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</row>
    <row r="281" ht="15.75" customHeight="1">
      <c r="A281" s="7"/>
      <c r="B281" s="7"/>
      <c r="C281" s="8"/>
      <c r="D281" s="8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</row>
    <row r="282" ht="15.75" customHeight="1">
      <c r="A282" s="7"/>
      <c r="B282" s="7"/>
      <c r="C282" s="8"/>
      <c r="D282" s="8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</row>
    <row r="283" ht="15.75" customHeight="1">
      <c r="A283" s="7"/>
      <c r="B283" s="7"/>
      <c r="C283" s="8"/>
      <c r="D283" s="8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</row>
    <row r="284" ht="15.75" customHeight="1">
      <c r="A284" s="7"/>
      <c r="B284" s="7"/>
      <c r="C284" s="8"/>
      <c r="D284" s="8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</row>
    <row r="285" ht="15.75" customHeight="1">
      <c r="A285" s="7"/>
      <c r="B285" s="7"/>
      <c r="C285" s="8"/>
      <c r="D285" s="8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</row>
    <row r="286" ht="15.75" customHeight="1">
      <c r="A286" s="7"/>
      <c r="B286" s="7"/>
      <c r="C286" s="8"/>
      <c r="D286" s="8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</row>
    <row r="287" ht="15.75" customHeight="1">
      <c r="A287" s="7"/>
      <c r="B287" s="7"/>
      <c r="C287" s="8"/>
      <c r="D287" s="8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</row>
    <row r="288" ht="15.75" customHeight="1">
      <c r="A288" s="7"/>
      <c r="B288" s="7"/>
      <c r="C288" s="8"/>
      <c r="D288" s="8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</row>
    <row r="289" ht="15.75" customHeight="1">
      <c r="A289" s="7"/>
      <c r="B289" s="7"/>
      <c r="C289" s="8"/>
      <c r="D289" s="8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</row>
    <row r="290" ht="15.75" customHeight="1">
      <c r="A290" s="7"/>
      <c r="B290" s="7"/>
      <c r="C290" s="8"/>
      <c r="D290" s="8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</row>
    <row r="291" ht="15.75" customHeight="1">
      <c r="A291" s="7"/>
      <c r="B291" s="7"/>
      <c r="C291" s="8"/>
      <c r="D291" s="8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</row>
    <row r="292" ht="15.75" customHeight="1">
      <c r="A292" s="7"/>
      <c r="B292" s="7"/>
      <c r="C292" s="8"/>
      <c r="D292" s="8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</row>
    <row r="293" ht="15.75" customHeight="1">
      <c r="A293" s="7"/>
      <c r="B293" s="7"/>
      <c r="C293" s="8"/>
      <c r="D293" s="8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</row>
    <row r="294" ht="15.75" customHeight="1">
      <c r="A294" s="7"/>
      <c r="B294" s="7"/>
      <c r="C294" s="8"/>
      <c r="D294" s="8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</row>
    <row r="295" ht="15.75" customHeight="1">
      <c r="A295" s="7"/>
      <c r="B295" s="7"/>
      <c r="C295" s="8"/>
      <c r="D295" s="8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</row>
    <row r="296" ht="15.75" customHeight="1">
      <c r="A296" s="7"/>
      <c r="B296" s="7"/>
      <c r="C296" s="8"/>
      <c r="D296" s="8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</row>
    <row r="297" ht="15.75" customHeight="1">
      <c r="A297" s="7"/>
      <c r="B297" s="7"/>
      <c r="C297" s="8"/>
      <c r="D297" s="8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</row>
    <row r="298" ht="15.75" customHeight="1">
      <c r="A298" s="7"/>
      <c r="B298" s="7"/>
      <c r="C298" s="8"/>
      <c r="D298" s="8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</row>
    <row r="299" ht="15.75" customHeight="1">
      <c r="A299" s="7"/>
      <c r="B299" s="7"/>
      <c r="C299" s="8"/>
      <c r="D299" s="8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</row>
    <row r="300" ht="15.75" customHeight="1">
      <c r="A300" s="7"/>
      <c r="B300" s="7"/>
      <c r="C300" s="8"/>
      <c r="D300" s="8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</row>
    <row r="301" ht="15.75" customHeight="1">
      <c r="A301" s="7"/>
      <c r="B301" s="7"/>
      <c r="C301" s="8"/>
      <c r="D301" s="8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</row>
    <row r="302" ht="15.75" customHeight="1">
      <c r="A302" s="7"/>
      <c r="B302" s="7"/>
      <c r="C302" s="8"/>
      <c r="D302" s="8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</row>
    <row r="303" ht="15.75" customHeight="1">
      <c r="A303" s="7"/>
      <c r="B303" s="7"/>
      <c r="C303" s="8"/>
      <c r="D303" s="8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</row>
    <row r="304" ht="15.75" customHeight="1">
      <c r="A304" s="7"/>
      <c r="B304" s="7"/>
      <c r="C304" s="8"/>
      <c r="D304" s="8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</row>
    <row r="305" ht="15.75" customHeight="1">
      <c r="A305" s="7"/>
      <c r="B305" s="7"/>
      <c r="C305" s="8"/>
      <c r="D305" s="8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</row>
    <row r="306" ht="15.75" customHeight="1">
      <c r="A306" s="7"/>
      <c r="B306" s="7"/>
      <c r="C306" s="8"/>
      <c r="D306" s="8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</row>
    <row r="307" ht="15.75" customHeight="1">
      <c r="A307" s="7"/>
      <c r="B307" s="7"/>
      <c r="C307" s="8"/>
      <c r="D307" s="8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</row>
    <row r="308" ht="15.75" customHeight="1">
      <c r="A308" s="7"/>
      <c r="B308" s="7"/>
      <c r="C308" s="8"/>
      <c r="D308" s="8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</row>
    <row r="309" ht="15.75" customHeight="1">
      <c r="A309" s="7"/>
      <c r="B309" s="7"/>
      <c r="C309" s="8"/>
      <c r="D309" s="8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</row>
    <row r="310" ht="15.75" customHeight="1">
      <c r="A310" s="7"/>
      <c r="B310" s="7"/>
      <c r="C310" s="8"/>
      <c r="D310" s="8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</row>
    <row r="311" ht="15.75" customHeight="1">
      <c r="A311" s="7"/>
      <c r="B311" s="7"/>
      <c r="C311" s="8"/>
      <c r="D311" s="8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</row>
    <row r="312" ht="15.75" customHeight="1">
      <c r="A312" s="7"/>
      <c r="B312" s="7"/>
      <c r="C312" s="8"/>
      <c r="D312" s="8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</row>
    <row r="313" ht="15.75" customHeight="1">
      <c r="A313" s="7"/>
      <c r="B313" s="7"/>
      <c r="C313" s="8"/>
      <c r="D313" s="8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</row>
    <row r="314" ht="15.75" customHeight="1">
      <c r="A314" s="7"/>
      <c r="B314" s="7"/>
      <c r="C314" s="8"/>
      <c r="D314" s="8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</row>
    <row r="315" ht="15.75" customHeight="1">
      <c r="A315" s="7"/>
      <c r="B315" s="7"/>
      <c r="C315" s="8"/>
      <c r="D315" s="8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</row>
    <row r="316" ht="15.75" customHeight="1">
      <c r="A316" s="7"/>
      <c r="B316" s="7"/>
      <c r="C316" s="8"/>
      <c r="D316" s="8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</row>
    <row r="317" ht="15.75" customHeight="1">
      <c r="A317" s="7"/>
      <c r="B317" s="7"/>
      <c r="C317" s="8"/>
      <c r="D317" s="8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</row>
    <row r="318" ht="15.75" customHeight="1">
      <c r="A318" s="7"/>
      <c r="B318" s="7"/>
      <c r="C318" s="8"/>
      <c r="D318" s="8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</row>
    <row r="319" ht="15.75" customHeight="1">
      <c r="A319" s="7"/>
      <c r="B319" s="7"/>
      <c r="C319" s="8"/>
      <c r="D319" s="8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</row>
    <row r="320" ht="15.75" customHeight="1">
      <c r="A320" s="7"/>
      <c r="B320" s="7"/>
      <c r="C320" s="8"/>
      <c r="D320" s="8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</row>
    <row r="321" ht="15.75" customHeight="1">
      <c r="A321" s="7"/>
      <c r="B321" s="7"/>
      <c r="C321" s="8"/>
      <c r="D321" s="8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</row>
  </sheetData>
  <printOptions/>
  <pageMargins bottom="0.75" footer="0.0" header="0.0" left="0.7" right="0.7" top="0.75"/>
  <pageSetup orientation="landscape"/>
  <drawing r:id="rId1"/>
</worksheet>
</file>